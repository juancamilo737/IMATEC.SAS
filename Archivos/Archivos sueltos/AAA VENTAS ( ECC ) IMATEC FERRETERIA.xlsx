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rencia\Documents\"/>
    </mc:Choice>
  </mc:AlternateContent>
  <xr:revisionPtr revIDLastSave="0" documentId="13_ncr:1_{EA5D5FD8-413C-4D4D-B3BE-DA63ECC03F1B}" xr6:coauthVersionLast="47" xr6:coauthVersionMax="47" xr10:uidLastSave="{00000000-0000-0000-0000-000000000000}"/>
  <bookViews>
    <workbookView xWindow="-120" yWindow="-120" windowWidth="21840" windowHeight="13140" firstSheet="381" activeTab="386" xr2:uid="{C9A5463C-56F5-4444-B108-B398C0BF9110}"/>
  </bookViews>
  <sheets>
    <sheet name="SOINDCO - 230" sheetId="1" r:id="rId1"/>
    <sheet name="EQUING SAS - 234" sheetId="5" r:id="rId2"/>
    <sheet name="DISVAL - 237" sheetId="7" r:id="rId3"/>
    <sheet name="CARLOS LUGO - 239 - 240" sheetId="9" r:id="rId4"/>
    <sheet name="CAMPOFRESCO - 242" sheetId="13" r:id="rId5"/>
    <sheet name="AP INSPECCIONES - 243" sheetId="10" r:id="rId6"/>
    <sheet name="CAMPOFRESCO - 249" sheetId="19" r:id="rId7"/>
    <sheet name=" 250-ANULADA" sheetId="20" r:id="rId8"/>
    <sheet name="GRUPO TEXTIL - 253" sheetId="22" r:id="rId9"/>
    <sheet name="METALSUM - 255" sheetId="25" r:id="rId10"/>
    <sheet name="BOMBAS Y FLUIDOS - 256" sheetId="26" r:id="rId11"/>
    <sheet name="DIST Z.Q. SAS - 259" sheetId="29" r:id="rId12"/>
    <sheet name="GRUPO TEXTIL - 260" sheetId="30" r:id="rId13"/>
    <sheet name="IMAD SAS - 262" sheetId="33" r:id="rId14"/>
    <sheet name="GRUPO TEXTIL - 268" sheetId="38" r:id="rId15"/>
    <sheet name="IMAD SAS - 269" sheetId="39" r:id="rId16"/>
    <sheet name="HINSUMAQ - 272" sheetId="42" r:id="rId17"/>
    <sheet name="BOMBAS Y FLUIDOS - 273" sheetId="43" r:id="rId18"/>
    <sheet name="IMAD SAS - 277" sheetId="47" r:id="rId19"/>
    <sheet name="HINSUMAQ - 278" sheetId="48" r:id="rId20"/>
    <sheet name="ACQUA VITRUVIO - 279" sheetId="49" r:id="rId21"/>
    <sheet name="DICAV - 283" sheetId="53" r:id="rId22"/>
    <sheet name="COLMECANICAS TWA - 285" sheetId="55" r:id="rId23"/>
    <sheet name="CALDERAS DAZA 287-289" sheetId="57" r:id="rId24"/>
    <sheet name="LAMINCORTES - 296" sheetId="66" r:id="rId25"/>
    <sheet name="RYS INGENIERIA 299-302" sheetId="69" r:id="rId26"/>
    <sheet name="BCM S.A.S.- 300" sheetId="70" r:id="rId27"/>
    <sheet name="IMPROYMEC - 301" sheetId="71" r:id="rId28"/>
    <sheet name="SERVIGENIERIA G&amp;M - 305" sheetId="74" r:id="rId29"/>
    <sheet name="SERVINGENIERIA G&amp;M - 307" sheetId="76" r:id="rId30"/>
    <sheet name="SURTIDOR INDUSTRIAL - 308" sheetId="78" r:id="rId31"/>
    <sheet name="GAMBOA INGENIEROS" sheetId="63" r:id="rId32"/>
    <sheet name="ACQUA IQ SAS" sheetId="77" r:id="rId33"/>
    <sheet name="BEIMAD - 309" sheetId="79" r:id="rId34"/>
    <sheet name="AGROMAQUINARIAS - 310" sheetId="80" r:id="rId35"/>
    <sheet name="IMPROYMEC S.A.S.- 312" sheetId="81" r:id="rId36"/>
    <sheet name="ARE SERVICIOS - 314" sheetId="82" r:id="rId37"/>
    <sheet name="FORERO CONDE - 315" sheetId="92" r:id="rId38"/>
    <sheet name="ACQUA IQ" sheetId="83" r:id="rId39"/>
    <sheet name="JOSE GUTIERREZ" sheetId="85" r:id="rId40"/>
    <sheet name="BRONCES DEL VALLE -320" sheetId="84" r:id="rId41"/>
    <sheet name="ARE SERVICIOS - 322" sheetId="86" r:id="rId42"/>
    <sheet name="INDUMETALICAS BOLAÑOS - 324" sheetId="87" r:id="rId43"/>
    <sheet name="DIMARQUIM - 332" sheetId="88" r:id="rId44"/>
    <sheet name="BOMBAS Y FLUIDOS - 333" sheetId="89" r:id="rId45"/>
    <sheet name="ARTFRIGO - 334" sheetId="90" r:id="rId46"/>
    <sheet name="TRAPICHE LUCERNA - 335" sheetId="91" r:id="rId47"/>
    <sheet name="CH-OB INGENIERIA - 338" sheetId="93" r:id="rId48"/>
    <sheet name="ARE SERVICIOS - 341" sheetId="94" r:id="rId49"/>
    <sheet name="TAMETCO - 344" sheetId="95" r:id="rId50"/>
    <sheet name="COSMO COMPAÑIA - 347" sheetId="96" r:id="rId51"/>
    <sheet name="ARE SERVICIOS - 348" sheetId="98" r:id="rId52"/>
    <sheet name="GRUPO TEXTIL - 350" sheetId="97" r:id="rId53"/>
    <sheet name="DIST. PRAIN - 351" sheetId="99" r:id="rId54"/>
    <sheet name="BTM - 353" sheetId="100" r:id="rId55"/>
    <sheet name="RETENES IND. - 354" sheetId="101" r:id="rId56"/>
    <sheet name="COSMO - 355" sheetId="102" r:id="rId57"/>
    <sheet name="BRAIMM - 356" sheetId="103" r:id="rId58"/>
    <sheet name="PRAIN SAS - 358" sheetId="104" r:id="rId59"/>
    <sheet name="IMPROYMEC - 360" sheetId="105" r:id="rId60"/>
    <sheet name="CH-OB - 361" sheetId="106" r:id="rId61"/>
    <sheet name="SURT. INDUSTRIAL - 362" sheetId="107" r:id="rId62"/>
    <sheet name="INHISSA -367" sheetId="108" r:id="rId63"/>
    <sheet name="COSMO CIA. - 368" sheetId="109" r:id="rId64"/>
    <sheet name="EQUING S.A.S. - 372" sheetId="110" r:id="rId65"/>
    <sheet name="IMAD SAS - 373" sheetId="124" r:id="rId66"/>
    <sheet name="ACUASUR S.A.S - 378" sheetId="111" r:id="rId67"/>
    <sheet name="SURT. INDUSTRIAL - 379" sheetId="112" r:id="rId68"/>
    <sheet name="OCC. PLASTICOS - 380" sheetId="113" r:id="rId69"/>
    <sheet name="JIG INGENIERIA -385" sheetId="114" r:id="rId70"/>
    <sheet name="COSMO - 390" sheetId="115" r:id="rId71"/>
    <sheet name="VM TERMOCALDERAS - 391" sheetId="116" r:id="rId72"/>
    <sheet name="ROYAL ELIM - 1" sheetId="117" r:id="rId73"/>
    <sheet name="COSMO - 394" sheetId="118" r:id="rId74"/>
    <sheet name="COSMO - 395" sheetId="119" r:id="rId75"/>
    <sheet name="JAM INGENIERIA - 396" sheetId="120" r:id="rId76"/>
    <sheet name="FERRETODO LA 16 - 397" sheetId="121" r:id="rId77"/>
    <sheet name="HM INGENIERIA - 400" sheetId="122" r:id="rId78"/>
    <sheet name="INDUSTRIAS GER - 401" sheetId="123" r:id="rId79"/>
    <sheet name="COSMO - 403" sheetId="125" r:id="rId80"/>
    <sheet name="ARE SERVIVIOS - 404" sheetId="126" r:id="rId81"/>
    <sheet name="ACQUA VITRUBIO - 406" sheetId="127" r:id="rId82"/>
    <sheet name="COSMO - 407" sheetId="128" r:id="rId83"/>
    <sheet name="COSMO - 409" sheetId="129" r:id="rId84"/>
    <sheet name="COSMO - 410" sheetId="130" r:id="rId85"/>
    <sheet name="ARE SERVICIOS - 411" sheetId="131" r:id="rId86"/>
    <sheet name="COSMO - 415" sheetId="132" r:id="rId87"/>
    <sheet name="COSMO - 416" sheetId="133" r:id="rId88"/>
    <sheet name="PINTUZAPATA - 417" sheetId="134" r:id="rId89"/>
    <sheet name="METALICAS PAZ - 421" sheetId="135" r:id="rId90"/>
    <sheet name="M.T.M. - 422" sheetId="136" r:id="rId91"/>
    <sheet name="BRAIMM S.A.S. - 426" sheetId="137" r:id="rId92"/>
    <sheet name="PRAIN - 429" sheetId="138" r:id="rId93"/>
    <sheet name="LA MAPORITA - 430" sheetId="139" r:id="rId94"/>
    <sheet name="ARE SERVICIOS - 431" sheetId="140" r:id="rId95"/>
    <sheet name="QUIMICOS DEL VALLE - 434" sheetId="141" r:id="rId96"/>
    <sheet name="COSMO - 438" sheetId="142" r:id="rId97"/>
    <sheet name="LA MAPORITA - 439" sheetId="143" r:id="rId98"/>
    <sheet name="HIDROSTATICAS - 440" sheetId="144" r:id="rId99"/>
    <sheet name="INECOLMA - 441" sheetId="145" r:id="rId100"/>
    <sheet name="M T M - 448" sheetId="146" r:id="rId101"/>
    <sheet name="GLOBAL - 449" sheetId="147" r:id="rId102"/>
    <sheet name="JM SAS - 450" sheetId="148" r:id="rId103"/>
    <sheet name="DICAV - 451" sheetId="149" r:id="rId104"/>
    <sheet name="VALV Y SUM IND - 452" sheetId="150" r:id="rId105"/>
    <sheet name="CIAL DE TUBERIAS - 454" sheetId="151" r:id="rId106"/>
    <sheet name="VITRUVIO - 456" sheetId="152" r:id="rId107"/>
    <sheet name="M.T.M. - 459" sheetId="153" r:id="rId108"/>
    <sheet name="ARE -461" sheetId="154" r:id="rId109"/>
    <sheet name="CH-OB - 464" sheetId="155" r:id="rId110"/>
    <sheet name="IND. VILLEGAS - 470" sheetId="156" r:id="rId111"/>
    <sheet name="CIAL.TUB Y LAM - 471" sheetId="157" r:id="rId112"/>
    <sheet name="CFTM - 472" sheetId="158" r:id="rId113"/>
    <sheet name="M.T.M. - 475" sheetId="159" r:id="rId114"/>
    <sheet name="P&amp;AL - 476" sheetId="160" r:id="rId115"/>
    <sheet name="ACUASUR - 478" sheetId="161" r:id="rId116"/>
    <sheet name="D'ONE - 479" sheetId="162" r:id="rId117"/>
    <sheet name="G&amp;M - 481" sheetId="163" r:id="rId118"/>
    <sheet name="CIAL. DE TUBERIAS - 483" sheetId="164" r:id="rId119"/>
    <sheet name="IND. MARIN - 484" sheetId="165" r:id="rId120"/>
    <sheet name="ACQUA VITRUVIO - 485" sheetId="166" r:id="rId121"/>
    <sheet name="JAM INGENERIA - 489" sheetId="167" r:id="rId122"/>
    <sheet name="ARE - 491" sheetId="168" r:id="rId123"/>
    <sheet name="COSMO - 492-493" sheetId="169" r:id="rId124"/>
    <sheet name="ART FRIGO - 497" sheetId="170" r:id="rId125"/>
    <sheet name="M.T.M. - 498" sheetId="171" r:id="rId126"/>
    <sheet name="ARE SERVICIOS - 502" sheetId="172" r:id="rId127"/>
    <sheet name="M.T.M. - 505" sheetId="173" r:id="rId128"/>
    <sheet name="METAL. PAZ - 508" sheetId="174" r:id="rId129"/>
    <sheet name="IMAD S.A.S.- 509" sheetId="175" r:id="rId130"/>
    <sheet name="ARE - 510" sheetId="176" r:id="rId131"/>
    <sheet name="M.T.M. - 513" sheetId="177" r:id="rId132"/>
    <sheet name="RECYCLAPET - 514" sheetId="178" r:id="rId133"/>
    <sheet name="Ma. EUGENIA - 515" sheetId="179" r:id="rId134"/>
    <sheet name="FDO SANCHEZ - 516" sheetId="180" r:id="rId135"/>
    <sheet name="CURTIPIELES - 520 " sheetId="181" r:id="rId136"/>
    <sheet name="COSMO - 522" sheetId="182" r:id="rId137"/>
    <sheet name="LAMINAS Y CORTES - 524" sheetId="183" r:id="rId138"/>
    <sheet name="HERNAN CANDELO - 525" sheetId="184" r:id="rId139"/>
    <sheet name="METAL JAN - 526" sheetId="185" r:id="rId140"/>
    <sheet name="METAL JAN - 527" sheetId="186" r:id="rId141"/>
    <sheet name="JS2 - 529" sheetId="187" r:id="rId142"/>
    <sheet name="LAMINAS Y CORTES - 530" sheetId="188" r:id="rId143"/>
    <sheet name="IND AMG - 532" sheetId="189" r:id="rId144"/>
    <sheet name="R&amp;S - 533" sheetId="190" r:id="rId145"/>
    <sheet name="DIST. PRAIN - 534" sheetId="191" r:id="rId146"/>
    <sheet name="MAPORITA - 537" sheetId="192" r:id="rId147"/>
    <sheet name="EQUING S.A.S. - 538" sheetId="193" r:id="rId148"/>
    <sheet name="FRANCO CORAL - 540" sheetId="194" r:id="rId149"/>
    <sheet name="LA MAPORITA - 541" sheetId="195" r:id="rId150"/>
    <sheet name="Ma. EUGENIA - 542" sheetId="197" r:id="rId151"/>
    <sheet name="TALIND. HENAO - 544" sheetId="198" r:id="rId152"/>
    <sheet name="M.T.M. - 545" sheetId="199" r:id="rId153"/>
    <sheet name="METAL JAN - 547" sheetId="200" r:id="rId154"/>
    <sheet name="MAPORITA - 549" sheetId="201" r:id="rId155"/>
    <sheet name="METAL JAN - 551" sheetId="202" r:id="rId156"/>
    <sheet name="COSMO - 554" sheetId="203" r:id="rId157"/>
    <sheet name="RETENIND - 558" sheetId="204" r:id="rId158"/>
    <sheet name="CH-OB - 559" sheetId="205" r:id="rId159"/>
    <sheet name="ARE - 561" sheetId="206" r:id="rId160"/>
    <sheet name="COSMO - 564" sheetId="207" r:id="rId161"/>
    <sheet name="IMAD - 565" sheetId="208" r:id="rId162"/>
    <sheet name="COSMO - 567" sheetId="209" r:id="rId163"/>
    <sheet name="COSMO - 568" sheetId="210" r:id="rId164"/>
    <sheet name="VALV Y SUM - 571" sheetId="211" r:id="rId165"/>
    <sheet name="GRUPO TEXTIL - 572" sheetId="212" r:id="rId166"/>
    <sheet name="COSMO - 573" sheetId="213" r:id="rId167"/>
    <sheet name="MECHANICAL CAD - 574" sheetId="214" r:id="rId168"/>
    <sheet name="LAVANDERIA - 575" sheetId="215" r:id="rId169"/>
    <sheet name="COSMO - 577" sheetId="216" r:id="rId170"/>
    <sheet name="GRUPO TEXTIL - 579" sheetId="217" r:id="rId171"/>
    <sheet name="PMC - 580" sheetId="218" r:id="rId172"/>
    <sheet name="COSMO - 582" sheetId="219" r:id="rId173"/>
    <sheet name="MARIA E.- 585" sheetId="220" r:id="rId174"/>
    <sheet name="B T M  -  586" sheetId="221" r:id="rId175"/>
    <sheet name="COSMO - 588" sheetId="222" r:id="rId176"/>
    <sheet name="COSMO - 589" sheetId="223" r:id="rId177"/>
    <sheet name="ALBERTO SALAZAR  - S-F" sheetId="224" r:id="rId178"/>
    <sheet name="LOS ALMENDROS - 590" sheetId="225" r:id="rId179"/>
    <sheet name="TORNICOMPLE - 594" sheetId="226" r:id="rId180"/>
    <sheet name="RETIND SAS - 596" sheetId="227" r:id="rId181"/>
    <sheet name="JUAN MONTAÑO - 601" sheetId="228" r:id="rId182"/>
    <sheet name="BM INDUSTRIAS - 602" sheetId="229" r:id="rId183"/>
    <sheet name="DANFER S.A.S. - 603" sheetId="230" r:id="rId184"/>
    <sheet name="ENRIQUE MONTUFAR - 606" sheetId="231" r:id="rId185"/>
    <sheet name="PMC - 607" sheetId="232" r:id="rId186"/>
    <sheet name="JAVIER AREVALO - 608" sheetId="233" r:id="rId187"/>
    <sheet name="ALFREDO MSQUERA - 610" sheetId="234" r:id="rId188"/>
    <sheet name="BTM  - 611" sheetId="235" r:id="rId189"/>
    <sheet name="COSMO - 613" sheetId="236" r:id="rId190"/>
    <sheet name="IMAD - 614" sheetId="237" r:id="rId191"/>
    <sheet name="IMAD - 615" sheetId="238" r:id="rId192"/>
    <sheet name="JUAN MONTAÑO - 616" sheetId="239" r:id="rId193"/>
    <sheet name="PMC  - 618" sheetId="240" r:id="rId194"/>
    <sheet name="JAN - 621" sheetId="241" r:id="rId195"/>
    <sheet name="GRUPO TEXTIL - 624" sheetId="242" r:id="rId196"/>
    <sheet name="GRUPO TEXTIL - 625" sheetId="243" r:id="rId197"/>
    <sheet name="ALBERTO SALAZAR - 626" sheetId="244" r:id="rId198"/>
    <sheet name="MH INGENIERIA - 628" sheetId="245" r:id="rId199"/>
    <sheet name="FERRETODO LA 16 - 629" sheetId="246" r:id="rId200"/>
    <sheet name="J &amp; G - 632" sheetId="247" r:id="rId201"/>
    <sheet name="HIDROSTATICAS - 634" sheetId="248" r:id="rId202"/>
    <sheet name="IMAD - 636" sheetId="249" r:id="rId203"/>
    <sheet name="DICAV - 641" sheetId="250" r:id="rId204"/>
    <sheet name="GIGACEROS - 644" sheetId="251" r:id="rId205"/>
    <sheet name="IMAD - 646" sheetId="252" r:id="rId206"/>
    <sheet name="JUAN MONTAÑO - 650" sheetId="253" r:id="rId207"/>
    <sheet name="JUAN MONTAÑO - 656" sheetId="254" r:id="rId208"/>
    <sheet name="APONTE-RAMOS - 661" sheetId="255" r:id="rId209"/>
    <sheet name="SOPLAPACK - 665" sheetId="256" r:id="rId210"/>
    <sheet name="BTM - 667" sheetId="257" r:id="rId211"/>
    <sheet name="METAL JAN - 669" sheetId="258" r:id="rId212"/>
    <sheet name="INTERCALDERAS - 671" sheetId="259" r:id="rId213"/>
    <sheet name="BCM - 671" sheetId="260" r:id="rId214"/>
    <sheet name="STACRUZ - 675" sheetId="261" r:id="rId215"/>
    <sheet name="ACUASUR - 676" sheetId="262" r:id="rId216"/>
    <sheet name="JUAN MONTAÑO - 683" sheetId="263" r:id="rId217"/>
    <sheet name="CARLOS TORRES - 692" sheetId="264" r:id="rId218"/>
    <sheet name="ARE - 696" sheetId="265" r:id="rId219"/>
    <sheet name="LAMINCORTES - 698" sheetId="266" r:id="rId220"/>
    <sheet name="M&amp;R - 699" sheetId="267" r:id="rId221"/>
    <sheet name="ALBERTO SALAZAR - 709" sheetId="268" r:id="rId222"/>
    <sheet name="ARTFRIGO - 710" sheetId="269" r:id="rId223"/>
    <sheet name="ALBERTO SALAZAR - 711" sheetId="270" r:id="rId224"/>
    <sheet name="Hoja1" sheetId="274" r:id="rId225"/>
    <sheet name="HERRACIND S.A.S. - 712" sheetId="271" r:id="rId226"/>
    <sheet name="IND. PERDOMO - 714" sheetId="272" r:id="rId227"/>
    <sheet name="JORGE HDEZ - 716" sheetId="273" r:id="rId228"/>
    <sheet name="ALBERTO SALAZAR - 719" sheetId="275" r:id="rId229"/>
    <sheet name="SURT. INDUSTRIAL - 720" sheetId="276" r:id="rId230"/>
    <sheet name="INDUMETALICA SALAZAR - 721" sheetId="277" r:id="rId231"/>
    <sheet name="N T  LABS - 722" sheetId="278" r:id="rId232"/>
    <sheet name="GRUPO TEXTIL - 723" sheetId="281" r:id="rId233"/>
    <sheet name="TALLER ARMENIA - 726" sheetId="279" r:id="rId234"/>
    <sheet name="PMC - 728" sheetId="280" r:id="rId235"/>
    <sheet name="GLOVAL - 731" sheetId="282" r:id="rId236"/>
    <sheet name="LAMINCORTES - 732" sheetId="283" r:id="rId237"/>
    <sheet name="COSMO - 735" sheetId="284" r:id="rId238"/>
    <sheet name="GRUPO TEXTIL - 736" sheetId="285" r:id="rId239"/>
    <sheet name="CAMPOFRESCO - 738" sheetId="286" r:id="rId240"/>
    <sheet name="ARE - 739" sheetId="287" r:id="rId241"/>
    <sheet name="BACCA - 740" sheetId="288" r:id="rId242"/>
    <sheet name="ARE - 741" sheetId="289" r:id="rId243"/>
    <sheet name="ACUASUR - 744" sheetId="290" r:id="rId244"/>
    <sheet name="SERVIMETAL - 746" sheetId="291" r:id="rId245"/>
    <sheet name="PERDOMO - 753" sheetId="292" r:id="rId246"/>
    <sheet name="ACUASUR  - 754" sheetId="293" r:id="rId247"/>
    <sheet name="ARE - 755" sheetId="294" r:id="rId248"/>
    <sheet name="GRUPO TEXTIL -  758" sheetId="295" r:id="rId249"/>
    <sheet name="ACUASUR - 762" sheetId="296" r:id="rId250"/>
    <sheet name="SURTIND - 763" sheetId="297" r:id="rId251"/>
    <sheet name="TECNO-LAB - 765" sheetId="298" r:id="rId252"/>
    <sheet name="LAMINCORTES - 767" sheetId="299" r:id="rId253"/>
    <sheet name="COSMO - 773" sheetId="300" r:id="rId254"/>
    <sheet name="COSMO - 774" sheetId="301" r:id="rId255"/>
    <sheet name="CALDERAS HB - 781" sheetId="302" r:id="rId256"/>
    <sheet name="CURTIPIELES  - 785" sheetId="303" r:id="rId257"/>
    <sheet name="INSTRUCALD - 789" sheetId="304" r:id="rId258"/>
    <sheet name="COSMO - 793" sheetId="305" r:id="rId259"/>
    <sheet name="INDORODRIGUEZ - 794" sheetId="306" r:id="rId260"/>
    <sheet name="LAMINAS Y CORTES - 795" sheetId="307" r:id="rId261"/>
    <sheet name="LAMINAS Y CORTES - 796" sheetId="308" r:id="rId262"/>
    <sheet name="BTM - 799" sheetId="309" r:id="rId263"/>
    <sheet name="BTM - 801" sheetId="310" r:id="rId264"/>
    <sheet name="PRAIN - 802" sheetId="311" r:id="rId265"/>
    <sheet name="LAMINAS Y CORTES - 803" sheetId="312" r:id="rId266"/>
    <sheet name="LAMINAS Y CORTES - 805" sheetId="313" r:id="rId267"/>
    <sheet name="LAMINAS Y CORTES - 806" sheetId="314" r:id="rId268"/>
    <sheet name="LAMMINAS Y CORTES  - 807" sheetId="315" r:id="rId269"/>
    <sheet name="GRUPO TEXTIL - 813" sheetId="316" r:id="rId270"/>
    <sheet name="JCGB - 818" sheetId="317" r:id="rId271"/>
    <sheet name="LAMINCORTES - 820" sheetId="318" r:id="rId272"/>
    <sheet name="COSMO - 821" sheetId="319" r:id="rId273"/>
    <sheet name="INGECOAE - 824" sheetId="320" r:id="rId274"/>
    <sheet name="GRUPO TEXTIL - 825" sheetId="321" r:id="rId275"/>
    <sheet name="BTM - 826" sheetId="322" r:id="rId276"/>
    <sheet name="EQUING S.A.S - 829" sheetId="323" r:id="rId277"/>
    <sheet name="SURAMERICA - 837" sheetId="324" r:id="rId278"/>
    <sheet name="LAMINCORTES - 839" sheetId="325" r:id="rId279"/>
    <sheet name="ACUASUR - 840" sheetId="326" r:id="rId280"/>
    <sheet name="RETNIND - 841" sheetId="327" r:id="rId281"/>
    <sheet name="ARE - 842" sheetId="328" r:id="rId282"/>
    <sheet name="HERRACIND - 845" sheetId="329" r:id="rId283"/>
    <sheet name="GRUPO TEXTIL -  852" sheetId="330" r:id="rId284"/>
    <sheet name="ARE SERVICIOS - 856" sheetId="331" r:id="rId285"/>
    <sheet name="M.T.M.  -  866" sheetId="332" r:id="rId286"/>
    <sheet name="OZ DIST - 874" sheetId="333" r:id="rId287"/>
    <sheet name="M T M - 875" sheetId="334" r:id="rId288"/>
    <sheet name="G&amp;M  -  876" sheetId="335" r:id="rId289"/>
    <sheet name="SERINCI - 877" sheetId="337" r:id="rId290"/>
    <sheet name="ARE - 878" sheetId="336" r:id="rId291"/>
    <sheet name="DOSIFICANDO - 882" sheetId="338" r:id="rId292"/>
    <sheet name="BTM -883" sheetId="339" r:id="rId293"/>
    <sheet name="IMPROYMEC - 884" sheetId="340" r:id="rId294"/>
    <sheet name="ARE - 886" sheetId="341" r:id="rId295"/>
    <sheet name="CIAL TUBYLAM - 887" sheetId="342" r:id="rId296"/>
    <sheet name="J I G  -  888" sheetId="343" r:id="rId297"/>
    <sheet name="2222 - 890" sheetId="344" r:id="rId298"/>
    <sheet name="DIST. PRAIN  -  892" sheetId="345" r:id="rId299"/>
    <sheet name="M.T.M.  - 894" sheetId="346" r:id="rId300"/>
    <sheet name="ALFREDO - 902" sheetId="347" r:id="rId301"/>
    <sheet name="PRAIN - 903" sheetId="348" r:id="rId302"/>
    <sheet name="RETEIND - 905" sheetId="349" r:id="rId303"/>
    <sheet name="2222 - 906" sheetId="350" r:id="rId304"/>
    <sheet name="JUAN DAVID - 907" sheetId="351" r:id="rId305"/>
    <sheet name="D'ACERO - 912" sheetId="352" r:id="rId306"/>
    <sheet name="SURTIND - 913" sheetId="353" r:id="rId307"/>
    <sheet name="SURTIND - 914" sheetId="354" r:id="rId308"/>
    <sheet name="GRUPO TEXTIL - 916" sheetId="355" r:id="rId309"/>
    <sheet name="ACEGRALES - 921" sheetId="356" r:id="rId310"/>
    <sheet name="ARTFRIGO - 923" sheetId="357" r:id="rId311"/>
    <sheet name="AYA - 924" sheetId="358" r:id="rId312"/>
    <sheet name="ACOPLES IND - 931" sheetId="359" r:id="rId313"/>
    <sheet name="IMAD  S.A.S. - 935" sheetId="360" r:id="rId314"/>
    <sheet name="HERRACIND - 939" sheetId="361" r:id="rId315"/>
    <sheet name="FESAT - 940" sheetId="362" r:id="rId316"/>
    <sheet name="MECHANICAL - 941" sheetId="363" r:id="rId317"/>
    <sheet name="PROM - 942" sheetId="364" r:id="rId318"/>
    <sheet name="HYCO - 944" sheetId="365" r:id="rId319"/>
    <sheet name="DICAV - 746" sheetId="366" r:id="rId320"/>
    <sheet name="DOSIFICANDO - 949" sheetId="367" r:id="rId321"/>
    <sheet name="MTMTO METAL - 950" sheetId="368" r:id="rId322"/>
    <sheet name="ACUASUR - 954" sheetId="369" r:id="rId323"/>
    <sheet name="HYCO - 957" sheetId="370" r:id="rId324"/>
    <sheet name="VELMU - 958" sheetId="371" r:id="rId325"/>
    <sheet name="SURTINDUSTRIAL - 962" sheetId="372" r:id="rId326"/>
    <sheet name="PROM - 963" sheetId="373" r:id="rId327"/>
    <sheet name="AYA - 966" sheetId="374" r:id="rId328"/>
    <sheet name="INSTRUCALD - 967" sheetId="375" r:id="rId329"/>
    <sheet name="EQUING - 969" sheetId="376" r:id="rId330"/>
    <sheet name="BOMBAS Y FLUIDOS - 971" sheetId="377" r:id="rId331"/>
    <sheet name="GRUPO TEXTIL - 972" sheetId="378" r:id="rId332"/>
    <sheet name="EQUING - 977" sheetId="380" r:id="rId333"/>
    <sheet name="IMA - 978" sheetId="381" r:id="rId334"/>
    <sheet name="GRUPO TEXTIL - 979" sheetId="379" r:id="rId335"/>
    <sheet name="GALLEGO - 980" sheetId="382" r:id="rId336"/>
    <sheet name="CURTIPIELES - 981" sheetId="383" r:id="rId337"/>
    <sheet name="PRAIN - 983" sheetId="384" r:id="rId338"/>
    <sheet name="MECAVAL - 985" sheetId="385" r:id="rId339"/>
    <sheet name="COSMO - 986" sheetId="386" r:id="rId340"/>
    <sheet name="CHILLER - 988" sheetId="387" r:id="rId341"/>
    <sheet name="CHILLER - 989" sheetId="388" r:id="rId342"/>
    <sheet name="EQUING - 992" sheetId="389" r:id="rId343"/>
    <sheet name="EQUING - 994" sheetId="391" r:id="rId344"/>
    <sheet name="GRUPO TEXTIL - 995" sheetId="392" r:id="rId345"/>
    <sheet name="COSMO - 1002" sheetId="393" r:id="rId346"/>
    <sheet name="COSMO - 1003" sheetId="394" r:id="rId347"/>
    <sheet name="COSMO - 1007" sheetId="395" r:id="rId348"/>
    <sheet name="TAMETCO - 1008" sheetId="396" r:id="rId349"/>
    <sheet name="TERMOCALDERA - 1009" sheetId="397" r:id="rId350"/>
    <sheet name="TAMETCO - 1010" sheetId="398" r:id="rId351"/>
    <sheet name="CANDELO - 1014" sheetId="399" r:id="rId352"/>
    <sheet name="MOSAICO - 1015" sheetId="400" r:id="rId353"/>
    <sheet name="SMART SEAL - 1018" sheetId="401" r:id="rId354"/>
    <sheet name="HYCO - 1019" sheetId="402" r:id="rId355"/>
    <sheet name="COSMO - 1020" sheetId="403" r:id="rId356"/>
    <sheet name="COSMO - 1021" sheetId="404" r:id="rId357"/>
    <sheet name="MARIÑO - 1025" sheetId="405" r:id="rId358"/>
    <sheet name="COSMO - 1027" sheetId="390" r:id="rId359"/>
    <sheet name="AYA - 1028" sheetId="406" r:id="rId360"/>
    <sheet name="JUAN CAMILO - 1030" sheetId="407" r:id="rId361"/>
    <sheet name="PINTUZAPATA - 1035" sheetId="408" r:id="rId362"/>
    <sheet name="ROSA ELENA - 1038" sheetId="409" r:id="rId363"/>
    <sheet name="MECAVAL - 1040" sheetId="410" r:id="rId364"/>
    <sheet name="M T M  - 1048" sheetId="411" r:id="rId365"/>
    <sheet name="MECAVAL - 1049" sheetId="412" r:id="rId366"/>
    <sheet name="SERINCI - 1051" sheetId="413" r:id="rId367"/>
    <sheet name="COSMO - 1052" sheetId="414" r:id="rId368"/>
    <sheet name="ACUASUR - 1060" sheetId="415" r:id="rId369"/>
    <sheet name=" MONT Y MAQ - 1066" sheetId="416" r:id="rId370"/>
    <sheet name="ING Y MECAN - 1068" sheetId="417" r:id="rId371"/>
    <sheet name="SIDELVA - 1070" sheetId="418" r:id="rId372"/>
    <sheet name="INSTRUCALD - 1072" sheetId="419" r:id="rId373"/>
    <sheet name="DICAV - 1074" sheetId="420" r:id="rId374"/>
    <sheet name="VITTAL - 1077" sheetId="421" r:id="rId375"/>
    <sheet name="ARTFRIGO - 1081" sheetId="422" r:id="rId376"/>
    <sheet name="CURTIPIELES -1084" sheetId="423" r:id="rId377"/>
    <sheet name="STACRUZ - 1085" sheetId="424" r:id="rId378"/>
    <sheet name="OCCIDENTAL - 1089" sheetId="425" r:id="rId379"/>
    <sheet name="SERGECTEC - 1091" sheetId="426" r:id="rId380"/>
    <sheet name="CAMPOFRESCO - 1093" sheetId="427" r:id="rId381"/>
    <sheet name="M.T.M. - 1096" sheetId="428" r:id="rId382"/>
    <sheet name="INSE - 1100" sheetId="429" r:id="rId383"/>
    <sheet name="D'ONE - 1106" sheetId="430" r:id="rId384"/>
    <sheet name="INSE - 1115" sheetId="431" r:id="rId385"/>
    <sheet name="COSMO - 1121" sheetId="432" r:id="rId386"/>
    <sheet name="AMG - 1122" sheetId="433" r:id="rId38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3" i="433" l="1"/>
  <c r="D14" i="433"/>
  <c r="D16" i="433" s="1"/>
  <c r="C19" i="433" s="1"/>
  <c r="H11" i="433"/>
  <c r="H14" i="433" s="1"/>
  <c r="H3" i="433"/>
  <c r="F22" i="433" l="1"/>
  <c r="H21" i="433" s="1"/>
  <c r="H16" i="433"/>
  <c r="C21" i="433" s="1"/>
  <c r="C28" i="433"/>
  <c r="H19" i="433" s="1"/>
  <c r="F24" i="433" l="1"/>
  <c r="H23" i="433" s="1"/>
  <c r="H25" i="433" s="1"/>
  <c r="H27" i="433" s="1"/>
  <c r="C23" i="432"/>
  <c r="D14" i="432"/>
  <c r="D16" i="432" s="1"/>
  <c r="C19" i="432" s="1"/>
  <c r="H11" i="432"/>
  <c r="H14" i="432" s="1"/>
  <c r="H3" i="432"/>
  <c r="F22" i="432" l="1"/>
  <c r="H21" i="432" s="1"/>
  <c r="H16" i="432"/>
  <c r="C21" i="432" s="1"/>
  <c r="C28" i="432"/>
  <c r="H19" i="432" s="1"/>
  <c r="F24" i="432" l="1"/>
  <c r="H23" i="432" s="1"/>
  <c r="H25" i="432" s="1"/>
  <c r="H27" i="432" s="1"/>
  <c r="C23" i="431" l="1"/>
  <c r="D14" i="431"/>
  <c r="D16" i="431" s="1"/>
  <c r="C19" i="431" s="1"/>
  <c r="H12" i="431"/>
  <c r="H11" i="431"/>
  <c r="H14" i="431" s="1"/>
  <c r="H3" i="431"/>
  <c r="H12" i="430"/>
  <c r="C23" i="430"/>
  <c r="D14" i="430"/>
  <c r="D16" i="430" s="1"/>
  <c r="C19" i="430" s="1"/>
  <c r="H11" i="430"/>
  <c r="H14" i="430" s="1"/>
  <c r="H3" i="430"/>
  <c r="C23" i="429"/>
  <c r="D14" i="429"/>
  <c r="D16" i="429" s="1"/>
  <c r="C19" i="429" s="1"/>
  <c r="H11" i="429"/>
  <c r="H14" i="429" s="1"/>
  <c r="H3" i="429"/>
  <c r="C23" i="428"/>
  <c r="D14" i="428"/>
  <c r="D16" i="428" s="1"/>
  <c r="C19" i="428" s="1"/>
  <c r="H11" i="428"/>
  <c r="H14" i="428" s="1"/>
  <c r="H3" i="428"/>
  <c r="C23" i="427"/>
  <c r="D14" i="427"/>
  <c r="D16" i="427" s="1"/>
  <c r="C19" i="427" s="1"/>
  <c r="H11" i="427"/>
  <c r="H14" i="427" s="1"/>
  <c r="H3" i="427"/>
  <c r="F22" i="431" l="1"/>
  <c r="H21" i="431" s="1"/>
  <c r="H16" i="431"/>
  <c r="C21" i="431" s="1"/>
  <c r="C28" i="431"/>
  <c r="H19" i="431" s="1"/>
  <c r="F22" i="430"/>
  <c r="H21" i="430" s="1"/>
  <c r="H16" i="430"/>
  <c r="C21" i="430" s="1"/>
  <c r="C28" i="430"/>
  <c r="H19" i="430" s="1"/>
  <c r="F22" i="429"/>
  <c r="H21" i="429" s="1"/>
  <c r="H16" i="429"/>
  <c r="C21" i="429" s="1"/>
  <c r="C28" i="429"/>
  <c r="H19" i="429" s="1"/>
  <c r="F22" i="428"/>
  <c r="H21" i="428" s="1"/>
  <c r="H16" i="428"/>
  <c r="C21" i="428" s="1"/>
  <c r="C28" i="428"/>
  <c r="H19" i="428" s="1"/>
  <c r="F22" i="427"/>
  <c r="H21" i="427" s="1"/>
  <c r="H16" i="427"/>
  <c r="C21" i="427" s="1"/>
  <c r="C28" i="427"/>
  <c r="H19" i="427" s="1"/>
  <c r="F24" i="431" l="1"/>
  <c r="H23" i="431" s="1"/>
  <c r="H25" i="431" s="1"/>
  <c r="H27" i="431" s="1"/>
  <c r="F24" i="430"/>
  <c r="H23" i="430" s="1"/>
  <c r="H25" i="430" s="1"/>
  <c r="H27" i="430" s="1"/>
  <c r="F24" i="429"/>
  <c r="H23" i="429" s="1"/>
  <c r="H25" i="429" s="1"/>
  <c r="H27" i="429" s="1"/>
  <c r="F24" i="428"/>
  <c r="H23" i="428" s="1"/>
  <c r="H25" i="428" s="1"/>
  <c r="H27" i="428" s="1"/>
  <c r="F24" i="427"/>
  <c r="H23" i="427" s="1"/>
  <c r="H25" i="427" s="1"/>
  <c r="H27" i="427" s="1"/>
  <c r="C23" i="426"/>
  <c r="D14" i="426"/>
  <c r="D16" i="426" s="1"/>
  <c r="C19" i="426" s="1"/>
  <c r="H11" i="426"/>
  <c r="H14" i="426" s="1"/>
  <c r="H3" i="426"/>
  <c r="C23" i="425"/>
  <c r="D14" i="425"/>
  <c r="D16" i="425" s="1"/>
  <c r="C19" i="425" s="1"/>
  <c r="H11" i="425"/>
  <c r="H14" i="425" s="1"/>
  <c r="H3" i="425"/>
  <c r="C23" i="424"/>
  <c r="D14" i="424"/>
  <c r="D16" i="424" s="1"/>
  <c r="C19" i="424" s="1"/>
  <c r="H11" i="424"/>
  <c r="H14" i="424" s="1"/>
  <c r="H3" i="424"/>
  <c r="C23" i="423"/>
  <c r="D14" i="423"/>
  <c r="D16" i="423" s="1"/>
  <c r="C19" i="423" s="1"/>
  <c r="H11" i="423"/>
  <c r="H14" i="423" s="1"/>
  <c r="H3" i="423"/>
  <c r="C23" i="422"/>
  <c r="D14" i="422"/>
  <c r="D16" i="422" s="1"/>
  <c r="C19" i="422" s="1"/>
  <c r="H11" i="422"/>
  <c r="H14" i="422" s="1"/>
  <c r="H3" i="422"/>
  <c r="C23" i="421"/>
  <c r="D14" i="421"/>
  <c r="D16" i="421" s="1"/>
  <c r="C19" i="421" s="1"/>
  <c r="H11" i="421"/>
  <c r="H14" i="421" s="1"/>
  <c r="H3" i="421"/>
  <c r="F22" i="426" l="1"/>
  <c r="H21" i="426" s="1"/>
  <c r="H16" i="426"/>
  <c r="C21" i="426" s="1"/>
  <c r="C28" i="426"/>
  <c r="H19" i="426" s="1"/>
  <c r="F22" i="425"/>
  <c r="H21" i="425" s="1"/>
  <c r="H16" i="425"/>
  <c r="C21" i="425" s="1"/>
  <c r="C28" i="425"/>
  <c r="H19" i="425" s="1"/>
  <c r="F22" i="424"/>
  <c r="H21" i="424" s="1"/>
  <c r="H16" i="424"/>
  <c r="C21" i="424" s="1"/>
  <c r="C28" i="424"/>
  <c r="H19" i="424" s="1"/>
  <c r="F22" i="423"/>
  <c r="H21" i="423" s="1"/>
  <c r="H16" i="423"/>
  <c r="C21" i="423" s="1"/>
  <c r="C28" i="423"/>
  <c r="H19" i="423" s="1"/>
  <c r="F22" i="422"/>
  <c r="H21" i="422" s="1"/>
  <c r="H16" i="422"/>
  <c r="C21" i="422" s="1"/>
  <c r="C28" i="422"/>
  <c r="H19" i="422" s="1"/>
  <c r="F22" i="421"/>
  <c r="H21" i="421" s="1"/>
  <c r="H16" i="421"/>
  <c r="C21" i="421" s="1"/>
  <c r="C28" i="421"/>
  <c r="H19" i="421" s="1"/>
  <c r="F24" i="426" l="1"/>
  <c r="H23" i="426" s="1"/>
  <c r="H25" i="426" s="1"/>
  <c r="H27" i="426" s="1"/>
  <c r="F24" i="425"/>
  <c r="H23" i="425" s="1"/>
  <c r="H25" i="425" s="1"/>
  <c r="H27" i="425" s="1"/>
  <c r="F24" i="424"/>
  <c r="H23" i="424" s="1"/>
  <c r="H25" i="424" s="1"/>
  <c r="H27" i="424" s="1"/>
  <c r="F24" i="423"/>
  <c r="H23" i="423" s="1"/>
  <c r="H25" i="423" s="1"/>
  <c r="H27" i="423" s="1"/>
  <c r="F24" i="422"/>
  <c r="H23" i="422" s="1"/>
  <c r="H25" i="422" s="1"/>
  <c r="H27" i="422" s="1"/>
  <c r="F24" i="421"/>
  <c r="H23" i="421" s="1"/>
  <c r="H25" i="421" s="1"/>
  <c r="H27" i="421" s="1"/>
  <c r="C23" i="420" l="1"/>
  <c r="D14" i="420"/>
  <c r="D16" i="420" s="1"/>
  <c r="C19" i="420" s="1"/>
  <c r="H11" i="420"/>
  <c r="H14" i="420" s="1"/>
  <c r="H3" i="420"/>
  <c r="C23" i="419"/>
  <c r="D14" i="419"/>
  <c r="D16" i="419" s="1"/>
  <c r="C19" i="419" s="1"/>
  <c r="H11" i="419"/>
  <c r="H14" i="419" s="1"/>
  <c r="H3" i="419"/>
  <c r="C23" i="418"/>
  <c r="D14" i="418"/>
  <c r="D16" i="418" s="1"/>
  <c r="C19" i="418" s="1"/>
  <c r="H11" i="418"/>
  <c r="H14" i="418" s="1"/>
  <c r="H3" i="418"/>
  <c r="C23" i="417"/>
  <c r="D14" i="417"/>
  <c r="D16" i="417" s="1"/>
  <c r="C19" i="417" s="1"/>
  <c r="H11" i="417"/>
  <c r="H14" i="417" s="1"/>
  <c r="H3" i="417"/>
  <c r="C23" i="416"/>
  <c r="D14" i="416"/>
  <c r="D16" i="416" s="1"/>
  <c r="C19" i="416" s="1"/>
  <c r="H11" i="416"/>
  <c r="H14" i="416" s="1"/>
  <c r="H3" i="416"/>
  <c r="C23" i="415"/>
  <c r="D14" i="415"/>
  <c r="D16" i="415" s="1"/>
  <c r="C19" i="415" s="1"/>
  <c r="H11" i="415"/>
  <c r="H14" i="415" s="1"/>
  <c r="H3" i="415"/>
  <c r="C23" i="414"/>
  <c r="D14" i="414"/>
  <c r="D16" i="414" s="1"/>
  <c r="C19" i="414" s="1"/>
  <c r="H11" i="414"/>
  <c r="H14" i="414"/>
  <c r="H3" i="414"/>
  <c r="C23" i="413"/>
  <c r="D14" i="413"/>
  <c r="D16" i="413" s="1"/>
  <c r="C19" i="413" s="1"/>
  <c r="H11" i="413"/>
  <c r="H10" i="413"/>
  <c r="H14" i="413" s="1"/>
  <c r="H3" i="413"/>
  <c r="F22" i="420" l="1"/>
  <c r="H21" i="420" s="1"/>
  <c r="H16" i="420"/>
  <c r="C21" i="420" s="1"/>
  <c r="C28" i="420"/>
  <c r="H19" i="420" s="1"/>
  <c r="F22" i="419"/>
  <c r="H21" i="419" s="1"/>
  <c r="H16" i="419"/>
  <c r="C21" i="419" s="1"/>
  <c r="C28" i="419"/>
  <c r="H19" i="419" s="1"/>
  <c r="F22" i="418"/>
  <c r="H21" i="418" s="1"/>
  <c r="H16" i="418"/>
  <c r="C21" i="418" s="1"/>
  <c r="C28" i="418"/>
  <c r="H19" i="418" s="1"/>
  <c r="F22" i="417"/>
  <c r="H21" i="417" s="1"/>
  <c r="H16" i="417"/>
  <c r="C21" i="417" s="1"/>
  <c r="C28" i="417"/>
  <c r="H19" i="417" s="1"/>
  <c r="F22" i="416"/>
  <c r="H21" i="416" s="1"/>
  <c r="H16" i="416"/>
  <c r="C21" i="416" s="1"/>
  <c r="C28" i="416"/>
  <c r="H19" i="416" s="1"/>
  <c r="F22" i="415"/>
  <c r="H21" i="415" s="1"/>
  <c r="H16" i="415"/>
  <c r="C21" i="415" s="1"/>
  <c r="C28" i="415"/>
  <c r="H19" i="415" s="1"/>
  <c r="F22" i="414"/>
  <c r="H21" i="414" s="1"/>
  <c r="H16" i="414"/>
  <c r="C21" i="414" s="1"/>
  <c r="C28" i="414"/>
  <c r="H19" i="414" s="1"/>
  <c r="F22" i="413"/>
  <c r="H21" i="413" s="1"/>
  <c r="H16" i="413"/>
  <c r="C21" i="413" s="1"/>
  <c r="C28" i="413"/>
  <c r="H19" i="413" s="1"/>
  <c r="F24" i="420" l="1"/>
  <c r="H23" i="420" s="1"/>
  <c r="H25" i="420" s="1"/>
  <c r="H27" i="420" s="1"/>
  <c r="F24" i="419"/>
  <c r="H23" i="419" s="1"/>
  <c r="H25" i="419" s="1"/>
  <c r="H27" i="419" s="1"/>
  <c r="F24" i="418"/>
  <c r="H23" i="418" s="1"/>
  <c r="H25" i="418" s="1"/>
  <c r="H27" i="418" s="1"/>
  <c r="F24" i="417"/>
  <c r="H23" i="417" s="1"/>
  <c r="H25" i="417" s="1"/>
  <c r="H27" i="417" s="1"/>
  <c r="F24" i="416"/>
  <c r="H23" i="416" s="1"/>
  <c r="H25" i="416" s="1"/>
  <c r="H27" i="416" s="1"/>
  <c r="F24" i="415"/>
  <c r="H23" i="415" s="1"/>
  <c r="H25" i="415" s="1"/>
  <c r="H27" i="415" s="1"/>
  <c r="F24" i="414"/>
  <c r="H23" i="414" s="1"/>
  <c r="H25" i="414" s="1"/>
  <c r="H27" i="414" s="1"/>
  <c r="F24" i="413"/>
  <c r="H23" i="413" s="1"/>
  <c r="H25" i="413" s="1"/>
  <c r="H27" i="413" s="1"/>
  <c r="C23" i="412" l="1"/>
  <c r="D14" i="412"/>
  <c r="D16" i="412" s="1"/>
  <c r="C19" i="412" s="1"/>
  <c r="H11" i="412"/>
  <c r="H10" i="412"/>
  <c r="H14" i="412" s="1"/>
  <c r="H3" i="412"/>
  <c r="C23" i="411"/>
  <c r="D14" i="411"/>
  <c r="D16" i="411" s="1"/>
  <c r="C19" i="411" s="1"/>
  <c r="H11" i="411"/>
  <c r="H10" i="411"/>
  <c r="H14" i="411" s="1"/>
  <c r="H3" i="411"/>
  <c r="F22" i="412" l="1"/>
  <c r="H21" i="412" s="1"/>
  <c r="H16" i="412"/>
  <c r="C21" i="412" s="1"/>
  <c r="C28" i="412"/>
  <c r="H19" i="412" s="1"/>
  <c r="F22" i="411"/>
  <c r="H21" i="411" s="1"/>
  <c r="H16" i="411"/>
  <c r="C21" i="411" s="1"/>
  <c r="C28" i="411"/>
  <c r="H19" i="411" s="1"/>
  <c r="F24" i="412" l="1"/>
  <c r="H23" i="412" s="1"/>
  <c r="H25" i="412" s="1"/>
  <c r="H27" i="412" s="1"/>
  <c r="F24" i="411"/>
  <c r="H23" i="411" s="1"/>
  <c r="H25" i="411" s="1"/>
  <c r="H27" i="411" s="1"/>
  <c r="C23" i="410"/>
  <c r="D14" i="410"/>
  <c r="D16" i="410" s="1"/>
  <c r="C19" i="410" s="1"/>
  <c r="H11" i="410"/>
  <c r="H10" i="410"/>
  <c r="H14" i="410" s="1"/>
  <c r="H3" i="410"/>
  <c r="C23" i="409"/>
  <c r="D14" i="409"/>
  <c r="D16" i="409" s="1"/>
  <c r="C19" i="409" s="1"/>
  <c r="H11" i="409"/>
  <c r="H10" i="409"/>
  <c r="H14" i="409" s="1"/>
  <c r="H3" i="409"/>
  <c r="C23" i="408"/>
  <c r="D14" i="408"/>
  <c r="D16" i="408" s="1"/>
  <c r="C19" i="408" s="1"/>
  <c r="H11" i="408"/>
  <c r="H10" i="408"/>
  <c r="H14" i="408" s="1"/>
  <c r="H3" i="408"/>
  <c r="F22" i="410" l="1"/>
  <c r="H21" i="410" s="1"/>
  <c r="H16" i="410"/>
  <c r="C21" i="410" s="1"/>
  <c r="C28" i="410"/>
  <c r="H19" i="410" s="1"/>
  <c r="F22" i="409"/>
  <c r="H21" i="409" s="1"/>
  <c r="H16" i="409"/>
  <c r="C21" i="409" s="1"/>
  <c r="C28" i="409"/>
  <c r="H19" i="409" s="1"/>
  <c r="F22" i="408"/>
  <c r="H21" i="408" s="1"/>
  <c r="H16" i="408"/>
  <c r="C21" i="408" s="1"/>
  <c r="C28" i="408"/>
  <c r="H19" i="408" s="1"/>
  <c r="F24" i="410" l="1"/>
  <c r="H23" i="410" s="1"/>
  <c r="H25" i="410" s="1"/>
  <c r="H27" i="410" s="1"/>
  <c r="F24" i="409"/>
  <c r="H23" i="409" s="1"/>
  <c r="H25" i="409" s="1"/>
  <c r="H27" i="409" s="1"/>
  <c r="F24" i="408"/>
  <c r="H23" i="408" s="1"/>
  <c r="H25" i="408" s="1"/>
  <c r="H27" i="408" s="1"/>
  <c r="C23" i="407"/>
  <c r="D14" i="407"/>
  <c r="D16" i="407" s="1"/>
  <c r="C19" i="407" s="1"/>
  <c r="H11" i="407"/>
  <c r="H10" i="407"/>
  <c r="H14" i="407" s="1"/>
  <c r="H3" i="407"/>
  <c r="C23" i="406"/>
  <c r="D14" i="406"/>
  <c r="D16" i="406" s="1"/>
  <c r="C19" i="406" s="1"/>
  <c r="H11" i="406"/>
  <c r="H10" i="406"/>
  <c r="H14" i="406" s="1"/>
  <c r="H3" i="406"/>
  <c r="C23" i="390"/>
  <c r="D14" i="390"/>
  <c r="D16" i="390" s="1"/>
  <c r="C19" i="390" s="1"/>
  <c r="H11" i="390"/>
  <c r="H10" i="390"/>
  <c r="H14" i="390" s="1"/>
  <c r="H3" i="390"/>
  <c r="F22" i="407" l="1"/>
  <c r="H21" i="407" s="1"/>
  <c r="H16" i="407"/>
  <c r="C21" i="407" s="1"/>
  <c r="C28" i="407"/>
  <c r="H19" i="407" s="1"/>
  <c r="F22" i="406"/>
  <c r="H21" i="406" s="1"/>
  <c r="H16" i="406"/>
  <c r="C21" i="406" s="1"/>
  <c r="C28" i="406"/>
  <c r="H19" i="406" s="1"/>
  <c r="F22" i="390"/>
  <c r="H21" i="390" s="1"/>
  <c r="H16" i="390"/>
  <c r="C21" i="390" s="1"/>
  <c r="C28" i="390"/>
  <c r="H19" i="390" s="1"/>
  <c r="F24" i="407" l="1"/>
  <c r="H23" i="407" s="1"/>
  <c r="H25" i="407" s="1"/>
  <c r="H27" i="407" s="1"/>
  <c r="F24" i="406"/>
  <c r="H23" i="406" s="1"/>
  <c r="H25" i="406" s="1"/>
  <c r="H27" i="406" s="1"/>
  <c r="F24" i="390"/>
  <c r="H23" i="390" s="1"/>
  <c r="H25" i="390" s="1"/>
  <c r="H27" i="390" s="1"/>
  <c r="C23" i="405" l="1"/>
  <c r="D14" i="405"/>
  <c r="D16" i="405" s="1"/>
  <c r="C19" i="405" s="1"/>
  <c r="H11" i="405"/>
  <c r="H10" i="405"/>
  <c r="H14" i="405" s="1"/>
  <c r="H3" i="405"/>
  <c r="F22" i="405" l="1"/>
  <c r="H21" i="405" s="1"/>
  <c r="H16" i="405"/>
  <c r="C21" i="405" s="1"/>
  <c r="C28" i="405"/>
  <c r="H19" i="405" s="1"/>
  <c r="F24" i="405" l="1"/>
  <c r="H23" i="405" s="1"/>
  <c r="H25" i="405" s="1"/>
  <c r="H27" i="405" s="1"/>
  <c r="C23" i="404" l="1"/>
  <c r="D14" i="404"/>
  <c r="D16" i="404" s="1"/>
  <c r="C19" i="404" s="1"/>
  <c r="H11" i="404"/>
  <c r="H10" i="404"/>
  <c r="H14" i="404" s="1"/>
  <c r="H3" i="404"/>
  <c r="C23" i="403"/>
  <c r="D14" i="403"/>
  <c r="D16" i="403" s="1"/>
  <c r="C19" i="403" s="1"/>
  <c r="H11" i="403"/>
  <c r="H10" i="403"/>
  <c r="H14" i="403" s="1"/>
  <c r="H3" i="403"/>
  <c r="C23" i="402"/>
  <c r="D14" i="402"/>
  <c r="D16" i="402" s="1"/>
  <c r="C19" i="402" s="1"/>
  <c r="H11" i="402"/>
  <c r="H10" i="402"/>
  <c r="H14" i="402" s="1"/>
  <c r="H3" i="402"/>
  <c r="C23" i="401"/>
  <c r="D14" i="401"/>
  <c r="D16" i="401" s="1"/>
  <c r="C19" i="401" s="1"/>
  <c r="H11" i="401"/>
  <c r="H10" i="401"/>
  <c r="H14" i="401" s="1"/>
  <c r="H3" i="401"/>
  <c r="C23" i="400"/>
  <c r="D14" i="400"/>
  <c r="D16" i="400" s="1"/>
  <c r="C19" i="400" s="1"/>
  <c r="H11" i="400"/>
  <c r="H10" i="400"/>
  <c r="H14" i="400" s="1"/>
  <c r="H3" i="400"/>
  <c r="C23" i="399"/>
  <c r="D14" i="399"/>
  <c r="D16" i="399" s="1"/>
  <c r="C19" i="399" s="1"/>
  <c r="H11" i="399"/>
  <c r="H10" i="399"/>
  <c r="H14" i="399" s="1"/>
  <c r="H3" i="399"/>
  <c r="C23" i="398"/>
  <c r="D14" i="398"/>
  <c r="D16" i="398" s="1"/>
  <c r="C19" i="398" s="1"/>
  <c r="H12" i="398"/>
  <c r="H11" i="398"/>
  <c r="H10" i="398"/>
  <c r="H14" i="398" s="1"/>
  <c r="H3" i="398"/>
  <c r="C23" i="397"/>
  <c r="D14" i="397"/>
  <c r="D16" i="397" s="1"/>
  <c r="C19" i="397" s="1"/>
  <c r="H12" i="397"/>
  <c r="H11" i="397"/>
  <c r="H10" i="397"/>
  <c r="H14" i="397" s="1"/>
  <c r="H3" i="397"/>
  <c r="C23" i="396"/>
  <c r="D14" i="396"/>
  <c r="D16" i="396" s="1"/>
  <c r="C19" i="396" s="1"/>
  <c r="H12" i="396"/>
  <c r="H11" i="396"/>
  <c r="H10" i="396"/>
  <c r="H14" i="396" s="1"/>
  <c r="H3" i="396"/>
  <c r="C23" i="395"/>
  <c r="D14" i="395"/>
  <c r="D16" i="395" s="1"/>
  <c r="C19" i="395" s="1"/>
  <c r="H12" i="395"/>
  <c r="H11" i="395"/>
  <c r="H10" i="395"/>
  <c r="H14" i="395" s="1"/>
  <c r="H3" i="395"/>
  <c r="C23" i="394"/>
  <c r="D14" i="394"/>
  <c r="D16" i="394" s="1"/>
  <c r="C19" i="394" s="1"/>
  <c r="H12" i="394"/>
  <c r="H11" i="394"/>
  <c r="H10" i="394"/>
  <c r="H14" i="394" s="1"/>
  <c r="H3" i="394"/>
  <c r="C23" i="393"/>
  <c r="D14" i="393"/>
  <c r="D16" i="393" s="1"/>
  <c r="C19" i="393" s="1"/>
  <c r="H12" i="393"/>
  <c r="H11" i="393"/>
  <c r="H10" i="393"/>
  <c r="H14" i="393" s="1"/>
  <c r="H3" i="393"/>
  <c r="C23" i="392"/>
  <c r="D14" i="392"/>
  <c r="D16" i="392" s="1"/>
  <c r="C19" i="392" s="1"/>
  <c r="H12" i="392"/>
  <c r="H11" i="392"/>
  <c r="H10" i="392"/>
  <c r="H14" i="392" s="1"/>
  <c r="H3" i="392"/>
  <c r="C23" i="391"/>
  <c r="D14" i="391"/>
  <c r="D16" i="391" s="1"/>
  <c r="C19" i="391" s="1"/>
  <c r="H12" i="391"/>
  <c r="H11" i="391"/>
  <c r="H10" i="391"/>
  <c r="H14" i="391" s="1"/>
  <c r="H3" i="391"/>
  <c r="C23" i="389"/>
  <c r="D14" i="389"/>
  <c r="D16" i="389" s="1"/>
  <c r="C19" i="389" s="1"/>
  <c r="H12" i="389"/>
  <c r="H11" i="389"/>
  <c r="H10" i="389"/>
  <c r="H14" i="389" s="1"/>
  <c r="H3" i="389"/>
  <c r="C23" i="388"/>
  <c r="D14" i="388"/>
  <c r="D16" i="388" s="1"/>
  <c r="C19" i="388" s="1"/>
  <c r="H12" i="388"/>
  <c r="H11" i="388"/>
  <c r="H10" i="388"/>
  <c r="H14" i="388" s="1"/>
  <c r="H3" i="388"/>
  <c r="C23" i="387"/>
  <c r="D14" i="387"/>
  <c r="D16" i="387" s="1"/>
  <c r="C19" i="387" s="1"/>
  <c r="H12" i="387"/>
  <c r="H11" i="387"/>
  <c r="H10" i="387"/>
  <c r="H14" i="387" s="1"/>
  <c r="H3" i="387"/>
  <c r="C23" i="386"/>
  <c r="D14" i="386"/>
  <c r="D16" i="386" s="1"/>
  <c r="C19" i="386" s="1"/>
  <c r="H12" i="386"/>
  <c r="H11" i="386"/>
  <c r="H10" i="386"/>
  <c r="H14" i="386" s="1"/>
  <c r="H3" i="386"/>
  <c r="C23" i="385"/>
  <c r="D14" i="385"/>
  <c r="D16" i="385" s="1"/>
  <c r="C19" i="385" s="1"/>
  <c r="H12" i="385"/>
  <c r="H11" i="385"/>
  <c r="H10" i="385"/>
  <c r="H14" i="385" s="1"/>
  <c r="H3" i="385"/>
  <c r="F22" i="404" l="1"/>
  <c r="H21" i="404" s="1"/>
  <c r="H16" i="404"/>
  <c r="C21" i="404" s="1"/>
  <c r="C28" i="404"/>
  <c r="H19" i="404" s="1"/>
  <c r="F22" i="403"/>
  <c r="H21" i="403" s="1"/>
  <c r="H16" i="403"/>
  <c r="C21" i="403" s="1"/>
  <c r="C28" i="403"/>
  <c r="H19" i="403" s="1"/>
  <c r="F22" i="402"/>
  <c r="H21" i="402" s="1"/>
  <c r="H16" i="402"/>
  <c r="C21" i="402" s="1"/>
  <c r="C28" i="402"/>
  <c r="H19" i="402" s="1"/>
  <c r="F22" i="401"/>
  <c r="H21" i="401" s="1"/>
  <c r="H16" i="401"/>
  <c r="C21" i="401" s="1"/>
  <c r="C28" i="401"/>
  <c r="H19" i="401" s="1"/>
  <c r="F22" i="400"/>
  <c r="H21" i="400" s="1"/>
  <c r="H16" i="400"/>
  <c r="C21" i="400" s="1"/>
  <c r="C28" i="400"/>
  <c r="H19" i="400" s="1"/>
  <c r="F22" i="399"/>
  <c r="H21" i="399" s="1"/>
  <c r="H16" i="399"/>
  <c r="C21" i="399" s="1"/>
  <c r="C28" i="399"/>
  <c r="H19" i="399" s="1"/>
  <c r="F22" i="398"/>
  <c r="H21" i="398" s="1"/>
  <c r="H16" i="398"/>
  <c r="C21" i="398" s="1"/>
  <c r="C28" i="398"/>
  <c r="H19" i="398" s="1"/>
  <c r="F22" i="397"/>
  <c r="H21" i="397" s="1"/>
  <c r="H16" i="397"/>
  <c r="C21" i="397" s="1"/>
  <c r="C28" i="397"/>
  <c r="H19" i="397" s="1"/>
  <c r="F22" i="396"/>
  <c r="H21" i="396" s="1"/>
  <c r="H16" i="396"/>
  <c r="C21" i="396" s="1"/>
  <c r="C28" i="396"/>
  <c r="H19" i="396" s="1"/>
  <c r="F22" i="395"/>
  <c r="H21" i="395" s="1"/>
  <c r="H16" i="395"/>
  <c r="C21" i="395" s="1"/>
  <c r="C28" i="395"/>
  <c r="H19" i="395" s="1"/>
  <c r="F22" i="394"/>
  <c r="H21" i="394" s="1"/>
  <c r="H16" i="394"/>
  <c r="C21" i="394" s="1"/>
  <c r="C28" i="394"/>
  <c r="H19" i="394" s="1"/>
  <c r="F22" i="393"/>
  <c r="H21" i="393" s="1"/>
  <c r="H16" i="393"/>
  <c r="C21" i="393" s="1"/>
  <c r="C28" i="393"/>
  <c r="H19" i="393" s="1"/>
  <c r="F22" i="392"/>
  <c r="H21" i="392" s="1"/>
  <c r="H16" i="392"/>
  <c r="C21" i="392" s="1"/>
  <c r="C28" i="392"/>
  <c r="H19" i="392" s="1"/>
  <c r="F22" i="391"/>
  <c r="H21" i="391" s="1"/>
  <c r="H16" i="391"/>
  <c r="C21" i="391" s="1"/>
  <c r="C28" i="391"/>
  <c r="H19" i="391" s="1"/>
  <c r="F22" i="389"/>
  <c r="H21" i="389" s="1"/>
  <c r="H16" i="389"/>
  <c r="C21" i="389" s="1"/>
  <c r="C28" i="389"/>
  <c r="H19" i="389" s="1"/>
  <c r="F22" i="388"/>
  <c r="H21" i="388" s="1"/>
  <c r="H16" i="388"/>
  <c r="C21" i="388" s="1"/>
  <c r="C28" i="388"/>
  <c r="H19" i="388" s="1"/>
  <c r="F22" i="387"/>
  <c r="H21" i="387" s="1"/>
  <c r="H16" i="387"/>
  <c r="C21" i="387" s="1"/>
  <c r="C28" i="387"/>
  <c r="H19" i="387" s="1"/>
  <c r="F22" i="386"/>
  <c r="H21" i="386" s="1"/>
  <c r="H16" i="386"/>
  <c r="C21" i="386" s="1"/>
  <c r="C28" i="386"/>
  <c r="H19" i="386" s="1"/>
  <c r="F22" i="385"/>
  <c r="H21" i="385" s="1"/>
  <c r="H16" i="385"/>
  <c r="C21" i="385" s="1"/>
  <c r="C28" i="385"/>
  <c r="H19" i="385" s="1"/>
  <c r="F24" i="404" l="1"/>
  <c r="H23" i="404" s="1"/>
  <c r="H25" i="404" s="1"/>
  <c r="H27" i="404" s="1"/>
  <c r="F24" i="403"/>
  <c r="H23" i="403" s="1"/>
  <c r="H25" i="403" s="1"/>
  <c r="H27" i="403" s="1"/>
  <c r="F24" i="402"/>
  <c r="H23" i="402" s="1"/>
  <c r="H25" i="402" s="1"/>
  <c r="H27" i="402" s="1"/>
  <c r="F24" i="401"/>
  <c r="H23" i="401" s="1"/>
  <c r="H25" i="401" s="1"/>
  <c r="H27" i="401" s="1"/>
  <c r="F24" i="400"/>
  <c r="H23" i="400" s="1"/>
  <c r="H25" i="400" s="1"/>
  <c r="H27" i="400" s="1"/>
  <c r="F24" i="399"/>
  <c r="H23" i="399" s="1"/>
  <c r="H25" i="399" s="1"/>
  <c r="H27" i="399" s="1"/>
  <c r="F24" i="398"/>
  <c r="H23" i="398" s="1"/>
  <c r="H25" i="398" s="1"/>
  <c r="H27" i="398" s="1"/>
  <c r="F24" i="397"/>
  <c r="H23" i="397" s="1"/>
  <c r="H25" i="397" s="1"/>
  <c r="H27" i="397" s="1"/>
  <c r="F24" i="396"/>
  <c r="H23" i="396" s="1"/>
  <c r="H25" i="396" s="1"/>
  <c r="H27" i="396" s="1"/>
  <c r="F24" i="395"/>
  <c r="H23" i="395" s="1"/>
  <c r="H25" i="395" s="1"/>
  <c r="H27" i="395" s="1"/>
  <c r="F24" i="394"/>
  <c r="H23" i="394" s="1"/>
  <c r="H25" i="394" s="1"/>
  <c r="H27" i="394" s="1"/>
  <c r="F24" i="393"/>
  <c r="H23" i="393" s="1"/>
  <c r="H25" i="393" s="1"/>
  <c r="H27" i="393" s="1"/>
  <c r="F24" i="392"/>
  <c r="H23" i="392" s="1"/>
  <c r="H25" i="392" s="1"/>
  <c r="H27" i="392" s="1"/>
  <c r="F24" i="391"/>
  <c r="H23" i="391" s="1"/>
  <c r="H25" i="391" s="1"/>
  <c r="H27" i="391" s="1"/>
  <c r="F24" i="389"/>
  <c r="H23" i="389" s="1"/>
  <c r="H25" i="389" s="1"/>
  <c r="H27" i="389" s="1"/>
  <c r="F24" i="388"/>
  <c r="H23" i="388" s="1"/>
  <c r="H25" i="388" s="1"/>
  <c r="H27" i="388" s="1"/>
  <c r="F24" i="387"/>
  <c r="H23" i="387" s="1"/>
  <c r="H25" i="387" s="1"/>
  <c r="H27" i="387" s="1"/>
  <c r="F24" i="386"/>
  <c r="H23" i="386" s="1"/>
  <c r="H25" i="386" s="1"/>
  <c r="H27" i="386" s="1"/>
  <c r="F24" i="385"/>
  <c r="H23" i="385" s="1"/>
  <c r="H25" i="385" s="1"/>
  <c r="H27" i="385" s="1"/>
  <c r="C23" i="384" l="1"/>
  <c r="D14" i="384"/>
  <c r="D16" i="384" s="1"/>
  <c r="C19" i="384" s="1"/>
  <c r="H12" i="384"/>
  <c r="H11" i="384"/>
  <c r="H10" i="384"/>
  <c r="H14" i="384" s="1"/>
  <c r="H3" i="384"/>
  <c r="C23" i="383"/>
  <c r="D14" i="383"/>
  <c r="D16" i="383" s="1"/>
  <c r="C19" i="383" s="1"/>
  <c r="H12" i="383"/>
  <c r="H11" i="383"/>
  <c r="H10" i="383"/>
  <c r="H14" i="383" s="1"/>
  <c r="H3" i="383"/>
  <c r="C23" i="382"/>
  <c r="D14" i="382"/>
  <c r="D16" i="382" s="1"/>
  <c r="C19" i="382" s="1"/>
  <c r="H12" i="382"/>
  <c r="H11" i="382"/>
  <c r="H10" i="382"/>
  <c r="H14" i="382" s="1"/>
  <c r="H3" i="382"/>
  <c r="C23" i="381"/>
  <c r="D14" i="381"/>
  <c r="D16" i="381" s="1"/>
  <c r="C19" i="381" s="1"/>
  <c r="H12" i="381"/>
  <c r="H11" i="381"/>
  <c r="H10" i="381"/>
  <c r="H14" i="381" s="1"/>
  <c r="H3" i="381"/>
  <c r="C23" i="380"/>
  <c r="D14" i="380"/>
  <c r="D16" i="380" s="1"/>
  <c r="C19" i="380" s="1"/>
  <c r="H12" i="380"/>
  <c r="H11" i="380"/>
  <c r="H10" i="380"/>
  <c r="H14" i="380" s="1"/>
  <c r="H3" i="380"/>
  <c r="F22" i="384" l="1"/>
  <c r="H21" i="384" s="1"/>
  <c r="H16" i="384"/>
  <c r="C21" i="384" s="1"/>
  <c r="C28" i="384"/>
  <c r="H19" i="384" s="1"/>
  <c r="F22" i="383"/>
  <c r="H21" i="383" s="1"/>
  <c r="H16" i="383"/>
  <c r="C21" i="383" s="1"/>
  <c r="C28" i="383"/>
  <c r="H19" i="383" s="1"/>
  <c r="F22" i="382"/>
  <c r="H21" i="382" s="1"/>
  <c r="H16" i="382"/>
  <c r="C21" i="382" s="1"/>
  <c r="C28" i="382"/>
  <c r="H19" i="382" s="1"/>
  <c r="F22" i="381"/>
  <c r="H21" i="381" s="1"/>
  <c r="H16" i="381"/>
  <c r="C21" i="381" s="1"/>
  <c r="C28" i="381"/>
  <c r="H19" i="381" s="1"/>
  <c r="F22" i="380"/>
  <c r="H21" i="380" s="1"/>
  <c r="H16" i="380"/>
  <c r="C21" i="380" s="1"/>
  <c r="C28" i="380"/>
  <c r="H19" i="380" s="1"/>
  <c r="C23" i="379"/>
  <c r="D14" i="379"/>
  <c r="D16" i="379" s="1"/>
  <c r="C19" i="379" s="1"/>
  <c r="H12" i="379"/>
  <c r="H11" i="379"/>
  <c r="H10" i="379"/>
  <c r="H14" i="379" s="1"/>
  <c r="H3" i="379"/>
  <c r="F24" i="384" l="1"/>
  <c r="H23" i="384" s="1"/>
  <c r="H25" i="384" s="1"/>
  <c r="H27" i="384" s="1"/>
  <c r="F24" i="383"/>
  <c r="H23" i="383" s="1"/>
  <c r="H25" i="383" s="1"/>
  <c r="H27" i="383" s="1"/>
  <c r="F24" i="382"/>
  <c r="H23" i="382" s="1"/>
  <c r="H25" i="382" s="1"/>
  <c r="H27" i="382" s="1"/>
  <c r="F24" i="381"/>
  <c r="H23" i="381" s="1"/>
  <c r="H25" i="381" s="1"/>
  <c r="H27" i="381" s="1"/>
  <c r="F24" i="380"/>
  <c r="H23" i="380" s="1"/>
  <c r="H25" i="380" s="1"/>
  <c r="H27" i="380" s="1"/>
  <c r="F22" i="379"/>
  <c r="H21" i="379" s="1"/>
  <c r="H16" i="379"/>
  <c r="C21" i="379" s="1"/>
  <c r="C28" i="379"/>
  <c r="H19" i="379" s="1"/>
  <c r="F24" i="379" l="1"/>
  <c r="H23" i="379" s="1"/>
  <c r="H25" i="379" s="1"/>
  <c r="H27" i="379" s="1"/>
  <c r="C23" i="378" l="1"/>
  <c r="D14" i="378"/>
  <c r="D16" i="378" s="1"/>
  <c r="C19" i="378" s="1"/>
  <c r="H12" i="378"/>
  <c r="H11" i="378"/>
  <c r="H10" i="378"/>
  <c r="H14" i="378" s="1"/>
  <c r="H3" i="378"/>
  <c r="C23" i="377"/>
  <c r="D14" i="377"/>
  <c r="D16" i="377" s="1"/>
  <c r="C19" i="377" s="1"/>
  <c r="H12" i="377"/>
  <c r="H11" i="377"/>
  <c r="H10" i="377"/>
  <c r="H14" i="377" s="1"/>
  <c r="H3" i="377"/>
  <c r="C23" i="376"/>
  <c r="D14" i="376"/>
  <c r="D16" i="376" s="1"/>
  <c r="C19" i="376" s="1"/>
  <c r="H12" i="376"/>
  <c r="H11" i="376"/>
  <c r="H10" i="376"/>
  <c r="H14" i="376" s="1"/>
  <c r="H3" i="376"/>
  <c r="H12" i="375"/>
  <c r="C23" i="375"/>
  <c r="D14" i="375"/>
  <c r="D16" i="375" s="1"/>
  <c r="C19" i="375" s="1"/>
  <c r="H11" i="375"/>
  <c r="H10" i="375"/>
  <c r="H14" i="375" s="1"/>
  <c r="H3" i="375"/>
  <c r="C23" i="374"/>
  <c r="D14" i="374"/>
  <c r="D16" i="374" s="1"/>
  <c r="C19" i="374" s="1"/>
  <c r="H11" i="374"/>
  <c r="H10" i="374"/>
  <c r="H14" i="374" s="1"/>
  <c r="H3" i="374"/>
  <c r="F22" i="378" l="1"/>
  <c r="H21" i="378" s="1"/>
  <c r="H16" i="378"/>
  <c r="C21" i="378" s="1"/>
  <c r="C28" i="378"/>
  <c r="H19" i="378" s="1"/>
  <c r="F22" i="377"/>
  <c r="H21" i="377" s="1"/>
  <c r="H16" i="377"/>
  <c r="C21" i="377" s="1"/>
  <c r="C28" i="377"/>
  <c r="H19" i="377" s="1"/>
  <c r="F22" i="376"/>
  <c r="H21" i="376" s="1"/>
  <c r="H16" i="376"/>
  <c r="C21" i="376" s="1"/>
  <c r="C28" i="376"/>
  <c r="H19" i="376" s="1"/>
  <c r="F22" i="375"/>
  <c r="H21" i="375" s="1"/>
  <c r="H16" i="375"/>
  <c r="C21" i="375" s="1"/>
  <c r="C28" i="375"/>
  <c r="H19" i="375" s="1"/>
  <c r="F22" i="374"/>
  <c r="H21" i="374" s="1"/>
  <c r="H16" i="374"/>
  <c r="C21" i="374" s="1"/>
  <c r="C28" i="374"/>
  <c r="H19" i="374" s="1"/>
  <c r="F24" i="378" l="1"/>
  <c r="H23" i="378" s="1"/>
  <c r="H25" i="378" s="1"/>
  <c r="H27" i="378" s="1"/>
  <c r="F24" i="377"/>
  <c r="H23" i="377" s="1"/>
  <c r="H25" i="377" s="1"/>
  <c r="H27" i="377" s="1"/>
  <c r="F24" i="376"/>
  <c r="H23" i="376" s="1"/>
  <c r="H25" i="376" s="1"/>
  <c r="H27" i="376" s="1"/>
  <c r="F24" i="375"/>
  <c r="H23" i="375" s="1"/>
  <c r="H25" i="375" s="1"/>
  <c r="H27" i="375" s="1"/>
  <c r="F24" i="374"/>
  <c r="H23" i="374" s="1"/>
  <c r="H25" i="374" s="1"/>
  <c r="H27" i="374" s="1"/>
  <c r="C23" i="373" l="1"/>
  <c r="D14" i="373"/>
  <c r="D16" i="373" s="1"/>
  <c r="C19" i="373" s="1"/>
  <c r="H11" i="373"/>
  <c r="H10" i="373"/>
  <c r="H14" i="373" s="1"/>
  <c r="H3" i="373"/>
  <c r="C23" i="372"/>
  <c r="D14" i="372"/>
  <c r="D16" i="372" s="1"/>
  <c r="C19" i="372" s="1"/>
  <c r="H12" i="372"/>
  <c r="H11" i="372"/>
  <c r="H10" i="372"/>
  <c r="H14" i="372" s="1"/>
  <c r="H3" i="372"/>
  <c r="F22" i="373" l="1"/>
  <c r="H21" i="373" s="1"/>
  <c r="H16" i="373"/>
  <c r="C21" i="373" s="1"/>
  <c r="C28" i="373"/>
  <c r="H19" i="373" s="1"/>
  <c r="F22" i="372"/>
  <c r="H21" i="372" s="1"/>
  <c r="H16" i="372"/>
  <c r="C21" i="372" s="1"/>
  <c r="C28" i="372"/>
  <c r="H19" i="372" s="1"/>
  <c r="F24" i="373" l="1"/>
  <c r="H23" i="373" s="1"/>
  <c r="H25" i="373" s="1"/>
  <c r="H27" i="373" s="1"/>
  <c r="F24" i="372"/>
  <c r="H23" i="372" s="1"/>
  <c r="H25" i="372" s="1"/>
  <c r="H27" i="372" s="1"/>
  <c r="C23" i="371" l="1"/>
  <c r="D14" i="371"/>
  <c r="D16" i="371" s="1"/>
  <c r="C19" i="371" s="1"/>
  <c r="H12" i="371"/>
  <c r="H11" i="371"/>
  <c r="H10" i="371"/>
  <c r="H14" i="371" s="1"/>
  <c r="H3" i="371"/>
  <c r="C23" i="370"/>
  <c r="D14" i="370"/>
  <c r="D16" i="370" s="1"/>
  <c r="C19" i="370" s="1"/>
  <c r="H12" i="370"/>
  <c r="H11" i="370"/>
  <c r="H10" i="370"/>
  <c r="H14" i="370" s="1"/>
  <c r="H3" i="370"/>
  <c r="C23" i="369"/>
  <c r="D14" i="369"/>
  <c r="D16" i="369" s="1"/>
  <c r="C19" i="369" s="1"/>
  <c r="H12" i="369"/>
  <c r="H11" i="369"/>
  <c r="H10" i="369"/>
  <c r="H14" i="369" s="1"/>
  <c r="H3" i="369"/>
  <c r="C23" i="368"/>
  <c r="D14" i="368"/>
  <c r="D16" i="368" s="1"/>
  <c r="C19" i="368" s="1"/>
  <c r="H12" i="368"/>
  <c r="H11" i="368"/>
  <c r="H10" i="368"/>
  <c r="H14" i="368" s="1"/>
  <c r="H3" i="368"/>
  <c r="C23" i="367"/>
  <c r="D14" i="367"/>
  <c r="D16" i="367" s="1"/>
  <c r="C19" i="367" s="1"/>
  <c r="H12" i="367"/>
  <c r="H11" i="367"/>
  <c r="H10" i="367"/>
  <c r="H14" i="367" s="1"/>
  <c r="H3" i="367"/>
  <c r="C23" i="366"/>
  <c r="D14" i="366"/>
  <c r="D16" i="366" s="1"/>
  <c r="C19" i="366" s="1"/>
  <c r="H12" i="366"/>
  <c r="H11" i="366"/>
  <c r="H10" i="366"/>
  <c r="H14" i="366" s="1"/>
  <c r="H3" i="366"/>
  <c r="H11" i="365"/>
  <c r="H12" i="365"/>
  <c r="H10" i="365"/>
  <c r="C23" i="365"/>
  <c r="D14" i="365"/>
  <c r="D16" i="365" s="1"/>
  <c r="C19" i="365" s="1"/>
  <c r="H14" i="365"/>
  <c r="H3" i="365"/>
  <c r="F22" i="371" l="1"/>
  <c r="H21" i="371" s="1"/>
  <c r="H16" i="371"/>
  <c r="C21" i="371" s="1"/>
  <c r="C28" i="371"/>
  <c r="H19" i="371" s="1"/>
  <c r="F22" i="370"/>
  <c r="H21" i="370" s="1"/>
  <c r="H16" i="370"/>
  <c r="C21" i="370" s="1"/>
  <c r="C28" i="370"/>
  <c r="H19" i="370" s="1"/>
  <c r="F22" i="369"/>
  <c r="H21" i="369" s="1"/>
  <c r="H16" i="369"/>
  <c r="C21" i="369" s="1"/>
  <c r="C28" i="369"/>
  <c r="H19" i="369" s="1"/>
  <c r="F22" i="368"/>
  <c r="H21" i="368" s="1"/>
  <c r="H16" i="368"/>
  <c r="C21" i="368" s="1"/>
  <c r="C28" i="368"/>
  <c r="H19" i="368" s="1"/>
  <c r="F22" i="367"/>
  <c r="H21" i="367" s="1"/>
  <c r="H16" i="367"/>
  <c r="C21" i="367" s="1"/>
  <c r="C28" i="367"/>
  <c r="H19" i="367" s="1"/>
  <c r="F22" i="366"/>
  <c r="H21" i="366" s="1"/>
  <c r="H16" i="366"/>
  <c r="C21" i="366" s="1"/>
  <c r="C28" i="366"/>
  <c r="H19" i="366" s="1"/>
  <c r="F22" i="365"/>
  <c r="H21" i="365" s="1"/>
  <c r="H16" i="365"/>
  <c r="C21" i="365" s="1"/>
  <c r="C28" i="365"/>
  <c r="H19" i="365" s="1"/>
  <c r="F24" i="371" l="1"/>
  <c r="H23" i="371" s="1"/>
  <c r="H25" i="371" s="1"/>
  <c r="H27" i="371" s="1"/>
  <c r="F24" i="370"/>
  <c r="H23" i="370" s="1"/>
  <c r="H25" i="370" s="1"/>
  <c r="H27" i="370" s="1"/>
  <c r="F24" i="369"/>
  <c r="H23" i="369" s="1"/>
  <c r="H25" i="369" s="1"/>
  <c r="H27" i="369" s="1"/>
  <c r="F24" i="368"/>
  <c r="H23" i="368" s="1"/>
  <c r="H25" i="368" s="1"/>
  <c r="H27" i="368" s="1"/>
  <c r="F24" i="367"/>
  <c r="H23" i="367" s="1"/>
  <c r="H25" i="367" s="1"/>
  <c r="H27" i="367" s="1"/>
  <c r="F24" i="366"/>
  <c r="H23" i="366" s="1"/>
  <c r="H25" i="366" s="1"/>
  <c r="H27" i="366" s="1"/>
  <c r="F24" i="365"/>
  <c r="H23" i="365" s="1"/>
  <c r="H25" i="365" s="1"/>
  <c r="H27" i="365" s="1"/>
  <c r="C23" i="364"/>
  <c r="D14" i="364"/>
  <c r="D16" i="364" s="1"/>
  <c r="C19" i="364" s="1"/>
  <c r="H12" i="364"/>
  <c r="H11" i="364"/>
  <c r="H14" i="364"/>
  <c r="H3" i="364"/>
  <c r="C23" i="363"/>
  <c r="D14" i="363"/>
  <c r="D16" i="363" s="1"/>
  <c r="C19" i="363" s="1"/>
  <c r="H12" i="363"/>
  <c r="H11" i="363"/>
  <c r="H10" i="363"/>
  <c r="H14" i="363" s="1"/>
  <c r="H3" i="363"/>
  <c r="F22" i="364" l="1"/>
  <c r="H21" i="364" s="1"/>
  <c r="H16" i="364"/>
  <c r="C21" i="364" s="1"/>
  <c r="C28" i="364"/>
  <c r="H19" i="364" s="1"/>
  <c r="F22" i="363"/>
  <c r="H21" i="363" s="1"/>
  <c r="H16" i="363"/>
  <c r="C21" i="363" s="1"/>
  <c r="C28" i="363"/>
  <c r="H19" i="363" s="1"/>
  <c r="F24" i="364" l="1"/>
  <c r="H23" i="364" s="1"/>
  <c r="H25" i="364" s="1"/>
  <c r="H27" i="364" s="1"/>
  <c r="F24" i="363"/>
  <c r="H23" i="363" s="1"/>
  <c r="H25" i="363" s="1"/>
  <c r="H27" i="363" s="1"/>
  <c r="H12" i="362" l="1"/>
  <c r="H11" i="362"/>
  <c r="C23" i="362"/>
  <c r="D14" i="362"/>
  <c r="D16" i="362" s="1"/>
  <c r="C19" i="362" s="1"/>
  <c r="H10" i="362"/>
  <c r="H14" i="362" s="1"/>
  <c r="H3" i="362"/>
  <c r="F22" i="362" l="1"/>
  <c r="H21" i="362" s="1"/>
  <c r="H16" i="362"/>
  <c r="C21" i="362" s="1"/>
  <c r="C28" i="362"/>
  <c r="H19" i="362" s="1"/>
  <c r="C23" i="361"/>
  <c r="D14" i="361"/>
  <c r="D16" i="361" s="1"/>
  <c r="C19" i="361" s="1"/>
  <c r="H10" i="361"/>
  <c r="H14" i="361" s="1"/>
  <c r="H3" i="361"/>
  <c r="C23" i="360"/>
  <c r="D14" i="360"/>
  <c r="D16" i="360" s="1"/>
  <c r="C19" i="360" s="1"/>
  <c r="H10" i="360"/>
  <c r="H14" i="360" s="1"/>
  <c r="H3" i="360"/>
  <c r="F24" i="362" l="1"/>
  <c r="H23" i="362" s="1"/>
  <c r="H25" i="362" s="1"/>
  <c r="H27" i="362" s="1"/>
  <c r="F22" i="361"/>
  <c r="H21" i="361" s="1"/>
  <c r="H16" i="361"/>
  <c r="C21" i="361" s="1"/>
  <c r="C28" i="361"/>
  <c r="H19" i="361" s="1"/>
  <c r="F22" i="360"/>
  <c r="H21" i="360" s="1"/>
  <c r="H16" i="360"/>
  <c r="C21" i="360" s="1"/>
  <c r="C28" i="360"/>
  <c r="H19" i="360" s="1"/>
  <c r="C23" i="359"/>
  <c r="D14" i="359"/>
  <c r="D16" i="359" s="1"/>
  <c r="C19" i="359" s="1"/>
  <c r="H10" i="359"/>
  <c r="H14" i="359" s="1"/>
  <c r="H3" i="359"/>
  <c r="F24" i="361" l="1"/>
  <c r="H23" i="361" s="1"/>
  <c r="H25" i="361" s="1"/>
  <c r="H27" i="361" s="1"/>
  <c r="F24" i="360"/>
  <c r="H23" i="360" s="1"/>
  <c r="H25" i="360" s="1"/>
  <c r="H27" i="360" s="1"/>
  <c r="F22" i="359"/>
  <c r="H21" i="359" s="1"/>
  <c r="H16" i="359"/>
  <c r="C21" i="359" s="1"/>
  <c r="C28" i="359"/>
  <c r="H19" i="359" s="1"/>
  <c r="F24" i="359" l="1"/>
  <c r="H23" i="359" s="1"/>
  <c r="H25" i="359" s="1"/>
  <c r="H27" i="359" s="1"/>
  <c r="C23" i="358" l="1"/>
  <c r="D14" i="358"/>
  <c r="D16" i="358" s="1"/>
  <c r="C19" i="358" s="1"/>
  <c r="H10" i="358"/>
  <c r="H14" i="358"/>
  <c r="H3" i="358"/>
  <c r="H10" i="357"/>
  <c r="C23" i="357"/>
  <c r="D14" i="357"/>
  <c r="D16" i="357" s="1"/>
  <c r="C19" i="357" s="1"/>
  <c r="H9" i="357"/>
  <c r="H14" i="357" s="1"/>
  <c r="H3" i="357"/>
  <c r="C23" i="356"/>
  <c r="D14" i="356"/>
  <c r="D16" i="356" s="1"/>
  <c r="C19" i="356" s="1"/>
  <c r="H9" i="356"/>
  <c r="H14" i="356" s="1"/>
  <c r="H3" i="356"/>
  <c r="F22" i="358" l="1"/>
  <c r="H21" i="358" s="1"/>
  <c r="H16" i="358"/>
  <c r="C21" i="358" s="1"/>
  <c r="C28" i="358"/>
  <c r="H19" i="358" s="1"/>
  <c r="F22" i="357"/>
  <c r="H21" i="357" s="1"/>
  <c r="H16" i="357"/>
  <c r="C21" i="357" s="1"/>
  <c r="C28" i="357"/>
  <c r="H19" i="357" s="1"/>
  <c r="F22" i="356"/>
  <c r="H21" i="356" s="1"/>
  <c r="H16" i="356"/>
  <c r="C21" i="356" s="1"/>
  <c r="C28" i="356"/>
  <c r="H19" i="356" s="1"/>
  <c r="F24" i="358" l="1"/>
  <c r="H23" i="358" s="1"/>
  <c r="H25" i="358" s="1"/>
  <c r="H27" i="358" s="1"/>
  <c r="F24" i="357"/>
  <c r="H23" i="357" s="1"/>
  <c r="H25" i="357" s="1"/>
  <c r="H27" i="357" s="1"/>
  <c r="F24" i="356"/>
  <c r="H23" i="356" s="1"/>
  <c r="H25" i="356" s="1"/>
  <c r="H27" i="356" s="1"/>
  <c r="C23" i="355" l="1"/>
  <c r="D14" i="355"/>
  <c r="D16" i="355" s="1"/>
  <c r="C19" i="355" s="1"/>
  <c r="H9" i="355"/>
  <c r="H14" i="355" s="1"/>
  <c r="H3" i="355"/>
  <c r="C23" i="354"/>
  <c r="D14" i="354"/>
  <c r="D16" i="354" s="1"/>
  <c r="C19" i="354" s="1"/>
  <c r="H9" i="354"/>
  <c r="H14" i="354" s="1"/>
  <c r="H3" i="354"/>
  <c r="C23" i="353"/>
  <c r="D14" i="353"/>
  <c r="D16" i="353" s="1"/>
  <c r="C19" i="353" s="1"/>
  <c r="H9" i="353"/>
  <c r="H14" i="353" s="1"/>
  <c r="H3" i="353"/>
  <c r="F22" i="355" l="1"/>
  <c r="H21" i="355" s="1"/>
  <c r="H16" i="355"/>
  <c r="C21" i="355" s="1"/>
  <c r="C28" i="355"/>
  <c r="H19" i="355" s="1"/>
  <c r="F22" i="354"/>
  <c r="H21" i="354" s="1"/>
  <c r="H16" i="354"/>
  <c r="C21" i="354" s="1"/>
  <c r="C28" i="354"/>
  <c r="H19" i="354" s="1"/>
  <c r="F22" i="353"/>
  <c r="H21" i="353" s="1"/>
  <c r="H16" i="353"/>
  <c r="C21" i="353" s="1"/>
  <c r="C28" i="353"/>
  <c r="H19" i="353" s="1"/>
  <c r="F24" i="355" l="1"/>
  <c r="H23" i="355" s="1"/>
  <c r="H25" i="355" s="1"/>
  <c r="H27" i="355" s="1"/>
  <c r="F24" i="354"/>
  <c r="H23" i="354" s="1"/>
  <c r="H25" i="354" s="1"/>
  <c r="H27" i="354" s="1"/>
  <c r="F24" i="353"/>
  <c r="H23" i="353" s="1"/>
  <c r="H25" i="353" s="1"/>
  <c r="H27" i="353" s="1"/>
  <c r="C23" i="352" l="1"/>
  <c r="D14" i="352"/>
  <c r="D16" i="352" s="1"/>
  <c r="C19" i="352" s="1"/>
  <c r="H9" i="352"/>
  <c r="H14" i="352" s="1"/>
  <c r="H3" i="352"/>
  <c r="F22" i="352" l="1"/>
  <c r="H21" i="352" s="1"/>
  <c r="H16" i="352"/>
  <c r="C21" i="352" s="1"/>
  <c r="C28" i="352"/>
  <c r="H19" i="352" s="1"/>
  <c r="H10" i="351"/>
  <c r="C23" i="351"/>
  <c r="D14" i="351"/>
  <c r="D16" i="351" s="1"/>
  <c r="C19" i="351" s="1"/>
  <c r="H9" i="351"/>
  <c r="H14" i="351" s="1"/>
  <c r="H3" i="351"/>
  <c r="C23" i="350"/>
  <c r="D14" i="350"/>
  <c r="D16" i="350" s="1"/>
  <c r="C19" i="350" s="1"/>
  <c r="H9" i="350"/>
  <c r="H14" i="350" s="1"/>
  <c r="H3" i="350"/>
  <c r="C23" i="349"/>
  <c r="D14" i="349"/>
  <c r="D16" i="349" s="1"/>
  <c r="C19" i="349" s="1"/>
  <c r="H9" i="349"/>
  <c r="H14" i="349" s="1"/>
  <c r="H3" i="349"/>
  <c r="C23" i="348"/>
  <c r="D14" i="348"/>
  <c r="D16" i="348" s="1"/>
  <c r="C19" i="348" s="1"/>
  <c r="H9" i="348"/>
  <c r="H14" i="348" s="1"/>
  <c r="H3" i="348"/>
  <c r="C23" i="347"/>
  <c r="D14" i="347"/>
  <c r="D16" i="347" s="1"/>
  <c r="C19" i="347" s="1"/>
  <c r="H9" i="347"/>
  <c r="H14" i="347" s="1"/>
  <c r="H3" i="347"/>
  <c r="F24" i="352" l="1"/>
  <c r="H23" i="352" s="1"/>
  <c r="H25" i="352" s="1"/>
  <c r="H27" i="352" s="1"/>
  <c r="F22" i="351"/>
  <c r="H21" i="351" s="1"/>
  <c r="H16" i="351"/>
  <c r="C21" i="351" s="1"/>
  <c r="C28" i="351"/>
  <c r="H19" i="351" s="1"/>
  <c r="F22" i="350"/>
  <c r="H21" i="350" s="1"/>
  <c r="H16" i="350"/>
  <c r="C21" i="350" s="1"/>
  <c r="C28" i="350"/>
  <c r="H19" i="350" s="1"/>
  <c r="F22" i="349"/>
  <c r="H21" i="349" s="1"/>
  <c r="H16" i="349"/>
  <c r="C21" i="349" s="1"/>
  <c r="C28" i="349"/>
  <c r="H19" i="349" s="1"/>
  <c r="F22" i="348"/>
  <c r="H21" i="348" s="1"/>
  <c r="H16" i="348"/>
  <c r="C21" i="348" s="1"/>
  <c r="C28" i="348"/>
  <c r="H19" i="348" s="1"/>
  <c r="F22" i="347"/>
  <c r="H21" i="347" s="1"/>
  <c r="H16" i="347"/>
  <c r="C21" i="347" s="1"/>
  <c r="C28" i="347"/>
  <c r="H19" i="347" s="1"/>
  <c r="F24" i="351" l="1"/>
  <c r="H23" i="351" s="1"/>
  <c r="H25" i="351" s="1"/>
  <c r="H27" i="351" s="1"/>
  <c r="F24" i="350"/>
  <c r="H23" i="350" s="1"/>
  <c r="H25" i="350" s="1"/>
  <c r="H27" i="350" s="1"/>
  <c r="F24" i="349"/>
  <c r="H23" i="349" s="1"/>
  <c r="H25" i="349" s="1"/>
  <c r="H27" i="349" s="1"/>
  <c r="F24" i="348"/>
  <c r="H23" i="348" s="1"/>
  <c r="H25" i="348" s="1"/>
  <c r="H27" i="348" s="1"/>
  <c r="F24" i="347"/>
  <c r="H23" i="347" s="1"/>
  <c r="H25" i="347" s="1"/>
  <c r="H27" i="347" s="1"/>
  <c r="C23" i="346" l="1"/>
  <c r="D14" i="346"/>
  <c r="D16" i="346" s="1"/>
  <c r="C19" i="346" s="1"/>
  <c r="H9" i="346"/>
  <c r="H14" i="346" s="1"/>
  <c r="H3" i="346"/>
  <c r="C23" i="345"/>
  <c r="D14" i="345"/>
  <c r="D16" i="345" s="1"/>
  <c r="C19" i="345" s="1"/>
  <c r="H9" i="345"/>
  <c r="H14" i="345" s="1"/>
  <c r="H3" i="345"/>
  <c r="F22" i="346" l="1"/>
  <c r="H21" i="346" s="1"/>
  <c r="H16" i="346"/>
  <c r="C21" i="346" s="1"/>
  <c r="C28" i="346"/>
  <c r="H19" i="346" s="1"/>
  <c r="F22" i="345"/>
  <c r="H16" i="345"/>
  <c r="C21" i="345" s="1"/>
  <c r="C23" i="344"/>
  <c r="D14" i="344"/>
  <c r="D16" i="344" s="1"/>
  <c r="C19" i="344" s="1"/>
  <c r="H10" i="344"/>
  <c r="H9" i="344"/>
  <c r="H14" i="344" s="1"/>
  <c r="H3" i="344"/>
  <c r="F24" i="346" l="1"/>
  <c r="H23" i="346" s="1"/>
  <c r="H25" i="346" s="1"/>
  <c r="H27" i="346" s="1"/>
  <c r="C28" i="345"/>
  <c r="H19" i="345" s="1"/>
  <c r="H21" i="345"/>
  <c r="F22" i="344"/>
  <c r="H16" i="344"/>
  <c r="C21" i="344" s="1"/>
  <c r="F24" i="345" l="1"/>
  <c r="H23" i="345" s="1"/>
  <c r="H25" i="345" s="1"/>
  <c r="H27" i="345" s="1"/>
  <c r="C28" i="344"/>
  <c r="H19" i="344" s="1"/>
  <c r="H21" i="344"/>
  <c r="F24" i="344" l="1"/>
  <c r="H23" i="344" s="1"/>
  <c r="H25" i="344" s="1"/>
  <c r="H27" i="344" s="1"/>
  <c r="H10" i="343" l="1"/>
  <c r="C23" i="343"/>
  <c r="D14" i="343"/>
  <c r="D16" i="343" s="1"/>
  <c r="C19" i="343" s="1"/>
  <c r="H9" i="343"/>
  <c r="H14" i="343" s="1"/>
  <c r="H3" i="343"/>
  <c r="C23" i="342"/>
  <c r="D14" i="342"/>
  <c r="D16" i="342" s="1"/>
  <c r="C19" i="342" s="1"/>
  <c r="H9" i="342"/>
  <c r="H14" i="342" s="1"/>
  <c r="H3" i="342"/>
  <c r="F22" i="343" l="1"/>
  <c r="H16" i="343"/>
  <c r="C21" i="343" s="1"/>
  <c r="F22" i="342"/>
  <c r="H16" i="342"/>
  <c r="C21" i="342" s="1"/>
  <c r="H10" i="341"/>
  <c r="C23" i="341"/>
  <c r="D14" i="341"/>
  <c r="D16" i="341" s="1"/>
  <c r="C19" i="341" s="1"/>
  <c r="H9" i="341"/>
  <c r="H14" i="341" s="1"/>
  <c r="H3" i="341"/>
  <c r="C23" i="340"/>
  <c r="D14" i="340"/>
  <c r="D16" i="340" s="1"/>
  <c r="C19" i="340" s="1"/>
  <c r="H9" i="340"/>
  <c r="H14" i="340" s="1"/>
  <c r="H3" i="340"/>
  <c r="H10" i="339"/>
  <c r="C23" i="339"/>
  <c r="D14" i="339"/>
  <c r="D16" i="339" s="1"/>
  <c r="C19" i="339" s="1"/>
  <c r="H9" i="339"/>
  <c r="H14" i="339" s="1"/>
  <c r="H3" i="339"/>
  <c r="C28" i="343" l="1"/>
  <c r="H19" i="343" s="1"/>
  <c r="H21" i="343"/>
  <c r="C28" i="342"/>
  <c r="H19" i="342" s="1"/>
  <c r="H21" i="342"/>
  <c r="F22" i="341"/>
  <c r="H16" i="341"/>
  <c r="C21" i="341" s="1"/>
  <c r="F22" i="340"/>
  <c r="H16" i="340"/>
  <c r="C21" i="340" s="1"/>
  <c r="F22" i="339"/>
  <c r="H16" i="339"/>
  <c r="C21" i="339" s="1"/>
  <c r="C23" i="338"/>
  <c r="D14" i="338"/>
  <c r="D16" i="338" s="1"/>
  <c r="C19" i="338" s="1"/>
  <c r="H9" i="338"/>
  <c r="H14" i="338"/>
  <c r="H3" i="338"/>
  <c r="F24" i="343" l="1"/>
  <c r="H23" i="343" s="1"/>
  <c r="H25" i="343" s="1"/>
  <c r="H27" i="343" s="1"/>
  <c r="F24" i="342"/>
  <c r="H23" i="342" s="1"/>
  <c r="H25" i="342" s="1"/>
  <c r="H27" i="342" s="1"/>
  <c r="C25" i="341"/>
  <c r="C28" i="341" s="1"/>
  <c r="H19" i="341" s="1"/>
  <c r="H21" i="341"/>
  <c r="C28" i="340"/>
  <c r="H19" i="340" s="1"/>
  <c r="H21" i="340"/>
  <c r="C28" i="339"/>
  <c r="H19" i="339" s="1"/>
  <c r="H21" i="339"/>
  <c r="F22" i="338"/>
  <c r="H16" i="338"/>
  <c r="C21" i="338" s="1"/>
  <c r="F24" i="341" l="1"/>
  <c r="H23" i="341" s="1"/>
  <c r="H25" i="341" s="1"/>
  <c r="H27" i="341" s="1"/>
  <c r="F24" i="340"/>
  <c r="H23" i="340" s="1"/>
  <c r="H25" i="340" s="1"/>
  <c r="H27" i="340" s="1"/>
  <c r="F24" i="339"/>
  <c r="H23" i="339" s="1"/>
  <c r="H25" i="339" s="1"/>
  <c r="H27" i="339" s="1"/>
  <c r="C28" i="338"/>
  <c r="H19" i="338" s="1"/>
  <c r="H21" i="338"/>
  <c r="F24" i="338" l="1"/>
  <c r="H23" i="338" s="1"/>
  <c r="H25" i="338" s="1"/>
  <c r="H27" i="338" s="1"/>
  <c r="C26" i="337" l="1"/>
  <c r="D13" i="337"/>
  <c r="D19" i="337" s="1"/>
  <c r="C22" i="337" s="1"/>
  <c r="H11" i="337"/>
  <c r="H10" i="337"/>
  <c r="H13" i="337" s="1"/>
  <c r="H3" i="337"/>
  <c r="F25" i="337" l="1"/>
  <c r="H24" i="337" s="1"/>
  <c r="H19" i="337"/>
  <c r="C24" i="337" s="1"/>
  <c r="C31" i="337"/>
  <c r="H22" i="337" s="1"/>
  <c r="C25" i="336"/>
  <c r="H9" i="336"/>
  <c r="C23" i="336"/>
  <c r="D14" i="336"/>
  <c r="D16" i="336" s="1"/>
  <c r="C19" i="336" s="1"/>
  <c r="H8" i="336"/>
  <c r="H14" i="336" s="1"/>
  <c r="H3" i="336"/>
  <c r="F27" i="337" l="1"/>
  <c r="H26" i="337" s="1"/>
  <c r="H28" i="337" s="1"/>
  <c r="H30" i="337" s="1"/>
  <c r="F22" i="336"/>
  <c r="H21" i="336" s="1"/>
  <c r="H16" i="336"/>
  <c r="C21" i="336" s="1"/>
  <c r="C28" i="336"/>
  <c r="H19" i="336" s="1"/>
  <c r="F24" i="336" l="1"/>
  <c r="H23" i="336" s="1"/>
  <c r="H25" i="336" s="1"/>
  <c r="H27" i="336" s="1"/>
  <c r="C23" i="335" l="1"/>
  <c r="D14" i="335"/>
  <c r="D16" i="335" s="1"/>
  <c r="C19" i="335" s="1"/>
  <c r="H8" i="335"/>
  <c r="H14" i="335" s="1"/>
  <c r="H3" i="335"/>
  <c r="H9" i="334"/>
  <c r="C23" i="334"/>
  <c r="D14" i="334"/>
  <c r="D16" i="334" s="1"/>
  <c r="C19" i="334" s="1"/>
  <c r="H8" i="334"/>
  <c r="H14" i="334" s="1"/>
  <c r="H3" i="334"/>
  <c r="H9" i="333"/>
  <c r="C23" i="333"/>
  <c r="D14" i="333"/>
  <c r="D16" i="333" s="1"/>
  <c r="C19" i="333" s="1"/>
  <c r="H8" i="333"/>
  <c r="H14" i="333" s="1"/>
  <c r="H3" i="333"/>
  <c r="C23" i="332"/>
  <c r="D14" i="332"/>
  <c r="D16" i="332" s="1"/>
  <c r="C19" i="332" s="1"/>
  <c r="H8" i="332"/>
  <c r="H14" i="332" s="1"/>
  <c r="H3" i="332"/>
  <c r="F22" i="335" l="1"/>
  <c r="H21" i="335" s="1"/>
  <c r="H16" i="335"/>
  <c r="C21" i="335" s="1"/>
  <c r="C28" i="335"/>
  <c r="H19" i="335" s="1"/>
  <c r="F22" i="334"/>
  <c r="H21" i="334" s="1"/>
  <c r="H16" i="334"/>
  <c r="C21" i="334" s="1"/>
  <c r="C28" i="334"/>
  <c r="H19" i="334" s="1"/>
  <c r="F22" i="333"/>
  <c r="H21" i="333" s="1"/>
  <c r="H16" i="333"/>
  <c r="C21" i="333" s="1"/>
  <c r="C28" i="333"/>
  <c r="H19" i="333" s="1"/>
  <c r="F22" i="332"/>
  <c r="H21" i="332" s="1"/>
  <c r="H16" i="332"/>
  <c r="C21" i="332" s="1"/>
  <c r="C28" i="332"/>
  <c r="H19" i="332" s="1"/>
  <c r="F24" i="335" l="1"/>
  <c r="H23" i="335" s="1"/>
  <c r="H25" i="335" s="1"/>
  <c r="H27" i="335" s="1"/>
  <c r="F24" i="334"/>
  <c r="H23" i="334" s="1"/>
  <c r="H25" i="334" s="1"/>
  <c r="H27" i="334" s="1"/>
  <c r="F24" i="333"/>
  <c r="H23" i="333" s="1"/>
  <c r="H25" i="333" s="1"/>
  <c r="H27" i="333" s="1"/>
  <c r="F24" i="332"/>
  <c r="H23" i="332" s="1"/>
  <c r="H25" i="332" s="1"/>
  <c r="H27" i="332" s="1"/>
  <c r="C23" i="331" l="1"/>
  <c r="D14" i="331"/>
  <c r="D16" i="331" s="1"/>
  <c r="C19" i="331" s="1"/>
  <c r="H10" i="331"/>
  <c r="H9" i="331"/>
  <c r="H8" i="331"/>
  <c r="H14" i="331" s="1"/>
  <c r="H3" i="331"/>
  <c r="F22" i="331" l="1"/>
  <c r="H21" i="331" s="1"/>
  <c r="H16" i="331"/>
  <c r="C21" i="331" s="1"/>
  <c r="C28" i="331"/>
  <c r="H19" i="331" s="1"/>
  <c r="F24" i="331" l="1"/>
  <c r="H23" i="331" s="1"/>
  <c r="H25" i="331" s="1"/>
  <c r="H27" i="331" s="1"/>
  <c r="C23" i="330" l="1"/>
  <c r="D14" i="330"/>
  <c r="D16" i="330" s="1"/>
  <c r="C19" i="330" s="1"/>
  <c r="H10" i="330"/>
  <c r="H9" i="330"/>
  <c r="H8" i="330"/>
  <c r="H14" i="330" s="1"/>
  <c r="H3" i="330"/>
  <c r="F22" i="330" l="1"/>
  <c r="H21" i="330" s="1"/>
  <c r="H16" i="330"/>
  <c r="C21" i="330" s="1"/>
  <c r="C28" i="330"/>
  <c r="H19" i="330" s="1"/>
  <c r="F24" i="330" l="1"/>
  <c r="H23" i="330" s="1"/>
  <c r="H25" i="330" s="1"/>
  <c r="H27" i="330" s="1"/>
  <c r="C23" i="329" l="1"/>
  <c r="D14" i="329"/>
  <c r="D16" i="329" s="1"/>
  <c r="C19" i="329" s="1"/>
  <c r="H11" i="329"/>
  <c r="H10" i="329"/>
  <c r="H9" i="329"/>
  <c r="H8" i="329"/>
  <c r="H14" i="329" s="1"/>
  <c r="H3" i="329"/>
  <c r="F22" i="329" l="1"/>
  <c r="H21" i="329" s="1"/>
  <c r="H16" i="329"/>
  <c r="C21" i="329" s="1"/>
  <c r="C28" i="329"/>
  <c r="H19" i="329" s="1"/>
  <c r="F24" i="329" l="1"/>
  <c r="H23" i="329" s="1"/>
  <c r="H25" i="329" s="1"/>
  <c r="H27" i="329" s="1"/>
  <c r="C23" i="328" l="1"/>
  <c r="D14" i="328"/>
  <c r="D16" i="328" s="1"/>
  <c r="C19" i="328" s="1"/>
  <c r="H13" i="328"/>
  <c r="H12" i="328"/>
  <c r="H11" i="328"/>
  <c r="H10" i="328"/>
  <c r="H9" i="328"/>
  <c r="H8" i="328"/>
  <c r="H14" i="328" s="1"/>
  <c r="H3" i="328"/>
  <c r="F22" i="328" l="1"/>
  <c r="H21" i="328" s="1"/>
  <c r="H16" i="328"/>
  <c r="C21" i="328" s="1"/>
  <c r="C28" i="328"/>
  <c r="H19" i="328" s="1"/>
  <c r="C23" i="327"/>
  <c r="D14" i="327"/>
  <c r="D16" i="327" s="1"/>
  <c r="C19" i="327" s="1"/>
  <c r="H13" i="327"/>
  <c r="H12" i="327"/>
  <c r="H11" i="327"/>
  <c r="H10" i="327"/>
  <c r="H9" i="327"/>
  <c r="H8" i="327"/>
  <c r="H14" i="327" s="1"/>
  <c r="H3" i="327"/>
  <c r="F24" i="328" l="1"/>
  <c r="H23" i="328" s="1"/>
  <c r="H25" i="328" s="1"/>
  <c r="H27" i="328" s="1"/>
  <c r="F22" i="327"/>
  <c r="H21" i="327" s="1"/>
  <c r="H16" i="327"/>
  <c r="C21" i="327" s="1"/>
  <c r="C28" i="327"/>
  <c r="H19" i="327" s="1"/>
  <c r="F24" i="327" l="1"/>
  <c r="H23" i="327" s="1"/>
  <c r="H25" i="327" s="1"/>
  <c r="H27" i="327" s="1"/>
  <c r="C23" i="326" l="1"/>
  <c r="D14" i="326"/>
  <c r="D16" i="326" s="1"/>
  <c r="C19" i="326" s="1"/>
  <c r="H13" i="326"/>
  <c r="H12" i="326"/>
  <c r="H11" i="326"/>
  <c r="H10" i="326"/>
  <c r="H9" i="326"/>
  <c r="H8" i="326"/>
  <c r="H14" i="326" s="1"/>
  <c r="H3" i="326"/>
  <c r="F22" i="326" l="1"/>
  <c r="H21" i="326" s="1"/>
  <c r="H16" i="326"/>
  <c r="C21" i="326" s="1"/>
  <c r="C28" i="326"/>
  <c r="H19" i="326" s="1"/>
  <c r="F24" i="326" l="1"/>
  <c r="H23" i="326" s="1"/>
  <c r="H25" i="326" s="1"/>
  <c r="H27" i="326" s="1"/>
  <c r="C23" i="325" l="1"/>
  <c r="D14" i="325"/>
  <c r="D16" i="325" s="1"/>
  <c r="C19" i="325" s="1"/>
  <c r="H13" i="325"/>
  <c r="H12" i="325"/>
  <c r="H11" i="325"/>
  <c r="H10" i="325"/>
  <c r="H9" i="325"/>
  <c r="H8" i="325"/>
  <c r="H14" i="325" s="1"/>
  <c r="H3" i="325"/>
  <c r="C23" i="324"/>
  <c r="D14" i="324"/>
  <c r="D16" i="324" s="1"/>
  <c r="C19" i="324" s="1"/>
  <c r="H13" i="324"/>
  <c r="H12" i="324"/>
  <c r="H11" i="324"/>
  <c r="H10" i="324"/>
  <c r="H9" i="324"/>
  <c r="H8" i="324"/>
  <c r="H14" i="324" s="1"/>
  <c r="H3" i="324"/>
  <c r="F22" i="325" l="1"/>
  <c r="H21" i="325" s="1"/>
  <c r="H16" i="325"/>
  <c r="C21" i="325" s="1"/>
  <c r="C28" i="325"/>
  <c r="H19" i="325" s="1"/>
  <c r="F22" i="324"/>
  <c r="H21" i="324" s="1"/>
  <c r="H16" i="324"/>
  <c r="C21" i="324" s="1"/>
  <c r="C28" i="324"/>
  <c r="H19" i="324" s="1"/>
  <c r="H9" i="323"/>
  <c r="H10" i="323"/>
  <c r="C23" i="323"/>
  <c r="D14" i="323"/>
  <c r="D16" i="323" s="1"/>
  <c r="C19" i="323" s="1"/>
  <c r="H13" i="323"/>
  <c r="H12" i="323"/>
  <c r="H11" i="323"/>
  <c r="H8" i="323"/>
  <c r="H14" i="323" s="1"/>
  <c r="H3" i="323"/>
  <c r="F24" i="325" l="1"/>
  <c r="H23" i="325" s="1"/>
  <c r="H25" i="325" s="1"/>
  <c r="H27" i="325" s="1"/>
  <c r="F24" i="324"/>
  <c r="H23" i="324" s="1"/>
  <c r="H25" i="324" s="1"/>
  <c r="H27" i="324" s="1"/>
  <c r="F22" i="323"/>
  <c r="H21" i="323" s="1"/>
  <c r="H16" i="323"/>
  <c r="C21" i="323" s="1"/>
  <c r="C28" i="323"/>
  <c r="H19" i="323" s="1"/>
  <c r="C23" i="322"/>
  <c r="D14" i="322"/>
  <c r="D16" i="322" s="1"/>
  <c r="C19" i="322" s="1"/>
  <c r="H13" i="322"/>
  <c r="H12" i="322"/>
  <c r="H11" i="322"/>
  <c r="H8" i="322"/>
  <c r="H14" i="322" s="1"/>
  <c r="H3" i="322"/>
  <c r="H9" i="321"/>
  <c r="H10" i="321"/>
  <c r="H11" i="321"/>
  <c r="C23" i="321"/>
  <c r="D14" i="321"/>
  <c r="D16" i="321" s="1"/>
  <c r="C19" i="321" s="1"/>
  <c r="H13" i="321"/>
  <c r="H12" i="321"/>
  <c r="H8" i="321"/>
  <c r="H14" i="321" s="1"/>
  <c r="H3" i="321"/>
  <c r="C23" i="320"/>
  <c r="D14" i="320"/>
  <c r="D16" i="320" s="1"/>
  <c r="C19" i="320" s="1"/>
  <c r="H13" i="320"/>
  <c r="H12" i="320"/>
  <c r="H8" i="320"/>
  <c r="H14" i="320" s="1"/>
  <c r="H3" i="320"/>
  <c r="H9" i="319"/>
  <c r="H10" i="319"/>
  <c r="H11" i="319"/>
  <c r="H12" i="319"/>
  <c r="H13" i="319"/>
  <c r="C23" i="319"/>
  <c r="D14" i="319"/>
  <c r="D16" i="319" s="1"/>
  <c r="C19" i="319" s="1"/>
  <c r="H8" i="319"/>
  <c r="H14" i="319" s="1"/>
  <c r="H3" i="319"/>
  <c r="F24" i="323" l="1"/>
  <c r="H23" i="323" s="1"/>
  <c r="H25" i="323" s="1"/>
  <c r="H27" i="323" s="1"/>
  <c r="F22" i="322"/>
  <c r="H21" i="322" s="1"/>
  <c r="H16" i="322"/>
  <c r="C21" i="322" s="1"/>
  <c r="C28" i="322"/>
  <c r="H19" i="322" s="1"/>
  <c r="F22" i="321"/>
  <c r="H21" i="321" s="1"/>
  <c r="H16" i="321"/>
  <c r="C21" i="321" s="1"/>
  <c r="C28" i="321"/>
  <c r="H19" i="321" s="1"/>
  <c r="F22" i="320"/>
  <c r="H21" i="320" s="1"/>
  <c r="H16" i="320"/>
  <c r="C21" i="320" s="1"/>
  <c r="C28" i="320"/>
  <c r="H19" i="320" s="1"/>
  <c r="F22" i="319"/>
  <c r="H21" i="319" s="1"/>
  <c r="H16" i="319"/>
  <c r="C21" i="319" s="1"/>
  <c r="C28" i="319"/>
  <c r="H19" i="319" s="1"/>
  <c r="F24" i="322" l="1"/>
  <c r="H23" i="322" s="1"/>
  <c r="H25" i="322" s="1"/>
  <c r="H27" i="322" s="1"/>
  <c r="F24" i="321"/>
  <c r="H23" i="321" s="1"/>
  <c r="H25" i="321" s="1"/>
  <c r="H27" i="321" s="1"/>
  <c r="F24" i="320"/>
  <c r="H23" i="320" s="1"/>
  <c r="H25" i="320" s="1"/>
  <c r="H27" i="320" s="1"/>
  <c r="F24" i="319"/>
  <c r="H23" i="319" s="1"/>
  <c r="H25" i="319" s="1"/>
  <c r="H27" i="319" s="1"/>
  <c r="C23" i="318" l="1"/>
  <c r="D14" i="318"/>
  <c r="D16" i="318" s="1"/>
  <c r="C19" i="318" s="1"/>
  <c r="H13" i="318"/>
  <c r="H12" i="318"/>
  <c r="H11" i="318"/>
  <c r="H10" i="318"/>
  <c r="H8" i="318"/>
  <c r="H14" i="318" s="1"/>
  <c r="H3" i="318"/>
  <c r="H9" i="317"/>
  <c r="H10" i="317"/>
  <c r="C23" i="317"/>
  <c r="D14" i="317"/>
  <c r="D16" i="317" s="1"/>
  <c r="C19" i="317" s="1"/>
  <c r="H13" i="317"/>
  <c r="H12" i="317"/>
  <c r="H11" i="317"/>
  <c r="H8" i="317"/>
  <c r="H14" i="317"/>
  <c r="H3" i="317"/>
  <c r="F22" i="318" l="1"/>
  <c r="H21" i="318" s="1"/>
  <c r="H16" i="318"/>
  <c r="C21" i="318" s="1"/>
  <c r="C28" i="318"/>
  <c r="H19" i="318" s="1"/>
  <c r="F22" i="317"/>
  <c r="H21" i="317" s="1"/>
  <c r="H16" i="317"/>
  <c r="C21" i="317" s="1"/>
  <c r="C28" i="317"/>
  <c r="H19" i="317" s="1"/>
  <c r="H8" i="316"/>
  <c r="H9" i="316"/>
  <c r="H10" i="316"/>
  <c r="H11" i="316"/>
  <c r="H12" i="316"/>
  <c r="H13" i="316"/>
  <c r="C23" i="316"/>
  <c r="D14" i="316"/>
  <c r="D16" i="316" s="1"/>
  <c r="C19" i="316" s="1"/>
  <c r="H7" i="316"/>
  <c r="H14" i="316" s="1"/>
  <c r="H3" i="316"/>
  <c r="F24" i="318" l="1"/>
  <c r="H23" i="318" s="1"/>
  <c r="H25" i="318" s="1"/>
  <c r="H27" i="318" s="1"/>
  <c r="F24" i="317"/>
  <c r="H23" i="317" s="1"/>
  <c r="H25" i="317" s="1"/>
  <c r="H27" i="317" s="1"/>
  <c r="F22" i="316"/>
  <c r="H21" i="316" s="1"/>
  <c r="H16" i="316"/>
  <c r="C21" i="316" s="1"/>
  <c r="C28" i="316"/>
  <c r="H19" i="316" s="1"/>
  <c r="F24" i="316" l="1"/>
  <c r="H23" i="316" s="1"/>
  <c r="H25" i="316" s="1"/>
  <c r="H27" i="316" s="1"/>
  <c r="C23" i="315" l="1"/>
  <c r="D14" i="315"/>
  <c r="D16" i="315" s="1"/>
  <c r="C19" i="315" s="1"/>
  <c r="H7" i="315"/>
  <c r="H14" i="315" s="1"/>
  <c r="H3" i="315"/>
  <c r="H7" i="314"/>
  <c r="C23" i="314"/>
  <c r="D14" i="314"/>
  <c r="D16" i="314" s="1"/>
  <c r="C19" i="314" s="1"/>
  <c r="H14" i="314"/>
  <c r="H3" i="314"/>
  <c r="H10" i="313"/>
  <c r="C23" i="313"/>
  <c r="D14" i="313"/>
  <c r="D16" i="313" s="1"/>
  <c r="C19" i="313" s="1"/>
  <c r="H9" i="313"/>
  <c r="H14" i="313" s="1"/>
  <c r="H3" i="313"/>
  <c r="C23" i="312"/>
  <c r="D14" i="312"/>
  <c r="D16" i="312" s="1"/>
  <c r="C19" i="312" s="1"/>
  <c r="H9" i="312"/>
  <c r="H14" i="312" s="1"/>
  <c r="H3" i="312"/>
  <c r="C23" i="311"/>
  <c r="D14" i="311"/>
  <c r="D16" i="311" s="1"/>
  <c r="C19" i="311" s="1"/>
  <c r="H9" i="311"/>
  <c r="H14" i="311" s="1"/>
  <c r="H3" i="311"/>
  <c r="C23" i="310"/>
  <c r="D14" i="310"/>
  <c r="D16" i="310" s="1"/>
  <c r="C19" i="310" s="1"/>
  <c r="H9" i="310"/>
  <c r="H14" i="310" s="1"/>
  <c r="H3" i="310"/>
  <c r="C23" i="309"/>
  <c r="D14" i="309"/>
  <c r="D16" i="309" s="1"/>
  <c r="C19" i="309" s="1"/>
  <c r="H9" i="309"/>
  <c r="H14" i="309" s="1"/>
  <c r="H3" i="309"/>
  <c r="C23" i="308"/>
  <c r="D14" i="308"/>
  <c r="D16" i="308" s="1"/>
  <c r="C19" i="308" s="1"/>
  <c r="H9" i="308"/>
  <c r="H14" i="308"/>
  <c r="H3" i="308"/>
  <c r="H9" i="307"/>
  <c r="H8" i="307"/>
  <c r="C23" i="307"/>
  <c r="D14" i="307"/>
  <c r="D16" i="307" s="1"/>
  <c r="C19" i="307" s="1"/>
  <c r="H7" i="307"/>
  <c r="H14" i="307" s="1"/>
  <c r="H3" i="307"/>
  <c r="C23" i="306"/>
  <c r="D14" i="306"/>
  <c r="D16" i="306" s="1"/>
  <c r="C19" i="306" s="1"/>
  <c r="H7" i="306"/>
  <c r="H14" i="306" s="1"/>
  <c r="H3" i="306"/>
  <c r="C23" i="305"/>
  <c r="D14" i="305"/>
  <c r="D16" i="305" s="1"/>
  <c r="C19" i="305" s="1"/>
  <c r="H7" i="305"/>
  <c r="H14" i="305" s="1"/>
  <c r="H3" i="305"/>
  <c r="C23" i="304"/>
  <c r="D14" i="304"/>
  <c r="D16" i="304" s="1"/>
  <c r="C19" i="304" s="1"/>
  <c r="H7" i="304"/>
  <c r="H14" i="304" s="1"/>
  <c r="H3" i="304"/>
  <c r="F22" i="303"/>
  <c r="C23" i="303"/>
  <c r="H21" i="303"/>
  <c r="D14" i="303"/>
  <c r="D16" i="303" s="1"/>
  <c r="C19" i="303" s="1"/>
  <c r="H7" i="303"/>
  <c r="H14" i="303" s="1"/>
  <c r="H3" i="303"/>
  <c r="H16" i="303" s="1"/>
  <c r="C21" i="303" s="1"/>
  <c r="C23" i="302"/>
  <c r="D14" i="302"/>
  <c r="D16" i="302" s="1"/>
  <c r="C19" i="302" s="1"/>
  <c r="H7" i="302"/>
  <c r="H14" i="302" s="1"/>
  <c r="H3" i="302"/>
  <c r="F22" i="315" l="1"/>
  <c r="H21" i="315" s="1"/>
  <c r="H16" i="315"/>
  <c r="C21" i="315" s="1"/>
  <c r="C28" i="315"/>
  <c r="H19" i="315" s="1"/>
  <c r="F22" i="314"/>
  <c r="H21" i="314" s="1"/>
  <c r="H16" i="314"/>
  <c r="C21" i="314" s="1"/>
  <c r="C28" i="314"/>
  <c r="H19" i="314" s="1"/>
  <c r="F22" i="313"/>
  <c r="H21" i="313" s="1"/>
  <c r="H16" i="313"/>
  <c r="C21" i="313" s="1"/>
  <c r="C28" i="313"/>
  <c r="H19" i="313" s="1"/>
  <c r="F22" i="312"/>
  <c r="H21" i="312" s="1"/>
  <c r="H16" i="312"/>
  <c r="C21" i="312" s="1"/>
  <c r="C28" i="312"/>
  <c r="H19" i="312" s="1"/>
  <c r="F22" i="311"/>
  <c r="H21" i="311" s="1"/>
  <c r="H16" i="311"/>
  <c r="C21" i="311" s="1"/>
  <c r="C28" i="311"/>
  <c r="H19" i="311" s="1"/>
  <c r="F22" i="310"/>
  <c r="H21" i="310" s="1"/>
  <c r="H16" i="310"/>
  <c r="C21" i="310" s="1"/>
  <c r="C28" i="310"/>
  <c r="H19" i="310" s="1"/>
  <c r="F22" i="309"/>
  <c r="H21" i="309" s="1"/>
  <c r="H16" i="309"/>
  <c r="C21" i="309" s="1"/>
  <c r="C28" i="309"/>
  <c r="H19" i="309" s="1"/>
  <c r="F22" i="308"/>
  <c r="H21" i="308" s="1"/>
  <c r="H16" i="308"/>
  <c r="C21" i="308" s="1"/>
  <c r="C28" i="308"/>
  <c r="H19" i="308" s="1"/>
  <c r="F22" i="307"/>
  <c r="H21" i="307" s="1"/>
  <c r="H16" i="307"/>
  <c r="C21" i="307" s="1"/>
  <c r="C28" i="307"/>
  <c r="H19" i="307" s="1"/>
  <c r="F22" i="306"/>
  <c r="H21" i="306" s="1"/>
  <c r="H16" i="306"/>
  <c r="C21" i="306" s="1"/>
  <c r="C28" i="306"/>
  <c r="H19" i="306" s="1"/>
  <c r="F22" i="305"/>
  <c r="H21" i="305" s="1"/>
  <c r="H16" i="305"/>
  <c r="C21" i="305" s="1"/>
  <c r="C28" i="305"/>
  <c r="H19" i="305" s="1"/>
  <c r="F22" i="304"/>
  <c r="H21" i="304" s="1"/>
  <c r="H16" i="304"/>
  <c r="C21" i="304" s="1"/>
  <c r="C28" i="304"/>
  <c r="H19" i="304" s="1"/>
  <c r="C28" i="303"/>
  <c r="H19" i="303" s="1"/>
  <c r="H21" i="302"/>
  <c r="H16" i="302"/>
  <c r="C21" i="302" s="1"/>
  <c r="C28" i="302"/>
  <c r="H19" i="302" s="1"/>
  <c r="F24" i="315" l="1"/>
  <c r="H23" i="315" s="1"/>
  <c r="H25" i="315" s="1"/>
  <c r="H27" i="315" s="1"/>
  <c r="F24" i="314"/>
  <c r="H23" i="314" s="1"/>
  <c r="H25" i="314" s="1"/>
  <c r="H27" i="314" s="1"/>
  <c r="F24" i="313"/>
  <c r="H23" i="313" s="1"/>
  <c r="H25" i="313" s="1"/>
  <c r="H27" i="313" s="1"/>
  <c r="F24" i="312"/>
  <c r="H23" i="312" s="1"/>
  <c r="H25" i="312" s="1"/>
  <c r="H27" i="312" s="1"/>
  <c r="F24" i="311"/>
  <c r="H23" i="311" s="1"/>
  <c r="H25" i="311" s="1"/>
  <c r="H27" i="311" s="1"/>
  <c r="F24" i="310"/>
  <c r="H23" i="310" s="1"/>
  <c r="H25" i="310" s="1"/>
  <c r="H27" i="310" s="1"/>
  <c r="F24" i="309"/>
  <c r="H23" i="309" s="1"/>
  <c r="H25" i="309" s="1"/>
  <c r="H27" i="309" s="1"/>
  <c r="F24" i="308"/>
  <c r="H23" i="308" s="1"/>
  <c r="H25" i="308" s="1"/>
  <c r="H27" i="308" s="1"/>
  <c r="F24" i="307"/>
  <c r="H23" i="307" s="1"/>
  <c r="H25" i="307" s="1"/>
  <c r="H27" i="307" s="1"/>
  <c r="F24" i="306"/>
  <c r="H23" i="306" s="1"/>
  <c r="H25" i="306" s="1"/>
  <c r="H27" i="306" s="1"/>
  <c r="F24" i="305"/>
  <c r="H23" i="305" s="1"/>
  <c r="H25" i="305" s="1"/>
  <c r="H27" i="305" s="1"/>
  <c r="F24" i="304"/>
  <c r="H23" i="304" s="1"/>
  <c r="H25" i="304" s="1"/>
  <c r="H27" i="304" s="1"/>
  <c r="F24" i="303"/>
  <c r="H23" i="303" s="1"/>
  <c r="H25" i="303" s="1"/>
  <c r="H27" i="303" s="1"/>
  <c r="F24" i="302"/>
  <c r="H23" i="302" s="1"/>
  <c r="H25" i="302" s="1"/>
  <c r="H27" i="302" s="1"/>
  <c r="F22" i="301" l="1"/>
  <c r="C23" i="301"/>
  <c r="H21" i="301"/>
  <c r="D14" i="301"/>
  <c r="D16" i="301" s="1"/>
  <c r="C19" i="301" s="1"/>
  <c r="H7" i="301"/>
  <c r="H14" i="301" s="1"/>
  <c r="H3" i="301"/>
  <c r="H16" i="301" s="1"/>
  <c r="C21" i="301" s="1"/>
  <c r="H8" i="300"/>
  <c r="C23" i="300"/>
  <c r="H21" i="300"/>
  <c r="D14" i="300"/>
  <c r="D16" i="300" s="1"/>
  <c r="C19" i="300" s="1"/>
  <c r="H9" i="300"/>
  <c r="H7" i="300"/>
  <c r="H14" i="300" s="1"/>
  <c r="H3" i="300"/>
  <c r="H16" i="300" s="1"/>
  <c r="C21" i="300" s="1"/>
  <c r="H12" i="299"/>
  <c r="C28" i="301" l="1"/>
  <c r="H19" i="301" s="1"/>
  <c r="C28" i="300"/>
  <c r="H19" i="300" s="1"/>
  <c r="H9" i="299"/>
  <c r="H11" i="299"/>
  <c r="H13" i="299"/>
  <c r="C23" i="299"/>
  <c r="D14" i="299"/>
  <c r="D16" i="299" s="1"/>
  <c r="C19" i="299" s="1"/>
  <c r="H7" i="299"/>
  <c r="H14" i="299" s="1"/>
  <c r="H3" i="299"/>
  <c r="C21" i="298"/>
  <c r="D12" i="298"/>
  <c r="D14" i="298" s="1"/>
  <c r="C17" i="298" s="1"/>
  <c r="H7" i="298"/>
  <c r="H12" i="298" s="1"/>
  <c r="H3" i="298"/>
  <c r="C21" i="297"/>
  <c r="D12" i="297"/>
  <c r="D14" i="297" s="1"/>
  <c r="C17" i="297" s="1"/>
  <c r="H7" i="297"/>
  <c r="H12" i="297" s="1"/>
  <c r="H3" i="297"/>
  <c r="H8" i="296"/>
  <c r="C21" i="296"/>
  <c r="D12" i="296"/>
  <c r="D14" i="296" s="1"/>
  <c r="C17" i="296" s="1"/>
  <c r="H7" i="296"/>
  <c r="H12" i="296" s="1"/>
  <c r="H3" i="296"/>
  <c r="H9" i="293"/>
  <c r="H9" i="295"/>
  <c r="C21" i="295"/>
  <c r="D12" i="295"/>
  <c r="D14" i="295" s="1"/>
  <c r="C17" i="295" s="1"/>
  <c r="H8" i="295"/>
  <c r="H7" i="295"/>
  <c r="H12" i="295" s="1"/>
  <c r="H3" i="295"/>
  <c r="C21" i="294"/>
  <c r="D12" i="294"/>
  <c r="D14" i="294" s="1"/>
  <c r="C17" i="294" s="1"/>
  <c r="H8" i="294"/>
  <c r="H7" i="294"/>
  <c r="H12" i="294" s="1"/>
  <c r="H3" i="294"/>
  <c r="F24" i="301" l="1"/>
  <c r="H23" i="301" s="1"/>
  <c r="H25" i="301" s="1"/>
  <c r="H27" i="301" s="1"/>
  <c r="F24" i="300"/>
  <c r="H23" i="300" s="1"/>
  <c r="H25" i="300" s="1"/>
  <c r="H27" i="300" s="1"/>
  <c r="H21" i="299"/>
  <c r="H16" i="299"/>
  <c r="C21" i="299" s="1"/>
  <c r="C28" i="299"/>
  <c r="H19" i="299" s="1"/>
  <c r="F20" i="298"/>
  <c r="H19" i="298" s="1"/>
  <c r="H14" i="298"/>
  <c r="C19" i="298" s="1"/>
  <c r="C26" i="298"/>
  <c r="H17" i="298" s="1"/>
  <c r="F20" i="297"/>
  <c r="H19" i="297" s="1"/>
  <c r="H14" i="297"/>
  <c r="C19" i="297" s="1"/>
  <c r="C26" i="297"/>
  <c r="H17" i="297" s="1"/>
  <c r="F20" i="296"/>
  <c r="H19" i="296" s="1"/>
  <c r="H14" i="296"/>
  <c r="C19" i="296" s="1"/>
  <c r="C26" i="296"/>
  <c r="H17" i="296" s="1"/>
  <c r="F20" i="295"/>
  <c r="H19" i="295" s="1"/>
  <c r="H14" i="295"/>
  <c r="C19" i="295" s="1"/>
  <c r="C26" i="295"/>
  <c r="H17" i="295" s="1"/>
  <c r="F20" i="294"/>
  <c r="H19" i="294" s="1"/>
  <c r="H14" i="294"/>
  <c r="C19" i="294" s="1"/>
  <c r="C26" i="294"/>
  <c r="H17" i="294" s="1"/>
  <c r="H8" i="293"/>
  <c r="C21" i="293"/>
  <c r="D12" i="293"/>
  <c r="D14" i="293" s="1"/>
  <c r="C17" i="293" s="1"/>
  <c r="H7" i="293"/>
  <c r="H12" i="293" s="1"/>
  <c r="H3" i="293"/>
  <c r="F24" i="299" l="1"/>
  <c r="H23" i="299" s="1"/>
  <c r="H25" i="299" s="1"/>
  <c r="H27" i="299" s="1"/>
  <c r="F22" i="298"/>
  <c r="H21" i="298" s="1"/>
  <c r="H23" i="298" s="1"/>
  <c r="H25" i="298" s="1"/>
  <c r="F22" i="297"/>
  <c r="H21" i="297" s="1"/>
  <c r="H23" i="297" s="1"/>
  <c r="H25" i="297" s="1"/>
  <c r="F22" i="296"/>
  <c r="H21" i="296" s="1"/>
  <c r="H23" i="296" s="1"/>
  <c r="H25" i="296" s="1"/>
  <c r="F22" i="295"/>
  <c r="H21" i="295" s="1"/>
  <c r="H23" i="295" s="1"/>
  <c r="H25" i="295" s="1"/>
  <c r="F22" i="294"/>
  <c r="H21" i="294" s="1"/>
  <c r="H23" i="294" s="1"/>
  <c r="H25" i="294" s="1"/>
  <c r="F20" i="293"/>
  <c r="H19" i="293" s="1"/>
  <c r="H14" i="293"/>
  <c r="C19" i="293" s="1"/>
  <c r="C26" i="293"/>
  <c r="H17" i="293" s="1"/>
  <c r="C21" i="292"/>
  <c r="D12" i="292"/>
  <c r="D14" i="292" s="1"/>
  <c r="C17" i="292" s="1"/>
  <c r="H7" i="292"/>
  <c r="H12" i="292" s="1"/>
  <c r="H3" i="292"/>
  <c r="F22" i="293" l="1"/>
  <c r="H21" i="293" s="1"/>
  <c r="H23" i="293" s="1"/>
  <c r="H25" i="293" s="1"/>
  <c r="F20" i="292"/>
  <c r="H19" i="292" s="1"/>
  <c r="H14" i="292"/>
  <c r="C19" i="292" s="1"/>
  <c r="C26" i="292"/>
  <c r="H17" i="292" s="1"/>
  <c r="F22" i="292" l="1"/>
  <c r="H21" i="292" s="1"/>
  <c r="H23" i="292" s="1"/>
  <c r="H25" i="292" s="1"/>
  <c r="C21" i="291" l="1"/>
  <c r="D12" i="291"/>
  <c r="D14" i="291" s="1"/>
  <c r="C17" i="291" s="1"/>
  <c r="H7" i="291"/>
  <c r="H12" i="291" s="1"/>
  <c r="H3" i="291"/>
  <c r="C21" i="290"/>
  <c r="D12" i="290"/>
  <c r="D14" i="290" s="1"/>
  <c r="C17" i="290" s="1"/>
  <c r="H7" i="290"/>
  <c r="H12" i="290" s="1"/>
  <c r="H3" i="290"/>
  <c r="C21" i="289"/>
  <c r="D12" i="289"/>
  <c r="D14" i="289" s="1"/>
  <c r="C17" i="289" s="1"/>
  <c r="H7" i="289"/>
  <c r="H12" i="289" s="1"/>
  <c r="H3" i="289"/>
  <c r="C21" i="288"/>
  <c r="D12" i="288"/>
  <c r="D14" i="288" s="1"/>
  <c r="C17" i="288" s="1"/>
  <c r="H7" i="288"/>
  <c r="H12" i="288" s="1"/>
  <c r="H3" i="288"/>
  <c r="C21" i="287"/>
  <c r="D12" i="287"/>
  <c r="D14" i="287" s="1"/>
  <c r="C17" i="287" s="1"/>
  <c r="H7" i="287"/>
  <c r="H12" i="287" s="1"/>
  <c r="H3" i="287"/>
  <c r="C21" i="286"/>
  <c r="D12" i="286"/>
  <c r="D14" i="286" s="1"/>
  <c r="C17" i="286" s="1"/>
  <c r="H7" i="286"/>
  <c r="H12" i="286" s="1"/>
  <c r="H3" i="286"/>
  <c r="C21" i="285"/>
  <c r="D12" i="285"/>
  <c r="D14" i="285" s="1"/>
  <c r="C17" i="285" s="1"/>
  <c r="H7" i="285"/>
  <c r="H12" i="285" s="1"/>
  <c r="H3" i="285"/>
  <c r="F20" i="291" l="1"/>
  <c r="H19" i="291" s="1"/>
  <c r="H14" i="291"/>
  <c r="C19" i="291" s="1"/>
  <c r="C26" i="291"/>
  <c r="H17" i="291" s="1"/>
  <c r="F20" i="290"/>
  <c r="H19" i="290" s="1"/>
  <c r="H14" i="290"/>
  <c r="C19" i="290" s="1"/>
  <c r="C26" i="290"/>
  <c r="H17" i="290" s="1"/>
  <c r="F20" i="289"/>
  <c r="H19" i="289" s="1"/>
  <c r="H14" i="289"/>
  <c r="C19" i="289" s="1"/>
  <c r="C26" i="289"/>
  <c r="H17" i="289" s="1"/>
  <c r="F20" i="288"/>
  <c r="H19" i="288" s="1"/>
  <c r="H14" i="288"/>
  <c r="C19" i="288" s="1"/>
  <c r="C26" i="288"/>
  <c r="H17" i="288" s="1"/>
  <c r="F20" i="287"/>
  <c r="H19" i="287" s="1"/>
  <c r="H14" i="287"/>
  <c r="C19" i="287" s="1"/>
  <c r="C26" i="287"/>
  <c r="H17" i="287" s="1"/>
  <c r="F20" i="286"/>
  <c r="H19" i="286" s="1"/>
  <c r="H14" i="286"/>
  <c r="C19" i="286" s="1"/>
  <c r="C26" i="286"/>
  <c r="H17" i="286" s="1"/>
  <c r="F20" i="285"/>
  <c r="H19" i="285" s="1"/>
  <c r="H14" i="285"/>
  <c r="C19" i="285" s="1"/>
  <c r="C26" i="285"/>
  <c r="H17" i="285" s="1"/>
  <c r="H8" i="284"/>
  <c r="H9" i="284"/>
  <c r="H10" i="284"/>
  <c r="H11" i="284"/>
  <c r="C21" i="284"/>
  <c r="D12" i="284"/>
  <c r="D14" i="284" s="1"/>
  <c r="C17" i="284" s="1"/>
  <c r="H7" i="284"/>
  <c r="H12" i="284" s="1"/>
  <c r="H3" i="284"/>
  <c r="C19" i="283"/>
  <c r="D10" i="283"/>
  <c r="D12" i="283" s="1"/>
  <c r="C15" i="283" s="1"/>
  <c r="H7" i="283"/>
  <c r="H10" i="283" s="1"/>
  <c r="H3" i="283"/>
  <c r="F22" i="291" l="1"/>
  <c r="H21" i="291" s="1"/>
  <c r="H23" i="291" s="1"/>
  <c r="H25" i="291" s="1"/>
  <c r="F22" i="290"/>
  <c r="H21" i="290" s="1"/>
  <c r="H23" i="290" s="1"/>
  <c r="H25" i="290" s="1"/>
  <c r="F22" i="289"/>
  <c r="H21" i="289" s="1"/>
  <c r="H23" i="289" s="1"/>
  <c r="H25" i="289" s="1"/>
  <c r="F22" i="288"/>
  <c r="H21" i="288" s="1"/>
  <c r="H23" i="288" s="1"/>
  <c r="H25" i="288" s="1"/>
  <c r="F22" i="287"/>
  <c r="H21" i="287" s="1"/>
  <c r="H23" i="287" s="1"/>
  <c r="H25" i="287" s="1"/>
  <c r="F22" i="286"/>
  <c r="H21" i="286" s="1"/>
  <c r="H23" i="286" s="1"/>
  <c r="H25" i="286" s="1"/>
  <c r="F22" i="285"/>
  <c r="H21" i="285" s="1"/>
  <c r="H23" i="285" s="1"/>
  <c r="H25" i="285" s="1"/>
  <c r="F20" i="284"/>
  <c r="H19" i="284" s="1"/>
  <c r="H14" i="284"/>
  <c r="C19" i="284" s="1"/>
  <c r="C26" i="284"/>
  <c r="H17" i="284" s="1"/>
  <c r="F18" i="283"/>
  <c r="H17" i="283" s="1"/>
  <c r="H12" i="283"/>
  <c r="C17" i="283" s="1"/>
  <c r="C24" i="283"/>
  <c r="H15" i="283" s="1"/>
  <c r="C19" i="282"/>
  <c r="D10" i="282"/>
  <c r="D12" i="282" s="1"/>
  <c r="C15" i="282" s="1"/>
  <c r="H7" i="282"/>
  <c r="H10" i="282" s="1"/>
  <c r="H3" i="282"/>
  <c r="C19" i="281"/>
  <c r="D10" i="281"/>
  <c r="D12" i="281" s="1"/>
  <c r="C15" i="281" s="1"/>
  <c r="H7" i="281"/>
  <c r="H10" i="281" s="1"/>
  <c r="H3" i="281"/>
  <c r="C19" i="280"/>
  <c r="D10" i="280"/>
  <c r="D12" i="280" s="1"/>
  <c r="C15" i="280" s="1"/>
  <c r="H7" i="280"/>
  <c r="H10" i="280" s="1"/>
  <c r="H3" i="280"/>
  <c r="F22" i="284" l="1"/>
  <c r="H21" i="284" s="1"/>
  <c r="H23" i="284" s="1"/>
  <c r="H25" i="284" s="1"/>
  <c r="F20" i="283"/>
  <c r="H19" i="283" s="1"/>
  <c r="H21" i="283" s="1"/>
  <c r="H23" i="283" s="1"/>
  <c r="F18" i="282"/>
  <c r="H17" i="282" s="1"/>
  <c r="H12" i="282"/>
  <c r="C17" i="282" s="1"/>
  <c r="C24" i="282"/>
  <c r="H15" i="282" s="1"/>
  <c r="F18" i="281"/>
  <c r="H17" i="281" s="1"/>
  <c r="H12" i="281"/>
  <c r="C17" i="281" s="1"/>
  <c r="C24" i="281"/>
  <c r="H15" i="281" s="1"/>
  <c r="F18" i="280"/>
  <c r="H17" i="280" s="1"/>
  <c r="H12" i="280"/>
  <c r="C17" i="280" s="1"/>
  <c r="C24" i="280"/>
  <c r="H15" i="280" s="1"/>
  <c r="F20" i="282" l="1"/>
  <c r="H19" i="282" s="1"/>
  <c r="H21" i="282" s="1"/>
  <c r="H23" i="282" s="1"/>
  <c r="F20" i="281"/>
  <c r="H19" i="281" s="1"/>
  <c r="H21" i="281" s="1"/>
  <c r="H23" i="281" s="1"/>
  <c r="F20" i="280"/>
  <c r="H19" i="280" s="1"/>
  <c r="H21" i="280" s="1"/>
  <c r="H23" i="280" s="1"/>
  <c r="C19" i="279" l="1"/>
  <c r="D10" i="279"/>
  <c r="D12" i="279" s="1"/>
  <c r="C15" i="279" s="1"/>
  <c r="H7" i="279"/>
  <c r="H10" i="279" s="1"/>
  <c r="H3" i="279"/>
  <c r="C19" i="278"/>
  <c r="D10" i="278"/>
  <c r="D12" i="278" s="1"/>
  <c r="C15" i="278" s="1"/>
  <c r="H7" i="278"/>
  <c r="H10" i="278" s="1"/>
  <c r="H3" i="278"/>
  <c r="C19" i="277"/>
  <c r="D10" i="277"/>
  <c r="D12" i="277" s="1"/>
  <c r="C15" i="277" s="1"/>
  <c r="H7" i="277"/>
  <c r="H10" i="277" s="1"/>
  <c r="H3" i="277"/>
  <c r="F18" i="279" l="1"/>
  <c r="H17" i="279" s="1"/>
  <c r="H12" i="279"/>
  <c r="C17" i="279" s="1"/>
  <c r="C24" i="279"/>
  <c r="H15" i="279" s="1"/>
  <c r="F18" i="278"/>
  <c r="H17" i="278" s="1"/>
  <c r="H12" i="278"/>
  <c r="C17" i="278" s="1"/>
  <c r="C24" i="278"/>
  <c r="H15" i="278" s="1"/>
  <c r="F18" i="277"/>
  <c r="H17" i="277" s="1"/>
  <c r="H12" i="277"/>
  <c r="C17" i="277" s="1"/>
  <c r="C24" i="277"/>
  <c r="H15" i="277" s="1"/>
  <c r="F20" i="279" l="1"/>
  <c r="H19" i="279" s="1"/>
  <c r="H21" i="279" s="1"/>
  <c r="H23" i="279" s="1"/>
  <c r="F20" i="278"/>
  <c r="H19" i="278" s="1"/>
  <c r="H21" i="278" s="1"/>
  <c r="H23" i="278" s="1"/>
  <c r="F20" i="277"/>
  <c r="H19" i="277" s="1"/>
  <c r="H21" i="277" s="1"/>
  <c r="H23" i="277" s="1"/>
  <c r="C19" i="276"/>
  <c r="D10" i="276"/>
  <c r="D12" i="276" s="1"/>
  <c r="C15" i="276" s="1"/>
  <c r="H7" i="276"/>
  <c r="H10" i="276" s="1"/>
  <c r="H3" i="276"/>
  <c r="F18" i="276" l="1"/>
  <c r="H17" i="276" s="1"/>
  <c r="H12" i="276"/>
  <c r="C17" i="276" s="1"/>
  <c r="C24" i="276"/>
  <c r="H15" i="276" s="1"/>
  <c r="C19" i="275"/>
  <c r="D10" i="275"/>
  <c r="D12" i="275" s="1"/>
  <c r="C15" i="275" s="1"/>
  <c r="H7" i="275"/>
  <c r="H10" i="275" s="1"/>
  <c r="H3" i="275"/>
  <c r="F20" i="276" l="1"/>
  <c r="H19" i="276" s="1"/>
  <c r="H21" i="276" s="1"/>
  <c r="H23" i="276" s="1"/>
  <c r="F18" i="275"/>
  <c r="H17" i="275" s="1"/>
  <c r="H12" i="275"/>
  <c r="C17" i="275" s="1"/>
  <c r="C24" i="275"/>
  <c r="H15" i="275" s="1"/>
  <c r="F20" i="275" l="1"/>
  <c r="H19" i="275" s="1"/>
  <c r="H21" i="275" s="1"/>
  <c r="H23" i="275" s="1"/>
  <c r="H8" i="273" l="1"/>
  <c r="C19" i="273"/>
  <c r="D10" i="273"/>
  <c r="D12" i="273" s="1"/>
  <c r="C15" i="273" s="1"/>
  <c r="H7" i="273"/>
  <c r="H10" i="273" s="1"/>
  <c r="H3" i="273"/>
  <c r="F18" i="273" l="1"/>
  <c r="H17" i="273" s="1"/>
  <c r="H12" i="273"/>
  <c r="C17" i="273" s="1"/>
  <c r="C24" i="273"/>
  <c r="H15" i="273" s="1"/>
  <c r="F18" i="272"/>
  <c r="C19" i="272"/>
  <c r="H17" i="272"/>
  <c r="D10" i="272"/>
  <c r="D12" i="272" s="1"/>
  <c r="C15" i="272" s="1"/>
  <c r="H7" i="272"/>
  <c r="H10" i="272" s="1"/>
  <c r="H3" i="272"/>
  <c r="H12" i="272" s="1"/>
  <c r="C17" i="272" s="1"/>
  <c r="H7" i="271"/>
  <c r="C19" i="271"/>
  <c r="D10" i="271"/>
  <c r="D12" i="271" s="1"/>
  <c r="C15" i="271" s="1"/>
  <c r="H8" i="271"/>
  <c r="H10" i="271" s="1"/>
  <c r="H3" i="271"/>
  <c r="C19" i="270"/>
  <c r="D10" i="270"/>
  <c r="D12" i="270" s="1"/>
  <c r="C15" i="270" s="1"/>
  <c r="H8" i="270"/>
  <c r="H10" i="270" s="1"/>
  <c r="H3" i="270"/>
  <c r="F20" i="273" l="1"/>
  <c r="H19" i="273" s="1"/>
  <c r="H21" i="273" s="1"/>
  <c r="H23" i="273" s="1"/>
  <c r="C24" i="272"/>
  <c r="H15" i="272" s="1"/>
  <c r="H17" i="271"/>
  <c r="H12" i="271"/>
  <c r="C17" i="271" s="1"/>
  <c r="C24" i="271"/>
  <c r="H15" i="271" s="1"/>
  <c r="F18" i="270"/>
  <c r="H17" i="270" s="1"/>
  <c r="H12" i="270"/>
  <c r="C17" i="270" s="1"/>
  <c r="C24" i="270"/>
  <c r="H15" i="270" s="1"/>
  <c r="F20" i="272" l="1"/>
  <c r="H19" i="272" s="1"/>
  <c r="H21" i="272" s="1"/>
  <c r="H23" i="272" s="1"/>
  <c r="F20" i="271"/>
  <c r="H19" i="271" s="1"/>
  <c r="H21" i="271" s="1"/>
  <c r="H23" i="271" s="1"/>
  <c r="F20" i="270"/>
  <c r="H19" i="270" s="1"/>
  <c r="H21" i="270" s="1"/>
  <c r="H23" i="270" s="1"/>
  <c r="C19" i="269" l="1"/>
  <c r="D10" i="269"/>
  <c r="D12" i="269" s="1"/>
  <c r="C15" i="269" s="1"/>
  <c r="H8" i="269"/>
  <c r="H10" i="269" s="1"/>
  <c r="H3" i="269"/>
  <c r="F18" i="269" l="1"/>
  <c r="H17" i="269" s="1"/>
  <c r="H12" i="269"/>
  <c r="C17" i="269" s="1"/>
  <c r="C24" i="269"/>
  <c r="H15" i="269" s="1"/>
  <c r="C19" i="268"/>
  <c r="D10" i="268"/>
  <c r="D12" i="268" s="1"/>
  <c r="C15" i="268" s="1"/>
  <c r="H9" i="268"/>
  <c r="H8" i="268"/>
  <c r="H10" i="268" s="1"/>
  <c r="H3" i="268"/>
  <c r="F20" i="269" l="1"/>
  <c r="H19" i="269" s="1"/>
  <c r="H21" i="269" s="1"/>
  <c r="H23" i="269" s="1"/>
  <c r="F18" i="268"/>
  <c r="H17" i="268" s="1"/>
  <c r="H12" i="268"/>
  <c r="C17" i="268" s="1"/>
  <c r="C24" i="268"/>
  <c r="H15" i="268" s="1"/>
  <c r="F20" i="268" l="1"/>
  <c r="H19" i="268" s="1"/>
  <c r="H21" i="268" s="1"/>
  <c r="H23" i="268" s="1"/>
  <c r="H8" i="267" l="1"/>
  <c r="C19" i="267"/>
  <c r="D10" i="267"/>
  <c r="D12" i="267" s="1"/>
  <c r="C15" i="267" s="1"/>
  <c r="H9" i="267"/>
  <c r="H10" i="267" s="1"/>
  <c r="H3" i="267"/>
  <c r="C19" i="266"/>
  <c r="D10" i="266"/>
  <c r="D12" i="266" s="1"/>
  <c r="C15" i="266" s="1"/>
  <c r="H9" i="266"/>
  <c r="H10" i="266"/>
  <c r="H3" i="266"/>
  <c r="H8" i="265"/>
  <c r="H9" i="265"/>
  <c r="C19" i="265"/>
  <c r="D10" i="265"/>
  <c r="D12" i="265" s="1"/>
  <c r="C15" i="265" s="1"/>
  <c r="H7" i="265"/>
  <c r="H10" i="265" s="1"/>
  <c r="H3" i="265"/>
  <c r="F18" i="267" l="1"/>
  <c r="H17" i="267" s="1"/>
  <c r="H12" i="267"/>
  <c r="C17" i="267" s="1"/>
  <c r="C24" i="267"/>
  <c r="H15" i="267" s="1"/>
  <c r="F18" i="266"/>
  <c r="H17" i="266" s="1"/>
  <c r="H12" i="266"/>
  <c r="C17" i="266" s="1"/>
  <c r="C24" i="266"/>
  <c r="H15" i="266" s="1"/>
  <c r="F18" i="265"/>
  <c r="H17" i="265" s="1"/>
  <c r="H12" i="265"/>
  <c r="C17" i="265" s="1"/>
  <c r="C24" i="265"/>
  <c r="H15" i="265" s="1"/>
  <c r="F20" i="267" l="1"/>
  <c r="H19" i="267" s="1"/>
  <c r="H21" i="267" s="1"/>
  <c r="H23" i="267" s="1"/>
  <c r="F20" i="266"/>
  <c r="H19" i="266" s="1"/>
  <c r="H21" i="266" s="1"/>
  <c r="H23" i="266" s="1"/>
  <c r="F20" i="265"/>
  <c r="H19" i="265" s="1"/>
  <c r="H21" i="265" s="1"/>
  <c r="H23" i="265" s="1"/>
  <c r="C19" i="264" l="1"/>
  <c r="D10" i="264"/>
  <c r="D12" i="264" s="1"/>
  <c r="C15" i="264" s="1"/>
  <c r="H9" i="264"/>
  <c r="H7" i="264"/>
  <c r="H10" i="264" s="1"/>
  <c r="H3" i="264"/>
  <c r="F18" i="263"/>
  <c r="C19" i="263"/>
  <c r="H17" i="263"/>
  <c r="D10" i="263"/>
  <c r="D12" i="263" s="1"/>
  <c r="C15" i="263" s="1"/>
  <c r="H9" i="263"/>
  <c r="H8" i="263"/>
  <c r="H7" i="263"/>
  <c r="H10" i="263" s="1"/>
  <c r="H3" i="263"/>
  <c r="H12" i="263" s="1"/>
  <c r="C17" i="263" s="1"/>
  <c r="F18" i="264" l="1"/>
  <c r="H17" i="264" s="1"/>
  <c r="H12" i="264"/>
  <c r="C17" i="264" s="1"/>
  <c r="C24" i="264"/>
  <c r="H15" i="264" s="1"/>
  <c r="C24" i="263"/>
  <c r="H15" i="263" s="1"/>
  <c r="H8" i="262"/>
  <c r="H9" i="262"/>
  <c r="C19" i="262"/>
  <c r="D10" i="262"/>
  <c r="D12" i="262" s="1"/>
  <c r="C15" i="262" s="1"/>
  <c r="H7" i="262"/>
  <c r="H10" i="262" s="1"/>
  <c r="H3" i="262"/>
  <c r="C19" i="261"/>
  <c r="D10" i="261"/>
  <c r="D12" i="261" s="1"/>
  <c r="C15" i="261" s="1"/>
  <c r="H9" i="261"/>
  <c r="H7" i="261"/>
  <c r="H10" i="261" s="1"/>
  <c r="H3" i="261"/>
  <c r="C19" i="260"/>
  <c r="D10" i="260"/>
  <c r="D12" i="260" s="1"/>
  <c r="C15" i="260" s="1"/>
  <c r="H9" i="260"/>
  <c r="H7" i="260"/>
  <c r="H10" i="260" s="1"/>
  <c r="H3" i="260"/>
  <c r="F20" i="264" l="1"/>
  <c r="H19" i="264" s="1"/>
  <c r="H21" i="264" s="1"/>
  <c r="H23" i="264" s="1"/>
  <c r="F20" i="263"/>
  <c r="H19" i="263" s="1"/>
  <c r="H21" i="263" s="1"/>
  <c r="H23" i="263" s="1"/>
  <c r="H17" i="262"/>
  <c r="H12" i="262"/>
  <c r="C17" i="262" s="1"/>
  <c r="C24" i="262"/>
  <c r="H15" i="262" s="1"/>
  <c r="F18" i="261"/>
  <c r="H17" i="261" s="1"/>
  <c r="H12" i="261"/>
  <c r="C17" i="261" s="1"/>
  <c r="C24" i="261"/>
  <c r="H15" i="261" s="1"/>
  <c r="F18" i="260"/>
  <c r="H17" i="260" s="1"/>
  <c r="H12" i="260"/>
  <c r="C17" i="260" s="1"/>
  <c r="C24" i="260"/>
  <c r="H15" i="260" s="1"/>
  <c r="F20" i="262" l="1"/>
  <c r="H19" i="262" s="1"/>
  <c r="H21" i="262" s="1"/>
  <c r="H23" i="262" s="1"/>
  <c r="F20" i="261"/>
  <c r="H19" i="261" s="1"/>
  <c r="H21" i="261" s="1"/>
  <c r="H23" i="261" s="1"/>
  <c r="F20" i="260"/>
  <c r="H19" i="260" s="1"/>
  <c r="H21" i="260" s="1"/>
  <c r="H23" i="260" s="1"/>
  <c r="C19" i="259" l="1"/>
  <c r="D10" i="259"/>
  <c r="D12" i="259" s="1"/>
  <c r="C15" i="259" s="1"/>
  <c r="H9" i="259"/>
  <c r="H7" i="259"/>
  <c r="H10" i="259" s="1"/>
  <c r="H3" i="259"/>
  <c r="F18" i="259" l="1"/>
  <c r="H17" i="259" s="1"/>
  <c r="H12" i="259"/>
  <c r="C17" i="259" s="1"/>
  <c r="C24" i="259"/>
  <c r="H15" i="259" s="1"/>
  <c r="F20" i="259" l="1"/>
  <c r="H19" i="259" s="1"/>
  <c r="H21" i="259" s="1"/>
  <c r="H23" i="259" s="1"/>
  <c r="C19" i="258" l="1"/>
  <c r="D10" i="258"/>
  <c r="D12" i="258" s="1"/>
  <c r="C15" i="258" s="1"/>
  <c r="H9" i="258"/>
  <c r="H7" i="258"/>
  <c r="H10" i="258" s="1"/>
  <c r="H3" i="258"/>
  <c r="F18" i="257"/>
  <c r="C19" i="257"/>
  <c r="H17" i="257"/>
  <c r="D10" i="257"/>
  <c r="D12" i="257" s="1"/>
  <c r="C15" i="257" s="1"/>
  <c r="H9" i="257"/>
  <c r="H8" i="257"/>
  <c r="H7" i="257"/>
  <c r="H10" i="257" s="1"/>
  <c r="H3" i="257"/>
  <c r="H12" i="257" s="1"/>
  <c r="C17" i="257" s="1"/>
  <c r="H9" i="256"/>
  <c r="H8" i="256"/>
  <c r="H7" i="256"/>
  <c r="H3" i="256"/>
  <c r="C19" i="256"/>
  <c r="H17" i="256"/>
  <c r="H10" i="256"/>
  <c r="H12" i="256" s="1"/>
  <c r="C17" i="256" s="1"/>
  <c r="D10" i="256"/>
  <c r="D12" i="256" s="1"/>
  <c r="C15" i="256" s="1"/>
  <c r="C24" i="256" s="1"/>
  <c r="H15" i="256" s="1"/>
  <c r="C19" i="255"/>
  <c r="H17" i="255"/>
  <c r="H10" i="255"/>
  <c r="H12" i="255" s="1"/>
  <c r="C17" i="255" s="1"/>
  <c r="D10" i="255"/>
  <c r="D12" i="255" s="1"/>
  <c r="C15" i="255" s="1"/>
  <c r="C24" i="255" s="1"/>
  <c r="H15" i="255" s="1"/>
  <c r="F18" i="258" l="1"/>
  <c r="H17" i="258" s="1"/>
  <c r="H12" i="258"/>
  <c r="C17" i="258" s="1"/>
  <c r="C24" i="258"/>
  <c r="H15" i="258" s="1"/>
  <c r="C24" i="257"/>
  <c r="H15" i="257" s="1"/>
  <c r="F20" i="256"/>
  <c r="H19" i="256" s="1"/>
  <c r="H21" i="256" s="1"/>
  <c r="H23" i="256" s="1"/>
  <c r="F20" i="255"/>
  <c r="H19" i="255" s="1"/>
  <c r="H21" i="255" s="1"/>
  <c r="H23" i="255" s="1"/>
  <c r="F20" i="258" l="1"/>
  <c r="H19" i="258" s="1"/>
  <c r="H21" i="258" s="1"/>
  <c r="H23" i="258" s="1"/>
  <c r="F20" i="257"/>
  <c r="H19" i="257" s="1"/>
  <c r="H21" i="257" s="1"/>
  <c r="H23" i="257" s="1"/>
  <c r="C19" i="254" l="1"/>
  <c r="F18" i="254"/>
  <c r="H17" i="254"/>
  <c r="H10" i="254"/>
  <c r="H12" i="254" s="1"/>
  <c r="C17" i="254" s="1"/>
  <c r="D10" i="254"/>
  <c r="D12" i="254" s="1"/>
  <c r="C15" i="254" s="1"/>
  <c r="C24" i="254" s="1"/>
  <c r="H15" i="254" s="1"/>
  <c r="F20" i="254" l="1"/>
  <c r="H19" i="254" s="1"/>
  <c r="H21" i="254" s="1"/>
  <c r="H23" i="254" s="1"/>
  <c r="C19" i="253" l="1"/>
  <c r="F18" i="253"/>
  <c r="H17" i="253"/>
  <c r="H10" i="253"/>
  <c r="H12" i="253" s="1"/>
  <c r="C17" i="253" s="1"/>
  <c r="D10" i="253"/>
  <c r="D12" i="253" s="1"/>
  <c r="C15" i="253" s="1"/>
  <c r="C24" i="253" s="1"/>
  <c r="H15" i="253" s="1"/>
  <c r="F20" i="253" l="1"/>
  <c r="H19" i="253" s="1"/>
  <c r="H21" i="253" s="1"/>
  <c r="H23" i="253" s="1"/>
  <c r="C20" i="252" l="1"/>
  <c r="F19" i="252"/>
  <c r="H18" i="252"/>
  <c r="H11" i="252"/>
  <c r="H13" i="252" s="1"/>
  <c r="C18" i="252" s="1"/>
  <c r="D11" i="252"/>
  <c r="D13" i="252" s="1"/>
  <c r="C16" i="252" s="1"/>
  <c r="C25" i="252" s="1"/>
  <c r="H16" i="252" s="1"/>
  <c r="C20" i="251"/>
  <c r="F19" i="251"/>
  <c r="H18" i="251"/>
  <c r="H11" i="251"/>
  <c r="H13" i="251" s="1"/>
  <c r="C18" i="251" s="1"/>
  <c r="D11" i="251"/>
  <c r="D13" i="251" s="1"/>
  <c r="C16" i="251" s="1"/>
  <c r="C25" i="251" s="1"/>
  <c r="H16" i="251" s="1"/>
  <c r="F21" i="252" l="1"/>
  <c r="H20" i="252" s="1"/>
  <c r="H22" i="252" s="1"/>
  <c r="H24" i="252" s="1"/>
  <c r="F21" i="251"/>
  <c r="H20" i="251" s="1"/>
  <c r="H22" i="251" s="1"/>
  <c r="H24" i="251" s="1"/>
  <c r="C20" i="250" l="1"/>
  <c r="F19" i="250"/>
  <c r="H18" i="250"/>
  <c r="H11" i="250"/>
  <c r="H13" i="250" s="1"/>
  <c r="C18" i="250" s="1"/>
  <c r="D11" i="250"/>
  <c r="D13" i="250" s="1"/>
  <c r="C16" i="250" s="1"/>
  <c r="C25" i="250" s="1"/>
  <c r="H16" i="250" s="1"/>
  <c r="C20" i="249"/>
  <c r="F19" i="249"/>
  <c r="H18" i="249"/>
  <c r="H11" i="249"/>
  <c r="H13" i="249" s="1"/>
  <c r="C18" i="249" s="1"/>
  <c r="D11" i="249"/>
  <c r="D13" i="249" s="1"/>
  <c r="C16" i="249" s="1"/>
  <c r="C25" i="249" s="1"/>
  <c r="H16" i="249" s="1"/>
  <c r="C20" i="248"/>
  <c r="F19" i="248"/>
  <c r="H18" i="248"/>
  <c r="H11" i="248"/>
  <c r="H13" i="248" s="1"/>
  <c r="C18" i="248" s="1"/>
  <c r="D11" i="248"/>
  <c r="D13" i="248" s="1"/>
  <c r="C16" i="248" s="1"/>
  <c r="C25" i="248" s="1"/>
  <c r="H16" i="248" s="1"/>
  <c r="C20" i="247"/>
  <c r="F19" i="247"/>
  <c r="H18" i="247"/>
  <c r="H11" i="247"/>
  <c r="H13" i="247" s="1"/>
  <c r="C18" i="247" s="1"/>
  <c r="D11" i="247"/>
  <c r="D13" i="247" s="1"/>
  <c r="C16" i="247" s="1"/>
  <c r="C25" i="247" s="1"/>
  <c r="H16" i="247" s="1"/>
  <c r="F21" i="250" l="1"/>
  <c r="H20" i="250" s="1"/>
  <c r="H22" i="250" s="1"/>
  <c r="H24" i="250" s="1"/>
  <c r="F21" i="249"/>
  <c r="H20" i="249" s="1"/>
  <c r="H22" i="249" s="1"/>
  <c r="H24" i="249" s="1"/>
  <c r="F21" i="248"/>
  <c r="H20" i="248" s="1"/>
  <c r="H22" i="248" s="1"/>
  <c r="H24" i="248" s="1"/>
  <c r="F21" i="247"/>
  <c r="H20" i="247" s="1"/>
  <c r="H22" i="247" s="1"/>
  <c r="H24" i="247" s="1"/>
  <c r="C20" i="246" l="1"/>
  <c r="F19" i="246"/>
  <c r="H18" i="246"/>
  <c r="H11" i="246"/>
  <c r="H13" i="246" s="1"/>
  <c r="C18" i="246" s="1"/>
  <c r="D11" i="246"/>
  <c r="D13" i="246" s="1"/>
  <c r="C16" i="246" s="1"/>
  <c r="C25" i="246" s="1"/>
  <c r="H16" i="246" s="1"/>
  <c r="F21" i="246" l="1"/>
  <c r="H20" i="246" s="1"/>
  <c r="H22" i="246" s="1"/>
  <c r="H24" i="246" s="1"/>
  <c r="C20" i="245" l="1"/>
  <c r="F19" i="245"/>
  <c r="H18" i="245"/>
  <c r="H11" i="245"/>
  <c r="H13" i="245" s="1"/>
  <c r="C18" i="245" s="1"/>
  <c r="D11" i="245"/>
  <c r="D13" i="245" s="1"/>
  <c r="C16" i="245" s="1"/>
  <c r="C25" i="245" s="1"/>
  <c r="H16" i="245" s="1"/>
  <c r="C20" i="244"/>
  <c r="F19" i="244"/>
  <c r="H18" i="244"/>
  <c r="H11" i="244"/>
  <c r="H13" i="244" s="1"/>
  <c r="C18" i="244" s="1"/>
  <c r="D11" i="244"/>
  <c r="D13" i="244" s="1"/>
  <c r="C16" i="244" s="1"/>
  <c r="C25" i="244" s="1"/>
  <c r="H16" i="244" s="1"/>
  <c r="F21" i="245" l="1"/>
  <c r="H20" i="245" s="1"/>
  <c r="H22" i="245" s="1"/>
  <c r="H24" i="245" s="1"/>
  <c r="F21" i="244"/>
  <c r="H20" i="244" s="1"/>
  <c r="H22" i="244" s="1"/>
  <c r="H24" i="244" s="1"/>
  <c r="C20" i="243" l="1"/>
  <c r="F19" i="243"/>
  <c r="H18" i="243"/>
  <c r="H11" i="243"/>
  <c r="H13" i="243" s="1"/>
  <c r="C18" i="243" s="1"/>
  <c r="D11" i="243"/>
  <c r="D13" i="243" s="1"/>
  <c r="C16" i="243" s="1"/>
  <c r="C25" i="243" s="1"/>
  <c r="H16" i="243" s="1"/>
  <c r="C20" i="242"/>
  <c r="F19" i="242"/>
  <c r="H18" i="242"/>
  <c r="H11" i="242"/>
  <c r="H13" i="242" s="1"/>
  <c r="C18" i="242" s="1"/>
  <c r="D11" i="242"/>
  <c r="D13" i="242" s="1"/>
  <c r="C16" i="242" s="1"/>
  <c r="C25" i="242" s="1"/>
  <c r="H16" i="242" s="1"/>
  <c r="F19" i="241"/>
  <c r="C20" i="241"/>
  <c r="H18" i="241"/>
  <c r="H11" i="241"/>
  <c r="H13" i="241" s="1"/>
  <c r="C18" i="241" s="1"/>
  <c r="D11" i="241"/>
  <c r="D13" i="241" s="1"/>
  <c r="C16" i="241" s="1"/>
  <c r="C25" i="241" s="1"/>
  <c r="H16" i="241" s="1"/>
  <c r="C18" i="240"/>
  <c r="F17" i="240"/>
  <c r="H16" i="240"/>
  <c r="H9" i="240"/>
  <c r="H11" i="240" s="1"/>
  <c r="C16" i="240" s="1"/>
  <c r="D9" i="240"/>
  <c r="D11" i="240" s="1"/>
  <c r="C14" i="240" s="1"/>
  <c r="C23" i="240" s="1"/>
  <c r="H14" i="240" s="1"/>
  <c r="C18" i="239"/>
  <c r="F17" i="239"/>
  <c r="H16" i="239"/>
  <c r="H9" i="239"/>
  <c r="H11" i="239" s="1"/>
  <c r="C16" i="239" s="1"/>
  <c r="D9" i="239"/>
  <c r="D11" i="239" s="1"/>
  <c r="C14" i="239" s="1"/>
  <c r="C23" i="239" s="1"/>
  <c r="H14" i="239" s="1"/>
  <c r="F17" i="238"/>
  <c r="C18" i="238"/>
  <c r="H16" i="238"/>
  <c r="H9" i="238"/>
  <c r="H11" i="238" s="1"/>
  <c r="C16" i="238" s="1"/>
  <c r="D9" i="238"/>
  <c r="D11" i="238" s="1"/>
  <c r="C14" i="238" s="1"/>
  <c r="C23" i="238" s="1"/>
  <c r="H14" i="238" s="1"/>
  <c r="F21" i="243" l="1"/>
  <c r="H20" i="243" s="1"/>
  <c r="H22" i="243" s="1"/>
  <c r="H24" i="243" s="1"/>
  <c r="F21" i="242"/>
  <c r="H20" i="242" s="1"/>
  <c r="H22" i="242" s="1"/>
  <c r="H24" i="242" s="1"/>
  <c r="F21" i="241"/>
  <c r="H20" i="241" s="1"/>
  <c r="H22" i="241" s="1"/>
  <c r="H24" i="241" s="1"/>
  <c r="F19" i="240"/>
  <c r="H18" i="240" s="1"/>
  <c r="H20" i="240" s="1"/>
  <c r="H22" i="240" s="1"/>
  <c r="F19" i="239"/>
  <c r="H18" i="239" s="1"/>
  <c r="H20" i="239" s="1"/>
  <c r="H22" i="239" s="1"/>
  <c r="F19" i="238"/>
  <c r="H18" i="238" s="1"/>
  <c r="H20" i="238" s="1"/>
  <c r="H22" i="238" s="1"/>
  <c r="C18" i="237"/>
  <c r="H16" i="237"/>
  <c r="H9" i="237"/>
  <c r="H11" i="237" s="1"/>
  <c r="C16" i="237" s="1"/>
  <c r="D9" i="237"/>
  <c r="D11" i="237" s="1"/>
  <c r="C14" i="237" s="1"/>
  <c r="C23" i="237" s="1"/>
  <c r="H14" i="237" s="1"/>
  <c r="C18" i="236"/>
  <c r="F17" i="236"/>
  <c r="H16" i="236"/>
  <c r="H9" i="236"/>
  <c r="H11" i="236" s="1"/>
  <c r="C16" i="236" s="1"/>
  <c r="D9" i="236"/>
  <c r="D11" i="236" s="1"/>
  <c r="C14" i="236" s="1"/>
  <c r="C23" i="236" s="1"/>
  <c r="H14" i="236" s="1"/>
  <c r="F19" i="237" l="1"/>
  <c r="H18" i="237" s="1"/>
  <c r="H20" i="237" s="1"/>
  <c r="H22" i="237" s="1"/>
  <c r="F19" i="236"/>
  <c r="H18" i="236" s="1"/>
  <c r="H20" i="236" s="1"/>
  <c r="H22" i="236" s="1"/>
  <c r="C18" i="235"/>
  <c r="F17" i="235"/>
  <c r="H16" i="235"/>
  <c r="H9" i="235"/>
  <c r="H11" i="235" s="1"/>
  <c r="C16" i="235" s="1"/>
  <c r="D9" i="235"/>
  <c r="D11" i="235" s="1"/>
  <c r="C14" i="235" s="1"/>
  <c r="C23" i="235" s="1"/>
  <c r="H14" i="235" s="1"/>
  <c r="C18" i="234"/>
  <c r="F17" i="234"/>
  <c r="H16" i="234"/>
  <c r="H9" i="234"/>
  <c r="H11" i="234" s="1"/>
  <c r="C16" i="234" s="1"/>
  <c r="D9" i="234"/>
  <c r="D11" i="234" s="1"/>
  <c r="C14" i="234" s="1"/>
  <c r="C23" i="234" s="1"/>
  <c r="H14" i="234" s="1"/>
  <c r="F19" i="235" l="1"/>
  <c r="H18" i="235" s="1"/>
  <c r="H20" i="235" s="1"/>
  <c r="H22" i="235" s="1"/>
  <c r="F19" i="234"/>
  <c r="H18" i="234" s="1"/>
  <c r="H20" i="234" s="1"/>
  <c r="H22" i="234" s="1"/>
  <c r="D9" i="233"/>
  <c r="H9" i="233"/>
  <c r="C18" i="233"/>
  <c r="F17" i="233"/>
  <c r="H16" i="233"/>
  <c r="H11" i="233"/>
  <c r="C16" i="233" s="1"/>
  <c r="D11" i="233"/>
  <c r="C14" i="233" s="1"/>
  <c r="C23" i="233" s="1"/>
  <c r="H14" i="233" s="1"/>
  <c r="F19" i="233" l="1"/>
  <c r="H18" i="233" s="1"/>
  <c r="H20" i="233" s="1"/>
  <c r="H22" i="233" s="1"/>
  <c r="C17" i="232"/>
  <c r="F16" i="232"/>
  <c r="H15" i="232"/>
  <c r="H8" i="232"/>
  <c r="H10" i="232" s="1"/>
  <c r="C15" i="232" s="1"/>
  <c r="D8" i="232"/>
  <c r="D10" i="232" s="1"/>
  <c r="C13" i="232" s="1"/>
  <c r="C22" i="232" s="1"/>
  <c r="H13" i="232" s="1"/>
  <c r="H10" i="231"/>
  <c r="D10" i="231"/>
  <c r="C19" i="231"/>
  <c r="F18" i="231"/>
  <c r="H17" i="231"/>
  <c r="H12" i="231"/>
  <c r="C17" i="231" s="1"/>
  <c r="D12" i="231"/>
  <c r="C15" i="231" s="1"/>
  <c r="C24" i="231" s="1"/>
  <c r="H15" i="231" s="1"/>
  <c r="F18" i="232" l="1"/>
  <c r="H17" i="232" s="1"/>
  <c r="H19" i="232" s="1"/>
  <c r="H21" i="232" s="1"/>
  <c r="F20" i="231"/>
  <c r="H19" i="231" s="1"/>
  <c r="H21" i="231" s="1"/>
  <c r="H23" i="231" s="1"/>
  <c r="C18" i="230"/>
  <c r="F17" i="230"/>
  <c r="H16" i="230"/>
  <c r="H9" i="230"/>
  <c r="H11" i="230" s="1"/>
  <c r="C16" i="230" s="1"/>
  <c r="D9" i="230"/>
  <c r="D11" i="230" s="1"/>
  <c r="C14" i="230" s="1"/>
  <c r="C23" i="230" s="1"/>
  <c r="H14" i="230" s="1"/>
  <c r="H9" i="229"/>
  <c r="C18" i="229"/>
  <c r="F17" i="229"/>
  <c r="H16" i="229"/>
  <c r="H11" i="229"/>
  <c r="C16" i="229" s="1"/>
  <c r="D9" i="229"/>
  <c r="D11" i="229" s="1"/>
  <c r="C14" i="229" s="1"/>
  <c r="C23" i="229" s="1"/>
  <c r="H14" i="229" s="1"/>
  <c r="F17" i="228"/>
  <c r="C18" i="228"/>
  <c r="H16" i="228"/>
  <c r="H9" i="228"/>
  <c r="H11" i="228" s="1"/>
  <c r="C16" i="228" s="1"/>
  <c r="D9" i="228"/>
  <c r="D11" i="228" s="1"/>
  <c r="C14" i="228" s="1"/>
  <c r="C23" i="228" s="1"/>
  <c r="H14" i="228" s="1"/>
  <c r="F19" i="230" l="1"/>
  <c r="H18" i="230" s="1"/>
  <c r="H20" i="230" s="1"/>
  <c r="H22" i="230" s="1"/>
  <c r="F19" i="229"/>
  <c r="H18" i="229" s="1"/>
  <c r="H20" i="229" s="1"/>
  <c r="H22" i="229" s="1"/>
  <c r="F19" i="228"/>
  <c r="H18" i="228" s="1"/>
  <c r="H20" i="228" s="1"/>
  <c r="H22" i="228" s="1"/>
  <c r="C18" i="227" l="1"/>
  <c r="H16" i="227"/>
  <c r="H9" i="227"/>
  <c r="H11" i="227" s="1"/>
  <c r="C16" i="227" s="1"/>
  <c r="D9" i="227"/>
  <c r="D11" i="227" s="1"/>
  <c r="C14" i="227" s="1"/>
  <c r="C23" i="227" s="1"/>
  <c r="H14" i="227" s="1"/>
  <c r="C18" i="226"/>
  <c r="F17" i="226"/>
  <c r="H16" i="226"/>
  <c r="H9" i="226"/>
  <c r="H11" i="226" s="1"/>
  <c r="C16" i="226" s="1"/>
  <c r="D9" i="226"/>
  <c r="D11" i="226" s="1"/>
  <c r="C14" i="226" s="1"/>
  <c r="C23" i="226" s="1"/>
  <c r="H14" i="226" s="1"/>
  <c r="C18" i="225"/>
  <c r="F17" i="225"/>
  <c r="H16" i="225"/>
  <c r="H9" i="225"/>
  <c r="H11" i="225" s="1"/>
  <c r="C16" i="225" s="1"/>
  <c r="D9" i="225"/>
  <c r="D11" i="225" s="1"/>
  <c r="C14" i="225" s="1"/>
  <c r="C23" i="225" s="1"/>
  <c r="H14" i="225" s="1"/>
  <c r="F19" i="227" l="1"/>
  <c r="H18" i="227" s="1"/>
  <c r="H20" i="227" s="1"/>
  <c r="H22" i="227" s="1"/>
  <c r="F19" i="226"/>
  <c r="H18" i="226" s="1"/>
  <c r="H20" i="226" s="1"/>
  <c r="H22" i="226" s="1"/>
  <c r="F19" i="225"/>
  <c r="H18" i="225" s="1"/>
  <c r="H20" i="225" s="1"/>
  <c r="H22" i="225" s="1"/>
  <c r="C18" i="224"/>
  <c r="F17" i="224"/>
  <c r="H16" i="224"/>
  <c r="H9" i="224"/>
  <c r="H11" i="224" s="1"/>
  <c r="C16" i="224" s="1"/>
  <c r="D9" i="224"/>
  <c r="D11" i="224" s="1"/>
  <c r="C14" i="224" s="1"/>
  <c r="C23" i="224" s="1"/>
  <c r="H14" i="224" s="1"/>
  <c r="F19" i="224" l="1"/>
  <c r="H18" i="224" s="1"/>
  <c r="H20" i="224" s="1"/>
  <c r="H22" i="224" s="1"/>
  <c r="F17" i="223" l="1"/>
  <c r="C18" i="223"/>
  <c r="H16" i="223"/>
  <c r="H9" i="223"/>
  <c r="H11" i="223" s="1"/>
  <c r="C16" i="223" s="1"/>
  <c r="D9" i="223"/>
  <c r="D11" i="223" s="1"/>
  <c r="C14" i="223" s="1"/>
  <c r="C23" i="223" s="1"/>
  <c r="H14" i="223" s="1"/>
  <c r="C24" i="222"/>
  <c r="H22" i="222"/>
  <c r="H15" i="222"/>
  <c r="H17" i="222" s="1"/>
  <c r="C22" i="222" s="1"/>
  <c r="D15" i="222"/>
  <c r="D17" i="222" s="1"/>
  <c r="C20" i="222" s="1"/>
  <c r="C29" i="222" s="1"/>
  <c r="H20" i="222" s="1"/>
  <c r="D13" i="221"/>
  <c r="H13" i="221"/>
  <c r="C22" i="221"/>
  <c r="H20" i="221"/>
  <c r="H15" i="221"/>
  <c r="C20" i="221" s="1"/>
  <c r="D15" i="221"/>
  <c r="C18" i="221" s="1"/>
  <c r="C27" i="221" s="1"/>
  <c r="H18" i="221" s="1"/>
  <c r="F19" i="223" l="1"/>
  <c r="H18" i="223" s="1"/>
  <c r="H20" i="223" s="1"/>
  <c r="H22" i="223" s="1"/>
  <c r="F25" i="222"/>
  <c r="H24" i="222" s="1"/>
  <c r="H26" i="222" s="1"/>
  <c r="H28" i="222" s="1"/>
  <c r="F23" i="221"/>
  <c r="H22" i="221" s="1"/>
  <c r="H24" i="221" s="1"/>
  <c r="H26" i="221" s="1"/>
  <c r="C19" i="220"/>
  <c r="F18" i="220"/>
  <c r="H17" i="220"/>
  <c r="H10" i="220"/>
  <c r="H12" i="220" s="1"/>
  <c r="C17" i="220" s="1"/>
  <c r="D10" i="220"/>
  <c r="D12" i="220" s="1"/>
  <c r="C15" i="220" s="1"/>
  <c r="C24" i="220" s="1"/>
  <c r="H15" i="220" s="1"/>
  <c r="F20" i="220" l="1"/>
  <c r="H19" i="220" s="1"/>
  <c r="H21" i="220" s="1"/>
  <c r="H23" i="220" s="1"/>
  <c r="C19" i="219" l="1"/>
  <c r="F18" i="219"/>
  <c r="H17" i="219"/>
  <c r="H10" i="219"/>
  <c r="H12" i="219" s="1"/>
  <c r="C17" i="219" s="1"/>
  <c r="D10" i="219"/>
  <c r="D12" i="219" s="1"/>
  <c r="C15" i="219" s="1"/>
  <c r="C24" i="219" s="1"/>
  <c r="H15" i="219" s="1"/>
  <c r="C19" i="218"/>
  <c r="F18" i="218"/>
  <c r="H17" i="218"/>
  <c r="H10" i="218"/>
  <c r="H12" i="218" s="1"/>
  <c r="C17" i="218" s="1"/>
  <c r="D10" i="218"/>
  <c r="D12" i="218" s="1"/>
  <c r="C15" i="218" s="1"/>
  <c r="C24" i="218" s="1"/>
  <c r="H15" i="218" s="1"/>
  <c r="F18" i="217"/>
  <c r="C19" i="217"/>
  <c r="H17" i="217"/>
  <c r="H10" i="217"/>
  <c r="H12" i="217" s="1"/>
  <c r="C17" i="217" s="1"/>
  <c r="D10" i="217"/>
  <c r="D12" i="217" s="1"/>
  <c r="C15" i="217" s="1"/>
  <c r="C24" i="217" s="1"/>
  <c r="H15" i="217" s="1"/>
  <c r="C24" i="216"/>
  <c r="H22" i="216"/>
  <c r="H15" i="216"/>
  <c r="H17" i="216" s="1"/>
  <c r="C22" i="216" s="1"/>
  <c r="D15" i="216"/>
  <c r="D17" i="216" s="1"/>
  <c r="C20" i="216" s="1"/>
  <c r="C29" i="216" s="1"/>
  <c r="H20" i="216" s="1"/>
  <c r="F20" i="219" l="1"/>
  <c r="H19" i="219" s="1"/>
  <c r="H21" i="219" s="1"/>
  <c r="H23" i="219" s="1"/>
  <c r="F20" i="218"/>
  <c r="H19" i="218" s="1"/>
  <c r="H21" i="218" s="1"/>
  <c r="H23" i="218" s="1"/>
  <c r="F20" i="217"/>
  <c r="H19" i="217" s="1"/>
  <c r="H21" i="217" s="1"/>
  <c r="H23" i="217" s="1"/>
  <c r="F25" i="216"/>
  <c r="H24" i="216" s="1"/>
  <c r="H26" i="216" s="1"/>
  <c r="H28" i="216" s="1"/>
  <c r="C24" i="215"/>
  <c r="F23" i="215"/>
  <c r="H22" i="215"/>
  <c r="H15" i="215"/>
  <c r="H17" i="215" s="1"/>
  <c r="C22" i="215" s="1"/>
  <c r="D15" i="215"/>
  <c r="D17" i="215" s="1"/>
  <c r="C20" i="215" s="1"/>
  <c r="C29" i="215" s="1"/>
  <c r="H20" i="215" s="1"/>
  <c r="F25" i="215" l="1"/>
  <c r="H24" i="215" s="1"/>
  <c r="H26" i="215" s="1"/>
  <c r="H28" i="215" s="1"/>
  <c r="D16" i="213"/>
  <c r="F23" i="214" l="1"/>
  <c r="C24" i="214"/>
  <c r="H22" i="214"/>
  <c r="H15" i="214"/>
  <c r="H17" i="214" s="1"/>
  <c r="C22" i="214" s="1"/>
  <c r="D15" i="214"/>
  <c r="D17" i="214" s="1"/>
  <c r="C20" i="214" s="1"/>
  <c r="C29" i="214" s="1"/>
  <c r="H20" i="214" s="1"/>
  <c r="H16" i="213"/>
  <c r="C25" i="213"/>
  <c r="H23" i="213"/>
  <c r="H18" i="213"/>
  <c r="C23" i="213" s="1"/>
  <c r="D18" i="213"/>
  <c r="C21" i="213" s="1"/>
  <c r="C30" i="213" s="1"/>
  <c r="H21" i="213" s="1"/>
  <c r="F25" i="214" l="1"/>
  <c r="H24" i="214" s="1"/>
  <c r="H26" i="214" s="1"/>
  <c r="H28" i="214" s="1"/>
  <c r="F26" i="213"/>
  <c r="H25" i="213" s="1"/>
  <c r="H27" i="213" s="1"/>
  <c r="H29" i="213" s="1"/>
  <c r="C24" i="212" l="1"/>
  <c r="F23" i="212"/>
  <c r="H22" i="212"/>
  <c r="H13" i="212"/>
  <c r="H17" i="212" s="1"/>
  <c r="C22" i="212" s="1"/>
  <c r="D13" i="212"/>
  <c r="D17" i="212" s="1"/>
  <c r="C20" i="212" s="1"/>
  <c r="C29" i="212" s="1"/>
  <c r="H20" i="212" s="1"/>
  <c r="F25" i="212" l="1"/>
  <c r="H24" i="212" s="1"/>
  <c r="H26" i="212" s="1"/>
  <c r="H28" i="212" s="1"/>
  <c r="C24" i="211" l="1"/>
  <c r="F23" i="211"/>
  <c r="H22" i="211"/>
  <c r="H13" i="211"/>
  <c r="H17" i="211" s="1"/>
  <c r="C22" i="211" s="1"/>
  <c r="D13" i="211"/>
  <c r="D17" i="211" s="1"/>
  <c r="C20" i="211" s="1"/>
  <c r="C29" i="211" s="1"/>
  <c r="H20" i="211" s="1"/>
  <c r="F23" i="210"/>
  <c r="C24" i="210"/>
  <c r="H22" i="210"/>
  <c r="H13" i="210"/>
  <c r="H17" i="210" s="1"/>
  <c r="C22" i="210" s="1"/>
  <c r="D13" i="210"/>
  <c r="D17" i="210" s="1"/>
  <c r="C20" i="210" s="1"/>
  <c r="C29" i="210" s="1"/>
  <c r="H20" i="210" s="1"/>
  <c r="C24" i="209"/>
  <c r="H22" i="209"/>
  <c r="H13" i="209"/>
  <c r="H17" i="209" s="1"/>
  <c r="C22" i="209" s="1"/>
  <c r="D13" i="209"/>
  <c r="D17" i="209" s="1"/>
  <c r="C20" i="209" s="1"/>
  <c r="C29" i="209" s="1"/>
  <c r="H20" i="209" s="1"/>
  <c r="F25" i="211" l="1"/>
  <c r="H24" i="211" s="1"/>
  <c r="H26" i="211" s="1"/>
  <c r="H28" i="211" s="1"/>
  <c r="F25" i="210"/>
  <c r="H24" i="210" s="1"/>
  <c r="H26" i="210" s="1"/>
  <c r="H28" i="210" s="1"/>
  <c r="F25" i="209"/>
  <c r="H24" i="209" s="1"/>
  <c r="H26" i="209" s="1"/>
  <c r="H28" i="209" s="1"/>
  <c r="C24" i="208" l="1"/>
  <c r="F23" i="208"/>
  <c r="H22" i="208"/>
  <c r="H13" i="208"/>
  <c r="H17" i="208" s="1"/>
  <c r="C22" i="208" s="1"/>
  <c r="D13" i="208"/>
  <c r="D17" i="208" s="1"/>
  <c r="C20" i="208" s="1"/>
  <c r="C29" i="208" s="1"/>
  <c r="H20" i="208" s="1"/>
  <c r="F25" i="208" l="1"/>
  <c r="H24" i="208" s="1"/>
  <c r="H26" i="208" s="1"/>
  <c r="H28" i="208" s="1"/>
  <c r="C24" i="207"/>
  <c r="F23" i="207"/>
  <c r="H22" i="207"/>
  <c r="H13" i="207"/>
  <c r="H17" i="207" s="1"/>
  <c r="C22" i="207" s="1"/>
  <c r="D13" i="207"/>
  <c r="D17" i="207" s="1"/>
  <c r="C20" i="207" s="1"/>
  <c r="C29" i="207" s="1"/>
  <c r="H20" i="207" s="1"/>
  <c r="F25" i="207" l="1"/>
  <c r="H24" i="207" s="1"/>
  <c r="H26" i="207" s="1"/>
  <c r="H28" i="207" s="1"/>
  <c r="C24" i="206" l="1"/>
  <c r="F23" i="206"/>
  <c r="H22" i="206"/>
  <c r="H13" i="206"/>
  <c r="H17" i="206" s="1"/>
  <c r="C22" i="206" s="1"/>
  <c r="D13" i="206"/>
  <c r="D17" i="206" s="1"/>
  <c r="C20" i="206" s="1"/>
  <c r="C29" i="206" s="1"/>
  <c r="H20" i="206" s="1"/>
  <c r="F25" i="206" l="1"/>
  <c r="H24" i="206" s="1"/>
  <c r="H26" i="206" s="1"/>
  <c r="H28" i="206" s="1"/>
  <c r="F23" i="205" l="1"/>
  <c r="C24" i="205"/>
  <c r="H22" i="205"/>
  <c r="H13" i="205"/>
  <c r="H17" i="205" s="1"/>
  <c r="C22" i="205" s="1"/>
  <c r="D13" i="205"/>
  <c r="D17" i="205" s="1"/>
  <c r="C20" i="205" s="1"/>
  <c r="C29" i="205" s="1"/>
  <c r="H20" i="205" s="1"/>
  <c r="C24" i="204"/>
  <c r="H22" i="204"/>
  <c r="H13" i="204"/>
  <c r="H17" i="204" s="1"/>
  <c r="C22" i="204" s="1"/>
  <c r="D13" i="204"/>
  <c r="D17" i="204" s="1"/>
  <c r="C20" i="204" s="1"/>
  <c r="C29" i="204" s="1"/>
  <c r="H20" i="204" s="1"/>
  <c r="F23" i="203"/>
  <c r="H22" i="200"/>
  <c r="H22" i="201"/>
  <c r="H22" i="202"/>
  <c r="H22" i="199"/>
  <c r="H22" i="198"/>
  <c r="H22" i="203"/>
  <c r="F25" i="205" l="1"/>
  <c r="H24" i="205" s="1"/>
  <c r="H26" i="205" s="1"/>
  <c r="H28" i="205" s="1"/>
  <c r="F25" i="204"/>
  <c r="H24" i="204" s="1"/>
  <c r="H26" i="204" s="1"/>
  <c r="H28" i="204" s="1"/>
  <c r="C24" i="203" l="1"/>
  <c r="H13" i="203"/>
  <c r="H17" i="203" s="1"/>
  <c r="C22" i="203" s="1"/>
  <c r="D13" i="203"/>
  <c r="D17" i="203" s="1"/>
  <c r="C20" i="203" s="1"/>
  <c r="C29" i="203" s="1"/>
  <c r="H20" i="203" s="1"/>
  <c r="F25" i="203" l="1"/>
  <c r="H24" i="203" s="1"/>
  <c r="H26" i="203" s="1"/>
  <c r="H28" i="203" s="1"/>
  <c r="C24" i="202" l="1"/>
  <c r="H13" i="202"/>
  <c r="H17" i="202" s="1"/>
  <c r="C22" i="202" s="1"/>
  <c r="D13" i="202"/>
  <c r="D17" i="202" s="1"/>
  <c r="C20" i="202" s="1"/>
  <c r="C29" i="202" s="1"/>
  <c r="H20" i="202" s="1"/>
  <c r="F25" i="202" l="1"/>
  <c r="H24" i="202" s="1"/>
  <c r="H26" i="202" s="1"/>
  <c r="H28" i="202" s="1"/>
  <c r="C24" i="201"/>
  <c r="F23" i="201"/>
  <c r="H13" i="201"/>
  <c r="H17" i="201" s="1"/>
  <c r="C22" i="201" s="1"/>
  <c r="D13" i="201"/>
  <c r="D17" i="201" s="1"/>
  <c r="C20" i="201" s="1"/>
  <c r="C29" i="201" s="1"/>
  <c r="H20" i="201" s="1"/>
  <c r="C24" i="200"/>
  <c r="F23" i="200"/>
  <c r="H13" i="200"/>
  <c r="H17" i="200" s="1"/>
  <c r="C22" i="200" s="1"/>
  <c r="D13" i="200"/>
  <c r="D17" i="200" s="1"/>
  <c r="C20" i="200" s="1"/>
  <c r="C29" i="200" s="1"/>
  <c r="H20" i="200" s="1"/>
  <c r="F25" i="201" l="1"/>
  <c r="H24" i="201" s="1"/>
  <c r="H26" i="201" s="1"/>
  <c r="H28" i="201" s="1"/>
  <c r="F25" i="200"/>
  <c r="H24" i="200" s="1"/>
  <c r="H26" i="200" s="1"/>
  <c r="H28" i="200" s="1"/>
  <c r="C24" i="199" l="1"/>
  <c r="F23" i="199"/>
  <c r="H13" i="199"/>
  <c r="H17" i="199" s="1"/>
  <c r="C22" i="199" s="1"/>
  <c r="D13" i="199"/>
  <c r="D17" i="199" s="1"/>
  <c r="C20" i="199" s="1"/>
  <c r="C29" i="199" s="1"/>
  <c r="H20" i="199" s="1"/>
  <c r="F25" i="199" l="1"/>
  <c r="H24" i="199" s="1"/>
  <c r="H26" i="199" s="1"/>
  <c r="H28" i="199" s="1"/>
  <c r="C24" i="198" l="1"/>
  <c r="F23" i="198"/>
  <c r="H13" i="198"/>
  <c r="H17" i="198" s="1"/>
  <c r="C22" i="198" s="1"/>
  <c r="D13" i="198"/>
  <c r="D17" i="198" s="1"/>
  <c r="C20" i="198" s="1"/>
  <c r="C29" i="198" s="1"/>
  <c r="H20" i="198" s="1"/>
  <c r="F25" i="198" l="1"/>
  <c r="H24" i="198" s="1"/>
  <c r="H26" i="198" s="1"/>
  <c r="H28" i="198" s="1"/>
  <c r="C24" i="197"/>
  <c r="F23" i="197"/>
  <c r="H22" i="197"/>
  <c r="H13" i="197"/>
  <c r="H17" i="197" s="1"/>
  <c r="C22" i="197" s="1"/>
  <c r="D13" i="197"/>
  <c r="D17" i="197" s="1"/>
  <c r="C20" i="197" s="1"/>
  <c r="C29" i="197" s="1"/>
  <c r="H20" i="197" s="1"/>
  <c r="F25" i="197" l="1"/>
  <c r="H24" i="197" s="1"/>
  <c r="H26" i="197" s="1"/>
  <c r="H28" i="197" s="1"/>
  <c r="C24" i="195"/>
  <c r="F23" i="195"/>
  <c r="H22" i="195"/>
  <c r="H13" i="195"/>
  <c r="H17" i="195" s="1"/>
  <c r="C22" i="195" s="1"/>
  <c r="D13" i="195"/>
  <c r="D17" i="195" s="1"/>
  <c r="C20" i="195" s="1"/>
  <c r="C29" i="195" s="1"/>
  <c r="H20" i="195" s="1"/>
  <c r="C24" i="194"/>
  <c r="F23" i="194"/>
  <c r="H22" i="194"/>
  <c r="H13" i="194"/>
  <c r="H17" i="194" s="1"/>
  <c r="C22" i="194" s="1"/>
  <c r="D13" i="194"/>
  <c r="D17" i="194" s="1"/>
  <c r="C20" i="194" s="1"/>
  <c r="C29" i="194" s="1"/>
  <c r="H20" i="194" s="1"/>
  <c r="C24" i="193"/>
  <c r="F23" i="193"/>
  <c r="H22" i="193"/>
  <c r="H13" i="193"/>
  <c r="H17" i="193" s="1"/>
  <c r="C22" i="193" s="1"/>
  <c r="D13" i="193"/>
  <c r="D17" i="193" s="1"/>
  <c r="C20" i="193" s="1"/>
  <c r="C29" i="193" s="1"/>
  <c r="H20" i="193" s="1"/>
  <c r="C24" i="192"/>
  <c r="F23" i="192"/>
  <c r="H22" i="192"/>
  <c r="H13" i="192"/>
  <c r="H17" i="192" s="1"/>
  <c r="C22" i="192" s="1"/>
  <c r="D13" i="192"/>
  <c r="D17" i="192" s="1"/>
  <c r="C20" i="192" s="1"/>
  <c r="C29" i="192" s="1"/>
  <c r="H20" i="192" s="1"/>
  <c r="C24" i="191"/>
  <c r="F23" i="191"/>
  <c r="H22" i="191"/>
  <c r="H13" i="191"/>
  <c r="H17" i="191" s="1"/>
  <c r="C22" i="191" s="1"/>
  <c r="D13" i="191"/>
  <c r="D17" i="191" s="1"/>
  <c r="C20" i="191" s="1"/>
  <c r="C29" i="191" s="1"/>
  <c r="H20" i="191" s="1"/>
  <c r="F25" i="195" l="1"/>
  <c r="H24" i="195" s="1"/>
  <c r="H26" i="195" s="1"/>
  <c r="H28" i="195" s="1"/>
  <c r="F25" i="194"/>
  <c r="H24" i="194" s="1"/>
  <c r="H26" i="194" s="1"/>
  <c r="H28" i="194" s="1"/>
  <c r="F25" i="193"/>
  <c r="H24" i="193" s="1"/>
  <c r="H26" i="193" s="1"/>
  <c r="H28" i="193" s="1"/>
  <c r="F25" i="192"/>
  <c r="H24" i="192" s="1"/>
  <c r="H26" i="192" s="1"/>
  <c r="H28" i="192" s="1"/>
  <c r="F25" i="191"/>
  <c r="H24" i="191" s="1"/>
  <c r="H26" i="191" s="1"/>
  <c r="H28" i="191" s="1"/>
  <c r="C24" i="190" l="1"/>
  <c r="F23" i="190"/>
  <c r="H22" i="190"/>
  <c r="H13" i="190"/>
  <c r="H17" i="190" s="1"/>
  <c r="C22" i="190" s="1"/>
  <c r="D13" i="190"/>
  <c r="D17" i="190" s="1"/>
  <c r="C20" i="190" s="1"/>
  <c r="C29" i="190" s="1"/>
  <c r="H20" i="190" s="1"/>
  <c r="F25" i="190" l="1"/>
  <c r="H24" i="190" s="1"/>
  <c r="H26" i="190" s="1"/>
  <c r="H28" i="190" s="1"/>
  <c r="C24" i="189"/>
  <c r="F23" i="189"/>
  <c r="H22" i="189"/>
  <c r="H13" i="189"/>
  <c r="H17" i="189" s="1"/>
  <c r="C22" i="189" s="1"/>
  <c r="D13" i="189"/>
  <c r="D17" i="189" s="1"/>
  <c r="C20" i="189" s="1"/>
  <c r="C29" i="189" s="1"/>
  <c r="H20" i="189" s="1"/>
  <c r="F25" i="189" l="1"/>
  <c r="H24" i="189" s="1"/>
  <c r="H26" i="189" s="1"/>
  <c r="H28" i="189" s="1"/>
  <c r="C24" i="188"/>
  <c r="F23" i="188"/>
  <c r="H22" i="188"/>
  <c r="H13" i="188"/>
  <c r="H17" i="188" s="1"/>
  <c r="C22" i="188" s="1"/>
  <c r="D13" i="188"/>
  <c r="D17" i="188" s="1"/>
  <c r="C20" i="188" s="1"/>
  <c r="C29" i="188" s="1"/>
  <c r="H20" i="188" s="1"/>
  <c r="F25" i="188" l="1"/>
  <c r="H24" i="188" s="1"/>
  <c r="H26" i="188" s="1"/>
  <c r="H28" i="188" s="1"/>
  <c r="C24" i="187"/>
  <c r="F23" i="187"/>
  <c r="H22" i="187"/>
  <c r="H13" i="187"/>
  <c r="H17" i="187" s="1"/>
  <c r="C22" i="187" s="1"/>
  <c r="D13" i="187"/>
  <c r="D17" i="187" s="1"/>
  <c r="C20" i="187" s="1"/>
  <c r="C29" i="187" s="1"/>
  <c r="H20" i="187" s="1"/>
  <c r="F25" i="187" l="1"/>
  <c r="H24" i="187" s="1"/>
  <c r="H26" i="187" s="1"/>
  <c r="H28" i="187" s="1"/>
  <c r="C24" i="186" l="1"/>
  <c r="F23" i="186"/>
  <c r="H22" i="186"/>
  <c r="H13" i="186"/>
  <c r="H17" i="186" s="1"/>
  <c r="C22" i="186" s="1"/>
  <c r="D13" i="186"/>
  <c r="D17" i="186" s="1"/>
  <c r="C20" i="186" s="1"/>
  <c r="C29" i="186" s="1"/>
  <c r="H20" i="186" s="1"/>
  <c r="C24" i="185"/>
  <c r="F23" i="185"/>
  <c r="H22" i="185"/>
  <c r="H13" i="185"/>
  <c r="H17" i="185" s="1"/>
  <c r="C22" i="185" s="1"/>
  <c r="D13" i="185"/>
  <c r="D17" i="185" s="1"/>
  <c r="C20" i="185" s="1"/>
  <c r="C29" i="185" s="1"/>
  <c r="H20" i="185" s="1"/>
  <c r="F25" i="186" l="1"/>
  <c r="H24" i="186" s="1"/>
  <c r="H26" i="186" s="1"/>
  <c r="H28" i="186" s="1"/>
  <c r="F25" i="185"/>
  <c r="H24" i="185" s="1"/>
  <c r="H26" i="185" s="1"/>
  <c r="H28" i="185" s="1"/>
  <c r="F23" i="184"/>
  <c r="C24" i="184"/>
  <c r="H22" i="184"/>
  <c r="H13" i="184"/>
  <c r="H17" i="184" s="1"/>
  <c r="C22" i="184" s="1"/>
  <c r="D13" i="184"/>
  <c r="D17" i="184" s="1"/>
  <c r="C20" i="184" s="1"/>
  <c r="C29" i="184" s="1"/>
  <c r="H20" i="184" s="1"/>
  <c r="F25" i="184" l="1"/>
  <c r="H24" i="184" s="1"/>
  <c r="H26" i="184" s="1"/>
  <c r="H28" i="184" s="1"/>
  <c r="C24" i="183"/>
  <c r="H22" i="183"/>
  <c r="H13" i="183"/>
  <c r="H17" i="183" s="1"/>
  <c r="C22" i="183" s="1"/>
  <c r="D13" i="183"/>
  <c r="D17" i="183" s="1"/>
  <c r="C20" i="183" s="1"/>
  <c r="C29" i="183" s="1"/>
  <c r="H20" i="183" s="1"/>
  <c r="F25" i="183" l="1"/>
  <c r="H24" i="183" s="1"/>
  <c r="H26" i="183" s="1"/>
  <c r="H28" i="183" s="1"/>
  <c r="C24" i="182" l="1"/>
  <c r="H22" i="182"/>
  <c r="H13" i="182"/>
  <c r="H17" i="182" s="1"/>
  <c r="C22" i="182" s="1"/>
  <c r="D13" i="182"/>
  <c r="D17" i="182" s="1"/>
  <c r="C20" i="182" s="1"/>
  <c r="C29" i="182" s="1"/>
  <c r="H20" i="182" s="1"/>
  <c r="C24" i="181"/>
  <c r="F23" i="181"/>
  <c r="H22" i="181"/>
  <c r="H13" i="181"/>
  <c r="H17" i="181" s="1"/>
  <c r="C22" i="181" s="1"/>
  <c r="D13" i="181"/>
  <c r="D17" i="181" s="1"/>
  <c r="C20" i="181" s="1"/>
  <c r="C29" i="181" s="1"/>
  <c r="H20" i="181" s="1"/>
  <c r="F25" i="182" l="1"/>
  <c r="H24" i="182" s="1"/>
  <c r="H26" i="182" s="1"/>
  <c r="H28" i="182" s="1"/>
  <c r="F25" i="181"/>
  <c r="H24" i="181" s="1"/>
  <c r="H26" i="181" s="1"/>
  <c r="H28" i="181" s="1"/>
  <c r="F23" i="180" l="1"/>
  <c r="C24" i="180"/>
  <c r="H22" i="180"/>
  <c r="H13" i="180"/>
  <c r="H17" i="180" s="1"/>
  <c r="C22" i="180" s="1"/>
  <c r="D13" i="180"/>
  <c r="D17" i="180" s="1"/>
  <c r="C20" i="180" s="1"/>
  <c r="C29" i="180" s="1"/>
  <c r="H20" i="180" s="1"/>
  <c r="F25" i="180" l="1"/>
  <c r="H24" i="180" s="1"/>
  <c r="H26" i="180" s="1"/>
  <c r="H28" i="180" s="1"/>
  <c r="C24" i="179"/>
  <c r="H22" i="179"/>
  <c r="H13" i="179"/>
  <c r="H17" i="179" s="1"/>
  <c r="C22" i="179" s="1"/>
  <c r="D13" i="179"/>
  <c r="D17" i="179" s="1"/>
  <c r="C20" i="179" s="1"/>
  <c r="C29" i="179" s="1"/>
  <c r="H20" i="179" s="1"/>
  <c r="F25" i="179" l="1"/>
  <c r="H24" i="179" s="1"/>
  <c r="H26" i="179" s="1"/>
  <c r="H28" i="179" s="1"/>
  <c r="C24" i="178"/>
  <c r="F23" i="178"/>
  <c r="H22" i="178"/>
  <c r="H13" i="178"/>
  <c r="H17" i="178" s="1"/>
  <c r="C22" i="178" s="1"/>
  <c r="D13" i="178"/>
  <c r="D17" i="178" s="1"/>
  <c r="C20" i="178" s="1"/>
  <c r="C29" i="178" s="1"/>
  <c r="H20" i="178" s="1"/>
  <c r="C24" i="177"/>
  <c r="F23" i="177"/>
  <c r="H22" i="177"/>
  <c r="H13" i="177"/>
  <c r="H17" i="177" s="1"/>
  <c r="C22" i="177" s="1"/>
  <c r="D13" i="177"/>
  <c r="D17" i="177" s="1"/>
  <c r="C20" i="177" s="1"/>
  <c r="C29" i="177" s="1"/>
  <c r="H20" i="177" s="1"/>
  <c r="F25" i="178" l="1"/>
  <c r="H24" i="178" s="1"/>
  <c r="H26" i="178" s="1"/>
  <c r="H28" i="178" s="1"/>
  <c r="F25" i="177"/>
  <c r="H24" i="177" s="1"/>
  <c r="H26" i="177" s="1"/>
  <c r="H28" i="177" s="1"/>
  <c r="C24" i="176" l="1"/>
  <c r="F23" i="176"/>
  <c r="H22" i="176"/>
  <c r="H13" i="176"/>
  <c r="H17" i="176" s="1"/>
  <c r="C22" i="176" s="1"/>
  <c r="D13" i="176"/>
  <c r="D17" i="176" s="1"/>
  <c r="C20" i="176" s="1"/>
  <c r="C29" i="176" s="1"/>
  <c r="H20" i="176" s="1"/>
  <c r="F25" i="176" l="1"/>
  <c r="H24" i="176" s="1"/>
  <c r="H26" i="176" s="1"/>
  <c r="H28" i="176" s="1"/>
  <c r="C24" i="175"/>
  <c r="F23" i="175"/>
  <c r="H22" i="175"/>
  <c r="H13" i="175"/>
  <c r="H17" i="175" s="1"/>
  <c r="C22" i="175" s="1"/>
  <c r="D13" i="175"/>
  <c r="D17" i="175" s="1"/>
  <c r="C20" i="175" s="1"/>
  <c r="C29" i="175" s="1"/>
  <c r="H20" i="175" s="1"/>
  <c r="F23" i="174"/>
  <c r="C24" i="174"/>
  <c r="H22" i="174"/>
  <c r="H13" i="174"/>
  <c r="H17" i="174" s="1"/>
  <c r="C22" i="174" s="1"/>
  <c r="D13" i="174"/>
  <c r="D17" i="174" s="1"/>
  <c r="C20" i="174" s="1"/>
  <c r="C29" i="174" s="1"/>
  <c r="H20" i="174" s="1"/>
  <c r="F25" i="175" l="1"/>
  <c r="H24" i="175" s="1"/>
  <c r="H26" i="175" s="1"/>
  <c r="H28" i="175" s="1"/>
  <c r="F25" i="174"/>
  <c r="H24" i="174" s="1"/>
  <c r="H26" i="174" s="1"/>
  <c r="H28" i="174" s="1"/>
  <c r="C24" i="173"/>
  <c r="H22" i="173"/>
  <c r="H13" i="173"/>
  <c r="H17" i="173" s="1"/>
  <c r="C22" i="173" s="1"/>
  <c r="D13" i="173"/>
  <c r="D17" i="173" s="1"/>
  <c r="C20" i="173" s="1"/>
  <c r="C29" i="173" s="1"/>
  <c r="H20" i="173" s="1"/>
  <c r="F25" i="173" l="1"/>
  <c r="H24" i="173" s="1"/>
  <c r="H26" i="173" s="1"/>
  <c r="H28" i="173" s="1"/>
  <c r="F23" i="172" l="1"/>
  <c r="C24" i="172" l="1"/>
  <c r="H22" i="172"/>
  <c r="H13" i="172"/>
  <c r="H17" i="172" s="1"/>
  <c r="C22" i="172" s="1"/>
  <c r="D13" i="172"/>
  <c r="D17" i="172" s="1"/>
  <c r="C20" i="172" s="1"/>
  <c r="C29" i="172" s="1"/>
  <c r="H20" i="172" s="1"/>
  <c r="C24" i="171"/>
  <c r="H22" i="171"/>
  <c r="H13" i="171"/>
  <c r="H17" i="171" s="1"/>
  <c r="C22" i="171" s="1"/>
  <c r="D13" i="171"/>
  <c r="D17" i="171" s="1"/>
  <c r="C20" i="171" s="1"/>
  <c r="C29" i="171" s="1"/>
  <c r="H20" i="171" s="1"/>
  <c r="F25" i="172" l="1"/>
  <c r="H24" i="172" s="1"/>
  <c r="H26" i="172" s="1"/>
  <c r="H28" i="172" s="1"/>
  <c r="F25" i="171"/>
  <c r="H24" i="171" s="1"/>
  <c r="H26" i="171" s="1"/>
  <c r="H28" i="171" s="1"/>
  <c r="C24" i="170"/>
  <c r="F23" i="170"/>
  <c r="H22" i="170"/>
  <c r="H13" i="170"/>
  <c r="H17" i="170" s="1"/>
  <c r="C22" i="170" s="1"/>
  <c r="D13" i="170"/>
  <c r="D17" i="170" s="1"/>
  <c r="C20" i="170" s="1"/>
  <c r="C29" i="170" s="1"/>
  <c r="H20" i="170" s="1"/>
  <c r="F25" i="170" l="1"/>
  <c r="H24" i="170" s="1"/>
  <c r="H26" i="170" s="1"/>
  <c r="H28" i="170" s="1"/>
  <c r="C24" i="169" l="1"/>
  <c r="F23" i="169"/>
  <c r="H22" i="169"/>
  <c r="H13" i="169"/>
  <c r="H17" i="169" s="1"/>
  <c r="C22" i="169" s="1"/>
  <c r="D13" i="169"/>
  <c r="D17" i="169" s="1"/>
  <c r="C20" i="169" s="1"/>
  <c r="C29" i="169" s="1"/>
  <c r="H20" i="169" s="1"/>
  <c r="F23" i="168"/>
  <c r="F23" i="167"/>
  <c r="C24" i="168"/>
  <c r="H22" i="168"/>
  <c r="H13" i="168"/>
  <c r="H17" i="168" s="1"/>
  <c r="C22" i="168" s="1"/>
  <c r="D13" i="168"/>
  <c r="D17" i="168" s="1"/>
  <c r="C20" i="168" s="1"/>
  <c r="C29" i="168" s="1"/>
  <c r="H20" i="168" s="1"/>
  <c r="C24" i="167"/>
  <c r="H22" i="167"/>
  <c r="H13" i="167"/>
  <c r="H17" i="167" s="1"/>
  <c r="C22" i="167" s="1"/>
  <c r="D13" i="167"/>
  <c r="D17" i="167" s="1"/>
  <c r="C20" i="167" s="1"/>
  <c r="C29" i="167" s="1"/>
  <c r="H20" i="167" s="1"/>
  <c r="F25" i="169" l="1"/>
  <c r="H24" i="169" s="1"/>
  <c r="H26" i="169" s="1"/>
  <c r="H28" i="169" s="1"/>
  <c r="F25" i="168"/>
  <c r="H24" i="168" s="1"/>
  <c r="H26" i="168" s="1"/>
  <c r="H28" i="168" s="1"/>
  <c r="F25" i="167"/>
  <c r="H24" i="167" s="1"/>
  <c r="H26" i="167" s="1"/>
  <c r="H28" i="167" s="1"/>
  <c r="C24" i="166" l="1"/>
  <c r="H22" i="166"/>
  <c r="H13" i="166"/>
  <c r="H17" i="166" s="1"/>
  <c r="C22" i="166" s="1"/>
  <c r="D13" i="166"/>
  <c r="D17" i="166" s="1"/>
  <c r="C20" i="166" s="1"/>
  <c r="C29" i="166" s="1"/>
  <c r="H20" i="166" s="1"/>
  <c r="F25" i="166" l="1"/>
  <c r="H24" i="166" s="1"/>
  <c r="H26" i="166" s="1"/>
  <c r="H28" i="166" s="1"/>
  <c r="F23" i="165"/>
  <c r="C24" i="165"/>
  <c r="H22" i="165"/>
  <c r="H13" i="165"/>
  <c r="H17" i="165" s="1"/>
  <c r="C22" i="165" s="1"/>
  <c r="D13" i="165"/>
  <c r="D17" i="165" s="1"/>
  <c r="C20" i="165" s="1"/>
  <c r="C29" i="165" s="1"/>
  <c r="H20" i="165" s="1"/>
  <c r="C24" i="164"/>
  <c r="H22" i="164"/>
  <c r="H13" i="164"/>
  <c r="H17" i="164" s="1"/>
  <c r="C22" i="164" s="1"/>
  <c r="D13" i="164"/>
  <c r="D17" i="164" s="1"/>
  <c r="C20" i="164" s="1"/>
  <c r="C29" i="164" s="1"/>
  <c r="H20" i="164" s="1"/>
  <c r="C24" i="163"/>
  <c r="F23" i="163"/>
  <c r="H22" i="163"/>
  <c r="H13" i="163"/>
  <c r="H17" i="163" s="1"/>
  <c r="C22" i="163" s="1"/>
  <c r="D13" i="163"/>
  <c r="D17" i="163" s="1"/>
  <c r="C20" i="163" s="1"/>
  <c r="C29" i="163" s="1"/>
  <c r="H20" i="163" s="1"/>
  <c r="F25" i="165" l="1"/>
  <c r="H24" i="165" s="1"/>
  <c r="H26" i="165" s="1"/>
  <c r="H28" i="165" s="1"/>
  <c r="F25" i="164"/>
  <c r="H24" i="164" s="1"/>
  <c r="H26" i="164" s="1"/>
  <c r="H28" i="164" s="1"/>
  <c r="F25" i="163"/>
  <c r="H24" i="163" s="1"/>
  <c r="H26" i="163" s="1"/>
  <c r="H28" i="163" s="1"/>
  <c r="F23" i="162" l="1"/>
  <c r="C24" i="162"/>
  <c r="H22" i="162"/>
  <c r="H13" i="162"/>
  <c r="H17" i="162" s="1"/>
  <c r="C22" i="162" s="1"/>
  <c r="D13" i="162"/>
  <c r="D17" i="162" s="1"/>
  <c r="C20" i="162" s="1"/>
  <c r="C29" i="162" s="1"/>
  <c r="H20" i="162" s="1"/>
  <c r="C24" i="161"/>
  <c r="H22" i="161"/>
  <c r="H13" i="161"/>
  <c r="H17" i="161" s="1"/>
  <c r="C22" i="161" s="1"/>
  <c r="D13" i="161"/>
  <c r="D17" i="161" s="1"/>
  <c r="C20" i="161" s="1"/>
  <c r="C29" i="161" s="1"/>
  <c r="H20" i="161" s="1"/>
  <c r="C24" i="160"/>
  <c r="F23" i="160"/>
  <c r="H22" i="160"/>
  <c r="H13" i="160"/>
  <c r="H17" i="160" s="1"/>
  <c r="C22" i="160" s="1"/>
  <c r="D13" i="160"/>
  <c r="D17" i="160" s="1"/>
  <c r="C20" i="160" s="1"/>
  <c r="C29" i="160" s="1"/>
  <c r="H20" i="160" s="1"/>
  <c r="F25" i="162" l="1"/>
  <c r="H24" i="162" s="1"/>
  <c r="H26" i="162" s="1"/>
  <c r="H28" i="162" s="1"/>
  <c r="F25" i="161"/>
  <c r="H24" i="161" s="1"/>
  <c r="H26" i="161" s="1"/>
  <c r="H28" i="161" s="1"/>
  <c r="F25" i="160"/>
  <c r="H24" i="160" s="1"/>
  <c r="H26" i="160" s="1"/>
  <c r="H28" i="160" s="1"/>
  <c r="H28" i="159"/>
  <c r="C24" i="159"/>
  <c r="F23" i="159"/>
  <c r="H22" i="159"/>
  <c r="H13" i="159"/>
  <c r="H17" i="159" s="1"/>
  <c r="C22" i="159" s="1"/>
  <c r="D13" i="159"/>
  <c r="D17" i="159" s="1"/>
  <c r="C20" i="159" s="1"/>
  <c r="C29" i="159" s="1"/>
  <c r="H20" i="159" s="1"/>
  <c r="F23" i="158"/>
  <c r="F25" i="159" l="1"/>
  <c r="H24" i="159" s="1"/>
  <c r="H26" i="159" s="1"/>
  <c r="C24" i="158" l="1"/>
  <c r="H22" i="158"/>
  <c r="H13" i="158"/>
  <c r="H17" i="158" s="1"/>
  <c r="C22" i="158" s="1"/>
  <c r="D13" i="158"/>
  <c r="D17" i="158" s="1"/>
  <c r="C20" i="158" s="1"/>
  <c r="C29" i="158" s="1"/>
  <c r="H20" i="158" s="1"/>
  <c r="C24" i="157"/>
  <c r="H22" i="157"/>
  <c r="H13" i="157"/>
  <c r="H17" i="157" s="1"/>
  <c r="C22" i="157" s="1"/>
  <c r="D13" i="157"/>
  <c r="D17" i="157" s="1"/>
  <c r="C20" i="157" s="1"/>
  <c r="C29" i="157" s="1"/>
  <c r="H20" i="157" s="1"/>
  <c r="C24" i="156"/>
  <c r="F23" i="156"/>
  <c r="H22" i="156"/>
  <c r="H13" i="156"/>
  <c r="H17" i="156" s="1"/>
  <c r="C22" i="156" s="1"/>
  <c r="D13" i="156"/>
  <c r="D17" i="156" s="1"/>
  <c r="C20" i="156" s="1"/>
  <c r="C29" i="156" s="1"/>
  <c r="H20" i="156" s="1"/>
  <c r="C24" i="155"/>
  <c r="F23" i="155"/>
  <c r="H22" i="155"/>
  <c r="H13" i="155"/>
  <c r="H17" i="155" s="1"/>
  <c r="C22" i="155" s="1"/>
  <c r="D13" i="155"/>
  <c r="D17" i="155" s="1"/>
  <c r="C20" i="155" s="1"/>
  <c r="C29" i="155" s="1"/>
  <c r="H20" i="155" s="1"/>
  <c r="D19" i="154"/>
  <c r="H19" i="154"/>
  <c r="D23" i="154"/>
  <c r="H23" i="154"/>
  <c r="C26" i="154"/>
  <c r="C28" i="154"/>
  <c r="F29" i="154"/>
  <c r="H28" i="154" s="1"/>
  <c r="C30" i="154"/>
  <c r="C35" i="154"/>
  <c r="H26" i="154" s="1"/>
  <c r="C30" i="153"/>
  <c r="F29" i="153"/>
  <c r="H28" i="153"/>
  <c r="H19" i="153"/>
  <c r="H23" i="153" s="1"/>
  <c r="C28" i="153" s="1"/>
  <c r="D19" i="153"/>
  <c r="D23" i="153" s="1"/>
  <c r="C26" i="153" s="1"/>
  <c r="C35" i="153" s="1"/>
  <c r="H26" i="153" s="1"/>
  <c r="F25" i="158" l="1"/>
  <c r="H24" i="158" s="1"/>
  <c r="H26" i="158" s="1"/>
  <c r="H28" i="158" s="1"/>
  <c r="F25" i="157"/>
  <c r="H24" i="157" s="1"/>
  <c r="H26" i="157" s="1"/>
  <c r="H28" i="157" s="1"/>
  <c r="F25" i="156"/>
  <c r="H24" i="156" s="1"/>
  <c r="H26" i="156" s="1"/>
  <c r="H28" i="156" s="1"/>
  <c r="F25" i="155"/>
  <c r="H24" i="155" s="1"/>
  <c r="H26" i="155" s="1"/>
  <c r="H28" i="155" s="1"/>
  <c r="F31" i="154"/>
  <c r="H30" i="154" s="1"/>
  <c r="H32" i="154" s="1"/>
  <c r="H34" i="154" s="1"/>
  <c r="F31" i="153"/>
  <c r="H30" i="153" s="1"/>
  <c r="H32" i="153" s="1"/>
  <c r="H34" i="153" s="1"/>
  <c r="C30" i="152" l="1"/>
  <c r="F29" i="152"/>
  <c r="H28" i="152"/>
  <c r="H19" i="152"/>
  <c r="H23" i="152" s="1"/>
  <c r="C28" i="152" s="1"/>
  <c r="D19" i="152"/>
  <c r="D23" i="152" s="1"/>
  <c r="C26" i="152" s="1"/>
  <c r="C35" i="152" s="1"/>
  <c r="H26" i="152" s="1"/>
  <c r="C30" i="151"/>
  <c r="F29" i="151"/>
  <c r="H28" i="151"/>
  <c r="H19" i="151"/>
  <c r="H23" i="151" s="1"/>
  <c r="C28" i="151" s="1"/>
  <c r="D19" i="151"/>
  <c r="D23" i="151" s="1"/>
  <c r="C26" i="151" s="1"/>
  <c r="C35" i="151" s="1"/>
  <c r="H26" i="151" s="1"/>
  <c r="F31" i="152" l="1"/>
  <c r="H30" i="152" s="1"/>
  <c r="H32" i="152" s="1"/>
  <c r="H34" i="152" s="1"/>
  <c r="F31" i="151"/>
  <c r="H30" i="151" s="1"/>
  <c r="H32" i="151" s="1"/>
  <c r="H34" i="151" s="1"/>
  <c r="C30" i="150"/>
  <c r="F29" i="150"/>
  <c r="H28" i="150"/>
  <c r="H19" i="150"/>
  <c r="H23" i="150" s="1"/>
  <c r="C28" i="150" s="1"/>
  <c r="D19" i="150"/>
  <c r="D23" i="150" s="1"/>
  <c r="C26" i="150" s="1"/>
  <c r="C35" i="150" s="1"/>
  <c r="H26" i="150" s="1"/>
  <c r="C30" i="149"/>
  <c r="F29" i="149"/>
  <c r="H28" i="149"/>
  <c r="H19" i="149"/>
  <c r="H23" i="149" s="1"/>
  <c r="C28" i="149" s="1"/>
  <c r="D19" i="149"/>
  <c r="D23" i="149" s="1"/>
  <c r="C26" i="149" s="1"/>
  <c r="C35" i="149" s="1"/>
  <c r="H26" i="149" s="1"/>
  <c r="C30" i="148"/>
  <c r="F29" i="148"/>
  <c r="H28" i="148"/>
  <c r="H19" i="148"/>
  <c r="H23" i="148" s="1"/>
  <c r="C28" i="148" s="1"/>
  <c r="D19" i="148"/>
  <c r="D23" i="148" s="1"/>
  <c r="C26" i="148" s="1"/>
  <c r="C35" i="148" s="1"/>
  <c r="H26" i="148" s="1"/>
  <c r="F31" i="150" l="1"/>
  <c r="H30" i="150" s="1"/>
  <c r="H32" i="150" s="1"/>
  <c r="H34" i="150" s="1"/>
  <c r="F31" i="149"/>
  <c r="H30" i="149" s="1"/>
  <c r="H32" i="149" s="1"/>
  <c r="H34" i="149" s="1"/>
  <c r="F31" i="148"/>
  <c r="H30" i="148" s="1"/>
  <c r="H32" i="148" s="1"/>
  <c r="H34" i="148" s="1"/>
  <c r="F29" i="147"/>
  <c r="C30" i="147"/>
  <c r="H28" i="147"/>
  <c r="H19" i="147"/>
  <c r="H23" i="147" s="1"/>
  <c r="C28" i="147" s="1"/>
  <c r="D19" i="147"/>
  <c r="D23" i="147" s="1"/>
  <c r="C26" i="147" s="1"/>
  <c r="C35" i="147" s="1"/>
  <c r="H26" i="147" s="1"/>
  <c r="F31" i="147" l="1"/>
  <c r="H30" i="147" s="1"/>
  <c r="H32" i="147" s="1"/>
  <c r="H34" i="147" s="1"/>
  <c r="C30" i="146"/>
  <c r="H28" i="146"/>
  <c r="H19" i="146"/>
  <c r="H23" i="146" s="1"/>
  <c r="C28" i="146" s="1"/>
  <c r="D19" i="146"/>
  <c r="D23" i="146" s="1"/>
  <c r="C26" i="146" s="1"/>
  <c r="C35" i="146" s="1"/>
  <c r="H26" i="146" s="1"/>
  <c r="C24" i="145"/>
  <c r="F23" i="145"/>
  <c r="H22" i="145"/>
  <c r="H13" i="145"/>
  <c r="H17" i="145" s="1"/>
  <c r="C22" i="145" s="1"/>
  <c r="D13" i="145"/>
  <c r="D17" i="145" s="1"/>
  <c r="C20" i="145" s="1"/>
  <c r="C29" i="145" s="1"/>
  <c r="H20" i="145" s="1"/>
  <c r="F31" i="146" l="1"/>
  <c r="H30" i="146" s="1"/>
  <c r="H32" i="146" s="1"/>
  <c r="H34" i="146" s="1"/>
  <c r="F25" i="145"/>
  <c r="H24" i="145" s="1"/>
  <c r="H26" i="145" s="1"/>
  <c r="H28" i="145" s="1"/>
  <c r="C24" i="144" l="1"/>
  <c r="F23" i="144"/>
  <c r="H22" i="144"/>
  <c r="H13" i="144"/>
  <c r="H17" i="144" s="1"/>
  <c r="C22" i="144" s="1"/>
  <c r="D13" i="144"/>
  <c r="D17" i="144" s="1"/>
  <c r="C20" i="144" s="1"/>
  <c r="C29" i="144" s="1"/>
  <c r="H20" i="144" s="1"/>
  <c r="C24" i="143"/>
  <c r="F23" i="143"/>
  <c r="H22" i="143"/>
  <c r="H13" i="143"/>
  <c r="H17" i="143" s="1"/>
  <c r="C22" i="143" s="1"/>
  <c r="D13" i="143"/>
  <c r="D17" i="143" s="1"/>
  <c r="C20" i="143" s="1"/>
  <c r="C29" i="143" s="1"/>
  <c r="H20" i="143" s="1"/>
  <c r="C24" i="142"/>
  <c r="F23" i="142"/>
  <c r="H22" i="142"/>
  <c r="H13" i="142"/>
  <c r="H17" i="142" s="1"/>
  <c r="C22" i="142" s="1"/>
  <c r="D13" i="142"/>
  <c r="D17" i="142" s="1"/>
  <c r="C20" i="142" s="1"/>
  <c r="C29" i="142" s="1"/>
  <c r="H20" i="142" s="1"/>
  <c r="C24" i="141"/>
  <c r="F23" i="141"/>
  <c r="H22" i="141"/>
  <c r="H13" i="141"/>
  <c r="H17" i="141" s="1"/>
  <c r="C22" i="141" s="1"/>
  <c r="D13" i="141"/>
  <c r="D17" i="141" s="1"/>
  <c r="C20" i="141" s="1"/>
  <c r="C29" i="141" s="1"/>
  <c r="H20" i="141" s="1"/>
  <c r="C24" i="140"/>
  <c r="F23" i="140"/>
  <c r="H22" i="140"/>
  <c r="H13" i="140"/>
  <c r="H17" i="140" s="1"/>
  <c r="C22" i="140" s="1"/>
  <c r="D13" i="140"/>
  <c r="D17" i="140" s="1"/>
  <c r="C20" i="140" s="1"/>
  <c r="C29" i="140" s="1"/>
  <c r="H20" i="140" s="1"/>
  <c r="C24" i="139"/>
  <c r="F23" i="139"/>
  <c r="H22" i="139"/>
  <c r="H13" i="139"/>
  <c r="H17" i="139" s="1"/>
  <c r="C22" i="139" s="1"/>
  <c r="D13" i="139"/>
  <c r="D17" i="139" s="1"/>
  <c r="C20" i="139" s="1"/>
  <c r="C29" i="139" s="1"/>
  <c r="H20" i="139" s="1"/>
  <c r="C24" i="138"/>
  <c r="F23" i="138"/>
  <c r="H22" i="138"/>
  <c r="H13" i="138"/>
  <c r="H17" i="138" s="1"/>
  <c r="C22" i="138" s="1"/>
  <c r="D13" i="138"/>
  <c r="D17" i="138" s="1"/>
  <c r="C20" i="138" s="1"/>
  <c r="C29" i="138" s="1"/>
  <c r="H20" i="138" s="1"/>
  <c r="F25" i="144" l="1"/>
  <c r="H24" i="144" s="1"/>
  <c r="H26" i="144" s="1"/>
  <c r="H28" i="144" s="1"/>
  <c r="F25" i="143"/>
  <c r="H24" i="143" s="1"/>
  <c r="H26" i="143" s="1"/>
  <c r="H28" i="143" s="1"/>
  <c r="F25" i="142"/>
  <c r="H24" i="142" s="1"/>
  <c r="H26" i="142" s="1"/>
  <c r="H28" i="142" s="1"/>
  <c r="F25" i="141"/>
  <c r="H24" i="141" s="1"/>
  <c r="H26" i="141" s="1"/>
  <c r="H28" i="141" s="1"/>
  <c r="F25" i="140"/>
  <c r="H24" i="140" s="1"/>
  <c r="H26" i="140" s="1"/>
  <c r="H28" i="140" s="1"/>
  <c r="F25" i="139"/>
  <c r="H24" i="139" s="1"/>
  <c r="H26" i="139" s="1"/>
  <c r="H28" i="139" s="1"/>
  <c r="F25" i="138"/>
  <c r="H24" i="138" s="1"/>
  <c r="H26" i="138" s="1"/>
  <c r="H28" i="138" s="1"/>
  <c r="C24" i="137" l="1"/>
  <c r="F23" i="137"/>
  <c r="H22" i="137"/>
  <c r="H13" i="137"/>
  <c r="H17" i="137" s="1"/>
  <c r="C22" i="137" s="1"/>
  <c r="D13" i="137"/>
  <c r="D17" i="137" s="1"/>
  <c r="C20" i="137" s="1"/>
  <c r="C29" i="137" s="1"/>
  <c r="H20" i="137" s="1"/>
  <c r="C24" i="136"/>
  <c r="F23" i="136"/>
  <c r="H22" i="136"/>
  <c r="H13" i="136"/>
  <c r="H17" i="136" s="1"/>
  <c r="C22" i="136" s="1"/>
  <c r="D13" i="136"/>
  <c r="D17" i="136" s="1"/>
  <c r="C20" i="136" s="1"/>
  <c r="C29" i="136" s="1"/>
  <c r="H20" i="136" s="1"/>
  <c r="F25" i="137" l="1"/>
  <c r="H24" i="137" s="1"/>
  <c r="H26" i="137" s="1"/>
  <c r="H28" i="137" s="1"/>
  <c r="F25" i="136"/>
  <c r="H24" i="136" s="1"/>
  <c r="H26" i="136" s="1"/>
  <c r="H28" i="136" s="1"/>
  <c r="C24" i="135" l="1"/>
  <c r="F23" i="135"/>
  <c r="H22" i="135"/>
  <c r="H13" i="135"/>
  <c r="H17" i="135" s="1"/>
  <c r="C22" i="135" s="1"/>
  <c r="D13" i="135"/>
  <c r="D17" i="135" s="1"/>
  <c r="C20" i="135" s="1"/>
  <c r="C29" i="135" s="1"/>
  <c r="H20" i="135" s="1"/>
  <c r="F25" i="135" l="1"/>
  <c r="H24" i="135" s="1"/>
  <c r="H26" i="135" s="1"/>
  <c r="H28" i="135" s="1"/>
  <c r="C24" i="134" l="1"/>
  <c r="F23" i="134"/>
  <c r="H22" i="134"/>
  <c r="H13" i="134"/>
  <c r="H17" i="134" s="1"/>
  <c r="C22" i="134" s="1"/>
  <c r="D13" i="134"/>
  <c r="D17" i="134" s="1"/>
  <c r="C20" i="134" s="1"/>
  <c r="C29" i="134" s="1"/>
  <c r="H20" i="134" s="1"/>
  <c r="F25" i="134" l="1"/>
  <c r="H24" i="134" s="1"/>
  <c r="H26" i="134" s="1"/>
  <c r="H28" i="134" s="1"/>
  <c r="C24" i="133" l="1"/>
  <c r="F23" i="133"/>
  <c r="H22" i="133"/>
  <c r="H13" i="133"/>
  <c r="H17" i="133" s="1"/>
  <c r="C22" i="133" s="1"/>
  <c r="D13" i="133"/>
  <c r="D17" i="133" s="1"/>
  <c r="C20" i="133" s="1"/>
  <c r="C29" i="133" s="1"/>
  <c r="H20" i="133" s="1"/>
  <c r="F25" i="133" l="1"/>
  <c r="H24" i="133" s="1"/>
  <c r="H26" i="133" s="1"/>
  <c r="H28" i="133" s="1"/>
  <c r="C24" i="132" l="1"/>
  <c r="F23" i="132"/>
  <c r="H22" i="132"/>
  <c r="H13" i="132"/>
  <c r="H17" i="132" s="1"/>
  <c r="C22" i="132" s="1"/>
  <c r="D13" i="132"/>
  <c r="D17" i="132" s="1"/>
  <c r="C20" i="132" s="1"/>
  <c r="C29" i="132" s="1"/>
  <c r="H20" i="132" s="1"/>
  <c r="F25" i="132" l="1"/>
  <c r="H24" i="132" s="1"/>
  <c r="H26" i="132" s="1"/>
  <c r="H28" i="132" s="1"/>
  <c r="C24" i="131"/>
  <c r="F23" i="131"/>
  <c r="H22" i="131"/>
  <c r="H13" i="131"/>
  <c r="H17" i="131" s="1"/>
  <c r="C22" i="131" s="1"/>
  <c r="D13" i="131"/>
  <c r="D17" i="131" s="1"/>
  <c r="C20" i="131" s="1"/>
  <c r="C29" i="131" s="1"/>
  <c r="H20" i="131" s="1"/>
  <c r="F25" i="131" l="1"/>
  <c r="H24" i="131" s="1"/>
  <c r="H26" i="131" s="1"/>
  <c r="H28" i="131" s="1"/>
  <c r="C24" i="130" l="1"/>
  <c r="F23" i="130"/>
  <c r="H22" i="130"/>
  <c r="H13" i="130"/>
  <c r="H17" i="130" s="1"/>
  <c r="C22" i="130" s="1"/>
  <c r="D13" i="130"/>
  <c r="D17" i="130" s="1"/>
  <c r="C20" i="130" s="1"/>
  <c r="C29" i="130" s="1"/>
  <c r="H20" i="130" s="1"/>
  <c r="C24" i="129"/>
  <c r="F23" i="129"/>
  <c r="H22" i="129"/>
  <c r="H13" i="129"/>
  <c r="H17" i="129" s="1"/>
  <c r="C22" i="129" s="1"/>
  <c r="D13" i="129"/>
  <c r="D17" i="129" s="1"/>
  <c r="C20" i="129" s="1"/>
  <c r="C29" i="129" s="1"/>
  <c r="H20" i="129" s="1"/>
  <c r="F25" i="130" l="1"/>
  <c r="H24" i="130" s="1"/>
  <c r="H26" i="130" s="1"/>
  <c r="H28" i="130" s="1"/>
  <c r="F25" i="129"/>
  <c r="H24" i="129" s="1"/>
  <c r="H26" i="129" s="1"/>
  <c r="H28" i="129" s="1"/>
  <c r="C24" i="128" l="1"/>
  <c r="F23" i="128"/>
  <c r="H22" i="128"/>
  <c r="H13" i="128"/>
  <c r="H17" i="128" s="1"/>
  <c r="C22" i="128" s="1"/>
  <c r="D13" i="128"/>
  <c r="D17" i="128" s="1"/>
  <c r="C20" i="128" s="1"/>
  <c r="C29" i="128" s="1"/>
  <c r="H20" i="128" s="1"/>
  <c r="C24" i="127"/>
  <c r="F23" i="127"/>
  <c r="H22" i="127"/>
  <c r="H13" i="127"/>
  <c r="H17" i="127" s="1"/>
  <c r="C22" i="127" s="1"/>
  <c r="D13" i="127"/>
  <c r="D17" i="127" s="1"/>
  <c r="C20" i="127" s="1"/>
  <c r="C29" i="127" s="1"/>
  <c r="H20" i="127" s="1"/>
  <c r="C24" i="126"/>
  <c r="F23" i="126"/>
  <c r="H22" i="126"/>
  <c r="H13" i="126"/>
  <c r="H17" i="126" s="1"/>
  <c r="C22" i="126" s="1"/>
  <c r="D13" i="126"/>
  <c r="D17" i="126" s="1"/>
  <c r="C20" i="126" s="1"/>
  <c r="C29" i="126" s="1"/>
  <c r="H20" i="126" s="1"/>
  <c r="C24" i="125"/>
  <c r="F23" i="125"/>
  <c r="H22" i="125"/>
  <c r="H13" i="125"/>
  <c r="H17" i="125" s="1"/>
  <c r="C22" i="125" s="1"/>
  <c r="D13" i="125"/>
  <c r="D17" i="125" s="1"/>
  <c r="C20" i="125" s="1"/>
  <c r="C29" i="125" s="1"/>
  <c r="H20" i="125" s="1"/>
  <c r="F25" i="128" l="1"/>
  <c r="H24" i="128" s="1"/>
  <c r="H26" i="128" s="1"/>
  <c r="H28" i="128" s="1"/>
  <c r="F25" i="127"/>
  <c r="H24" i="127" s="1"/>
  <c r="H26" i="127" s="1"/>
  <c r="H28" i="127" s="1"/>
  <c r="F25" i="126"/>
  <c r="H24" i="126" s="1"/>
  <c r="H26" i="126" s="1"/>
  <c r="H28" i="126" s="1"/>
  <c r="F25" i="125"/>
  <c r="H24" i="125" s="1"/>
  <c r="H26" i="125" s="1"/>
  <c r="H28" i="125" s="1"/>
  <c r="C23" i="124" l="1"/>
  <c r="F22" i="124"/>
  <c r="H21" i="124"/>
  <c r="H12" i="124"/>
  <c r="H16" i="124" s="1"/>
  <c r="C21" i="124" s="1"/>
  <c r="D12" i="124"/>
  <c r="D16" i="124" s="1"/>
  <c r="C19" i="124" s="1"/>
  <c r="C28" i="124" s="1"/>
  <c r="H19" i="124" s="1"/>
  <c r="F24" i="124" l="1"/>
  <c r="H23" i="124" s="1"/>
  <c r="H25" i="124" s="1"/>
  <c r="H27" i="124" s="1"/>
  <c r="C24" i="123" l="1"/>
  <c r="F23" i="123"/>
  <c r="H22" i="123"/>
  <c r="H13" i="123"/>
  <c r="H17" i="123" s="1"/>
  <c r="C22" i="123" s="1"/>
  <c r="D13" i="123"/>
  <c r="D17" i="123" s="1"/>
  <c r="C20" i="123" s="1"/>
  <c r="C29" i="123" s="1"/>
  <c r="H20" i="123" s="1"/>
  <c r="C24" i="122"/>
  <c r="F23" i="122"/>
  <c r="H22" i="122"/>
  <c r="H13" i="122"/>
  <c r="H17" i="122" s="1"/>
  <c r="C22" i="122" s="1"/>
  <c r="D13" i="122"/>
  <c r="D17" i="122" s="1"/>
  <c r="C20" i="122" s="1"/>
  <c r="C29" i="122" s="1"/>
  <c r="H20" i="122" s="1"/>
  <c r="F25" i="123" l="1"/>
  <c r="H24" i="123" s="1"/>
  <c r="H26" i="123" s="1"/>
  <c r="H28" i="123" s="1"/>
  <c r="F25" i="122"/>
  <c r="H24" i="122" s="1"/>
  <c r="H26" i="122" s="1"/>
  <c r="H28" i="122" s="1"/>
  <c r="C24" i="121"/>
  <c r="F23" i="121"/>
  <c r="H22" i="121"/>
  <c r="H13" i="121"/>
  <c r="H17" i="121" s="1"/>
  <c r="C22" i="121" s="1"/>
  <c r="D13" i="121"/>
  <c r="D17" i="121" s="1"/>
  <c r="C20" i="121" s="1"/>
  <c r="C29" i="121" s="1"/>
  <c r="H20" i="121" s="1"/>
  <c r="F25" i="121" l="1"/>
  <c r="H24" i="121" s="1"/>
  <c r="H26" i="121" s="1"/>
  <c r="H28" i="121" s="1"/>
  <c r="C24" i="120"/>
  <c r="F23" i="120"/>
  <c r="H22" i="120"/>
  <c r="H13" i="120"/>
  <c r="H17" i="120" s="1"/>
  <c r="C22" i="120" s="1"/>
  <c r="D13" i="120"/>
  <c r="D17" i="120" s="1"/>
  <c r="C20" i="120" s="1"/>
  <c r="C29" i="120" s="1"/>
  <c r="H20" i="120" s="1"/>
  <c r="C24" i="119"/>
  <c r="F23" i="119"/>
  <c r="H22" i="119"/>
  <c r="H13" i="119"/>
  <c r="H17" i="119" s="1"/>
  <c r="C22" i="119" s="1"/>
  <c r="D13" i="119"/>
  <c r="D17" i="119" s="1"/>
  <c r="C20" i="119" s="1"/>
  <c r="C29" i="119" s="1"/>
  <c r="H20" i="119" s="1"/>
  <c r="C28" i="118"/>
  <c r="F27" i="118"/>
  <c r="H26" i="118"/>
  <c r="H17" i="118"/>
  <c r="H21" i="118" s="1"/>
  <c r="C26" i="118" s="1"/>
  <c r="D17" i="118"/>
  <c r="D21" i="118" s="1"/>
  <c r="C24" i="118" s="1"/>
  <c r="C33" i="118" s="1"/>
  <c r="H24" i="118" s="1"/>
  <c r="C24" i="117"/>
  <c r="F23" i="117"/>
  <c r="H22" i="117"/>
  <c r="H13" i="117"/>
  <c r="H17" i="117" s="1"/>
  <c r="C22" i="117" s="1"/>
  <c r="D13" i="117"/>
  <c r="D17" i="117" s="1"/>
  <c r="C20" i="117" s="1"/>
  <c r="C29" i="117" s="1"/>
  <c r="H20" i="117" s="1"/>
  <c r="C24" i="116"/>
  <c r="F23" i="116"/>
  <c r="H22" i="116"/>
  <c r="H13" i="116"/>
  <c r="H17" i="116" s="1"/>
  <c r="C22" i="116" s="1"/>
  <c r="D13" i="116"/>
  <c r="D17" i="116" s="1"/>
  <c r="C20" i="116" s="1"/>
  <c r="C29" i="116" s="1"/>
  <c r="H20" i="116" s="1"/>
  <c r="F25" i="120" l="1"/>
  <c r="H24" i="120" s="1"/>
  <c r="H26" i="120" s="1"/>
  <c r="H28" i="120" s="1"/>
  <c r="F25" i="119"/>
  <c r="H24" i="119" s="1"/>
  <c r="H26" i="119" s="1"/>
  <c r="H28" i="119" s="1"/>
  <c r="F29" i="118"/>
  <c r="H28" i="118" s="1"/>
  <c r="H30" i="118" s="1"/>
  <c r="H32" i="118" s="1"/>
  <c r="F25" i="117"/>
  <c r="H24" i="117" s="1"/>
  <c r="H26" i="117" s="1"/>
  <c r="H28" i="117" s="1"/>
  <c r="F25" i="116"/>
  <c r="H24" i="116" s="1"/>
  <c r="H26" i="116" s="1"/>
  <c r="H28" i="116" s="1"/>
  <c r="H13" i="115" l="1"/>
  <c r="D13" i="115"/>
  <c r="C24" i="115"/>
  <c r="F23" i="115"/>
  <c r="H22" i="115"/>
  <c r="H17" i="115"/>
  <c r="C22" i="115" s="1"/>
  <c r="D17" i="115"/>
  <c r="C20" i="115" s="1"/>
  <c r="C29" i="115" s="1"/>
  <c r="H20" i="115" s="1"/>
  <c r="F25" i="115" l="1"/>
  <c r="H24" i="115" s="1"/>
  <c r="H26" i="115" s="1"/>
  <c r="H28" i="115" s="1"/>
  <c r="C23" i="114" l="1"/>
  <c r="F22" i="114"/>
  <c r="H21" i="114"/>
  <c r="H12" i="114"/>
  <c r="H16" i="114" s="1"/>
  <c r="C21" i="114" s="1"/>
  <c r="D12" i="114"/>
  <c r="D16" i="114" s="1"/>
  <c r="C19" i="114" s="1"/>
  <c r="C28" i="114" s="1"/>
  <c r="H19" i="114" s="1"/>
  <c r="F24" i="114" l="1"/>
  <c r="H23" i="114" s="1"/>
  <c r="H25" i="114" s="1"/>
  <c r="H27" i="114" s="1"/>
  <c r="C23" i="113" l="1"/>
  <c r="F22" i="113"/>
  <c r="H21" i="113"/>
  <c r="H12" i="113"/>
  <c r="H16" i="113" s="1"/>
  <c r="C21" i="113" s="1"/>
  <c r="D12" i="113"/>
  <c r="D16" i="113" s="1"/>
  <c r="C19" i="113" s="1"/>
  <c r="C28" i="113" s="1"/>
  <c r="H19" i="113" s="1"/>
  <c r="C23" i="112"/>
  <c r="F22" i="112"/>
  <c r="H21" i="112"/>
  <c r="H12" i="112"/>
  <c r="H16" i="112" s="1"/>
  <c r="C21" i="112" s="1"/>
  <c r="D12" i="112"/>
  <c r="D16" i="112" s="1"/>
  <c r="C19" i="112" s="1"/>
  <c r="C28" i="112" s="1"/>
  <c r="H19" i="112" s="1"/>
  <c r="C23" i="111"/>
  <c r="F22" i="111"/>
  <c r="H21" i="111"/>
  <c r="H12" i="111"/>
  <c r="H16" i="111" s="1"/>
  <c r="C21" i="111" s="1"/>
  <c r="D12" i="111"/>
  <c r="D16" i="111" s="1"/>
  <c r="C19" i="111" s="1"/>
  <c r="C28" i="111" s="1"/>
  <c r="H19" i="111" s="1"/>
  <c r="F24" i="113" l="1"/>
  <c r="H23" i="113" s="1"/>
  <c r="H25" i="113" s="1"/>
  <c r="H27" i="113" s="1"/>
  <c r="F24" i="112"/>
  <c r="H23" i="112" s="1"/>
  <c r="H25" i="112" s="1"/>
  <c r="H27" i="112" s="1"/>
  <c r="F24" i="111"/>
  <c r="H23" i="111" s="1"/>
  <c r="H25" i="111" s="1"/>
  <c r="H27" i="111" s="1"/>
  <c r="C23" i="110" l="1"/>
  <c r="F22" i="110"/>
  <c r="H21" i="110"/>
  <c r="H12" i="110"/>
  <c r="H16" i="110" s="1"/>
  <c r="C21" i="110" s="1"/>
  <c r="D12" i="110"/>
  <c r="D16" i="110" s="1"/>
  <c r="C19" i="110" s="1"/>
  <c r="C28" i="110" s="1"/>
  <c r="H19" i="110" s="1"/>
  <c r="F24" i="110" l="1"/>
  <c r="H23" i="110" s="1"/>
  <c r="H25" i="110" s="1"/>
  <c r="H27" i="110" s="1"/>
  <c r="C23" i="109" l="1"/>
  <c r="F22" i="109"/>
  <c r="H21" i="109"/>
  <c r="H12" i="109"/>
  <c r="H16" i="109" s="1"/>
  <c r="C21" i="109" s="1"/>
  <c r="D12" i="109"/>
  <c r="D16" i="109" s="1"/>
  <c r="C19" i="109" s="1"/>
  <c r="C28" i="109" s="1"/>
  <c r="H19" i="109" s="1"/>
  <c r="F24" i="109" l="1"/>
  <c r="H23" i="109" s="1"/>
  <c r="H25" i="109" s="1"/>
  <c r="H27" i="109" s="1"/>
  <c r="D19" i="102" l="1"/>
  <c r="C22" i="108" l="1"/>
  <c r="F21" i="108"/>
  <c r="H20" i="108"/>
  <c r="H11" i="108"/>
  <c r="H15" i="108" s="1"/>
  <c r="C20" i="108" s="1"/>
  <c r="D11" i="108"/>
  <c r="D15" i="108" s="1"/>
  <c r="C18" i="108" s="1"/>
  <c r="C27" i="108" s="1"/>
  <c r="H18" i="108" s="1"/>
  <c r="F23" i="108" l="1"/>
  <c r="H22" i="108" s="1"/>
  <c r="H24" i="108" s="1"/>
  <c r="H26" i="108" s="1"/>
  <c r="C22" i="107" l="1"/>
  <c r="F21" i="107"/>
  <c r="H20" i="107"/>
  <c r="H11" i="107"/>
  <c r="H15" i="107" s="1"/>
  <c r="C20" i="107" s="1"/>
  <c r="D11" i="107"/>
  <c r="D15" i="107" s="1"/>
  <c r="C18" i="107" s="1"/>
  <c r="C27" i="107" s="1"/>
  <c r="H18" i="107" s="1"/>
  <c r="C22" i="106"/>
  <c r="F21" i="106"/>
  <c r="H20" i="106"/>
  <c r="H11" i="106"/>
  <c r="H15" i="106" s="1"/>
  <c r="C20" i="106" s="1"/>
  <c r="D11" i="106"/>
  <c r="D15" i="106" s="1"/>
  <c r="C18" i="106" s="1"/>
  <c r="C27" i="106" s="1"/>
  <c r="H18" i="106" s="1"/>
  <c r="C22" i="105"/>
  <c r="F21" i="105"/>
  <c r="H20" i="105"/>
  <c r="H11" i="105"/>
  <c r="H15" i="105" s="1"/>
  <c r="C20" i="105" s="1"/>
  <c r="D11" i="105"/>
  <c r="D15" i="105" s="1"/>
  <c r="C18" i="105" s="1"/>
  <c r="C27" i="105" s="1"/>
  <c r="H18" i="105" s="1"/>
  <c r="H11" i="104"/>
  <c r="C22" i="104"/>
  <c r="F21" i="104"/>
  <c r="H20" i="104"/>
  <c r="H15" i="104"/>
  <c r="C20" i="104" s="1"/>
  <c r="D11" i="104"/>
  <c r="D15" i="104" s="1"/>
  <c r="C18" i="104" s="1"/>
  <c r="C27" i="104" s="1"/>
  <c r="H18" i="104" s="1"/>
  <c r="F23" i="107" l="1"/>
  <c r="H22" i="107" s="1"/>
  <c r="H24" i="107" s="1"/>
  <c r="H26" i="107" s="1"/>
  <c r="F23" i="106"/>
  <c r="H22" i="106" s="1"/>
  <c r="H24" i="106" s="1"/>
  <c r="H26" i="106" s="1"/>
  <c r="F23" i="105"/>
  <c r="H22" i="105" s="1"/>
  <c r="H24" i="105" s="1"/>
  <c r="H26" i="105" s="1"/>
  <c r="F23" i="104"/>
  <c r="H22" i="104" s="1"/>
  <c r="H24" i="104" s="1"/>
  <c r="H26" i="104" s="1"/>
  <c r="H15" i="103"/>
  <c r="H11" i="103"/>
  <c r="D11" i="103"/>
  <c r="C22" i="103"/>
  <c r="F21" i="103"/>
  <c r="H20" i="103"/>
  <c r="C20" i="103"/>
  <c r="D15" i="103"/>
  <c r="C18" i="103" s="1"/>
  <c r="C27" i="103" s="1"/>
  <c r="H18" i="103" s="1"/>
  <c r="F23" i="103" l="1"/>
  <c r="H22" i="103" s="1"/>
  <c r="H24" i="103" s="1"/>
  <c r="H26" i="103" s="1"/>
  <c r="H19" i="102" l="1"/>
  <c r="C31" i="102"/>
  <c r="F30" i="102"/>
  <c r="H29" i="102"/>
  <c r="H24" i="102"/>
  <c r="C29" i="102" s="1"/>
  <c r="D24" i="102"/>
  <c r="C27" i="102" s="1"/>
  <c r="C36" i="102" s="1"/>
  <c r="H27" i="102" s="1"/>
  <c r="C28" i="101"/>
  <c r="F27" i="101"/>
  <c r="H26" i="101"/>
  <c r="H15" i="101"/>
  <c r="H21" i="101" s="1"/>
  <c r="C26" i="101" s="1"/>
  <c r="D15" i="101"/>
  <c r="D21" i="101" s="1"/>
  <c r="C24" i="101" s="1"/>
  <c r="C33" i="101" s="1"/>
  <c r="H24" i="101" s="1"/>
  <c r="C28" i="100"/>
  <c r="F27" i="100"/>
  <c r="H26" i="100"/>
  <c r="H15" i="100"/>
  <c r="H21" i="100" s="1"/>
  <c r="C26" i="100" s="1"/>
  <c r="D15" i="100"/>
  <c r="D21" i="100" s="1"/>
  <c r="C24" i="100" s="1"/>
  <c r="C33" i="100" s="1"/>
  <c r="H24" i="100" s="1"/>
  <c r="C28" i="99"/>
  <c r="F27" i="99"/>
  <c r="H26" i="99"/>
  <c r="H15" i="99"/>
  <c r="H21" i="99" s="1"/>
  <c r="C26" i="99" s="1"/>
  <c r="D15" i="99"/>
  <c r="D21" i="99" s="1"/>
  <c r="C24" i="99" s="1"/>
  <c r="C33" i="99" s="1"/>
  <c r="H24" i="99" s="1"/>
  <c r="F32" i="102" l="1"/>
  <c r="H31" i="102" s="1"/>
  <c r="H33" i="102" s="1"/>
  <c r="H35" i="102" s="1"/>
  <c r="F29" i="101"/>
  <c r="H28" i="101" s="1"/>
  <c r="H30" i="101" s="1"/>
  <c r="H32" i="101" s="1"/>
  <c r="F29" i="100"/>
  <c r="H28" i="100" s="1"/>
  <c r="H30" i="100" s="1"/>
  <c r="H32" i="100" s="1"/>
  <c r="F29" i="99"/>
  <c r="H28" i="99" s="1"/>
  <c r="H30" i="99" s="1"/>
  <c r="H32" i="99" s="1"/>
  <c r="C28" i="98" l="1"/>
  <c r="F27" i="98"/>
  <c r="H26" i="98"/>
  <c r="H15" i="98"/>
  <c r="H21" i="98" s="1"/>
  <c r="C26" i="98" s="1"/>
  <c r="D15" i="98"/>
  <c r="D21" i="98" s="1"/>
  <c r="C24" i="98" s="1"/>
  <c r="C33" i="98" s="1"/>
  <c r="H24" i="98" s="1"/>
  <c r="F29" i="98" l="1"/>
  <c r="H28" i="98" s="1"/>
  <c r="H30" i="98" s="1"/>
  <c r="H32" i="98" s="1"/>
  <c r="C28" i="97"/>
  <c r="F27" i="97"/>
  <c r="H26" i="97"/>
  <c r="H15" i="97"/>
  <c r="H21" i="97" s="1"/>
  <c r="C26" i="97" s="1"/>
  <c r="D15" i="97"/>
  <c r="D21" i="97" s="1"/>
  <c r="C24" i="97" s="1"/>
  <c r="C33" i="97" s="1"/>
  <c r="H24" i="97" s="1"/>
  <c r="F29" i="97" l="1"/>
  <c r="H28" i="97" s="1"/>
  <c r="H30" i="97" s="1"/>
  <c r="H32" i="97" s="1"/>
  <c r="C28" i="96"/>
  <c r="F27" i="96"/>
  <c r="H26" i="96"/>
  <c r="H15" i="96"/>
  <c r="H21" i="96" s="1"/>
  <c r="C26" i="96" s="1"/>
  <c r="D15" i="96"/>
  <c r="D21" i="96" s="1"/>
  <c r="C24" i="96" s="1"/>
  <c r="C33" i="96" s="1"/>
  <c r="H24" i="96" s="1"/>
  <c r="F29" i="96" l="1"/>
  <c r="H28" i="96" s="1"/>
  <c r="H30" i="96" s="1"/>
  <c r="H32" i="96" s="1"/>
  <c r="C28" i="95"/>
  <c r="F27" i="95"/>
  <c r="H26" i="95"/>
  <c r="H15" i="95"/>
  <c r="H21" i="95" s="1"/>
  <c r="C26" i="95" s="1"/>
  <c r="D15" i="95"/>
  <c r="D21" i="95" s="1"/>
  <c r="C24" i="95" s="1"/>
  <c r="C33" i="95" s="1"/>
  <c r="H24" i="95" s="1"/>
  <c r="F29" i="95" l="1"/>
  <c r="H28" i="95" s="1"/>
  <c r="H30" i="95" s="1"/>
  <c r="H32" i="95" s="1"/>
  <c r="C28" i="94"/>
  <c r="F27" i="94"/>
  <c r="H26" i="94"/>
  <c r="H15" i="94"/>
  <c r="H21" i="94" s="1"/>
  <c r="C26" i="94" s="1"/>
  <c r="D15" i="94"/>
  <c r="D21" i="94" s="1"/>
  <c r="C24" i="94" s="1"/>
  <c r="C33" i="94" s="1"/>
  <c r="H24" i="94" s="1"/>
  <c r="C28" i="93"/>
  <c r="F27" i="93"/>
  <c r="H26" i="93"/>
  <c r="H15" i="93"/>
  <c r="H21" i="93" s="1"/>
  <c r="C26" i="93" s="1"/>
  <c r="D15" i="93"/>
  <c r="D21" i="93" s="1"/>
  <c r="C24" i="93" s="1"/>
  <c r="C33" i="93" s="1"/>
  <c r="H24" i="93" s="1"/>
  <c r="C28" i="92"/>
  <c r="F27" i="92"/>
  <c r="H26" i="92"/>
  <c r="H15" i="92"/>
  <c r="H21" i="92" s="1"/>
  <c r="C26" i="92" s="1"/>
  <c r="D15" i="92"/>
  <c r="D21" i="92" s="1"/>
  <c r="C24" i="92" s="1"/>
  <c r="C33" i="92" s="1"/>
  <c r="H24" i="92" s="1"/>
  <c r="C28" i="91"/>
  <c r="F27" i="91"/>
  <c r="H26" i="91"/>
  <c r="H15" i="91"/>
  <c r="H21" i="91" s="1"/>
  <c r="C26" i="91" s="1"/>
  <c r="D15" i="91"/>
  <c r="D21" i="91" s="1"/>
  <c r="C24" i="91" s="1"/>
  <c r="C33" i="91" s="1"/>
  <c r="H24" i="91" s="1"/>
  <c r="C28" i="90"/>
  <c r="F27" i="90"/>
  <c r="H26" i="90"/>
  <c r="H15" i="90"/>
  <c r="H21" i="90" s="1"/>
  <c r="C26" i="90" s="1"/>
  <c r="D15" i="90"/>
  <c r="D21" i="90" s="1"/>
  <c r="C24" i="90" s="1"/>
  <c r="C33" i="90" s="1"/>
  <c r="H24" i="90" s="1"/>
  <c r="F29" i="94" l="1"/>
  <c r="H28" i="94" s="1"/>
  <c r="H30" i="94" s="1"/>
  <c r="H32" i="94" s="1"/>
  <c r="F29" i="93"/>
  <c r="H28" i="93" s="1"/>
  <c r="H30" i="93" s="1"/>
  <c r="H32" i="93" s="1"/>
  <c r="F29" i="92"/>
  <c r="H28" i="92" s="1"/>
  <c r="H30" i="92" s="1"/>
  <c r="H32" i="92" s="1"/>
  <c r="F29" i="91"/>
  <c r="H28" i="91" s="1"/>
  <c r="H30" i="91" s="1"/>
  <c r="H32" i="91" s="1"/>
  <c r="F29" i="90"/>
  <c r="H28" i="90" s="1"/>
  <c r="H30" i="90" s="1"/>
  <c r="H32" i="90" s="1"/>
  <c r="C28" i="89"/>
  <c r="F27" i="89"/>
  <c r="H26" i="89"/>
  <c r="H15" i="89"/>
  <c r="H21" i="89" s="1"/>
  <c r="C26" i="89" s="1"/>
  <c r="D15" i="89"/>
  <c r="D21" i="89" s="1"/>
  <c r="C24" i="89" s="1"/>
  <c r="C33" i="89" s="1"/>
  <c r="H24" i="89" s="1"/>
  <c r="F29" i="89" l="1"/>
  <c r="H28" i="89" s="1"/>
  <c r="H30" i="89" s="1"/>
  <c r="H32" i="89" s="1"/>
  <c r="C28" i="88" l="1"/>
  <c r="F27" i="88"/>
  <c r="H26" i="88"/>
  <c r="H15" i="88"/>
  <c r="H21" i="88" s="1"/>
  <c r="C26" i="88" s="1"/>
  <c r="D15" i="88"/>
  <c r="D21" i="88" s="1"/>
  <c r="C24" i="88" s="1"/>
  <c r="C33" i="88" s="1"/>
  <c r="H24" i="88" s="1"/>
  <c r="F29" i="88" l="1"/>
  <c r="H28" i="88" s="1"/>
  <c r="H30" i="88" s="1"/>
  <c r="H32" i="88" s="1"/>
  <c r="C28" i="87"/>
  <c r="F27" i="87"/>
  <c r="H26" i="87"/>
  <c r="H15" i="87"/>
  <c r="H21" i="87" s="1"/>
  <c r="C26" i="87" s="1"/>
  <c r="D15" i="87"/>
  <c r="D21" i="87" s="1"/>
  <c r="C24" i="87" s="1"/>
  <c r="C33" i="87" s="1"/>
  <c r="H24" i="87" s="1"/>
  <c r="C28" i="86"/>
  <c r="F27" i="86"/>
  <c r="H26" i="86"/>
  <c r="H15" i="86"/>
  <c r="H21" i="86" s="1"/>
  <c r="C26" i="86" s="1"/>
  <c r="D15" i="86"/>
  <c r="D21" i="86" s="1"/>
  <c r="C24" i="86" s="1"/>
  <c r="C33" i="86" s="1"/>
  <c r="H24" i="86" s="1"/>
  <c r="F29" i="87" l="1"/>
  <c r="H28" i="87" s="1"/>
  <c r="H30" i="87" s="1"/>
  <c r="H32" i="87" s="1"/>
  <c r="F29" i="86"/>
  <c r="H28" i="86" s="1"/>
  <c r="H30" i="86" s="1"/>
  <c r="H32" i="86" s="1"/>
  <c r="C28" i="85" l="1"/>
  <c r="F27" i="85"/>
  <c r="H15" i="85"/>
  <c r="H21" i="85" s="1"/>
  <c r="C26" i="85" s="1"/>
  <c r="D15" i="85"/>
  <c r="D21" i="85" s="1"/>
  <c r="C24" i="85" s="1"/>
  <c r="C33" i="85" s="1"/>
  <c r="H24" i="85" s="1"/>
  <c r="H26" i="84"/>
  <c r="C28" i="84"/>
  <c r="F27" i="84"/>
  <c r="H15" i="84"/>
  <c r="H21" i="84" s="1"/>
  <c r="C26" i="84" s="1"/>
  <c r="D15" i="84"/>
  <c r="D21" i="84" s="1"/>
  <c r="C24" i="84" s="1"/>
  <c r="C33" i="84" s="1"/>
  <c r="H24" i="84" s="1"/>
  <c r="C28" i="83"/>
  <c r="F27" i="83"/>
  <c r="H15" i="83"/>
  <c r="H21" i="83" s="1"/>
  <c r="C26" i="83" s="1"/>
  <c r="D15" i="83"/>
  <c r="D21" i="83" s="1"/>
  <c r="C24" i="83" s="1"/>
  <c r="C33" i="83" s="1"/>
  <c r="H24" i="83" s="1"/>
  <c r="H30" i="85" l="1"/>
  <c r="H32" i="85" s="1"/>
  <c r="F29" i="85"/>
  <c r="F29" i="84"/>
  <c r="H28" i="84" s="1"/>
  <c r="H30" i="84" s="1"/>
  <c r="H32" i="84" s="1"/>
  <c r="F29" i="83"/>
  <c r="H30" i="83" s="1"/>
  <c r="H32" i="83" s="1"/>
  <c r="C28" i="82" l="1"/>
  <c r="F27" i="82"/>
  <c r="H26" i="82"/>
  <c r="H15" i="82"/>
  <c r="H21" i="82" s="1"/>
  <c r="C26" i="82" s="1"/>
  <c r="D15" i="82"/>
  <c r="D21" i="82" s="1"/>
  <c r="C24" i="82" s="1"/>
  <c r="C33" i="82" s="1"/>
  <c r="H24" i="82" s="1"/>
  <c r="C28" i="81"/>
  <c r="F27" i="81"/>
  <c r="H26" i="81"/>
  <c r="H15" i="81"/>
  <c r="H21" i="81" s="1"/>
  <c r="C26" i="81" s="1"/>
  <c r="D15" i="81"/>
  <c r="D21" i="81" s="1"/>
  <c r="C24" i="81" s="1"/>
  <c r="C33" i="81" s="1"/>
  <c r="H24" i="81" s="1"/>
  <c r="F29" i="82" l="1"/>
  <c r="H28" i="82" s="1"/>
  <c r="H30" i="82" s="1"/>
  <c r="H32" i="82" s="1"/>
  <c r="F29" i="81"/>
  <c r="H28" i="81" s="1"/>
  <c r="H30" i="81" s="1"/>
  <c r="H32" i="81" s="1"/>
  <c r="C28" i="80" l="1"/>
  <c r="F27" i="80"/>
  <c r="H26" i="80"/>
  <c r="H15" i="80"/>
  <c r="H21" i="80" s="1"/>
  <c r="C26" i="80" s="1"/>
  <c r="D15" i="80"/>
  <c r="D21" i="80" s="1"/>
  <c r="C24" i="80" s="1"/>
  <c r="C33" i="80" s="1"/>
  <c r="H24" i="80" s="1"/>
  <c r="C28" i="79"/>
  <c r="F27" i="79"/>
  <c r="H26" i="79"/>
  <c r="H15" i="79"/>
  <c r="H21" i="79" s="1"/>
  <c r="C26" i="79" s="1"/>
  <c r="D15" i="79"/>
  <c r="D21" i="79" s="1"/>
  <c r="C24" i="79" s="1"/>
  <c r="C33" i="79" s="1"/>
  <c r="H24" i="79" s="1"/>
  <c r="C28" i="78"/>
  <c r="F27" i="78"/>
  <c r="H26" i="78"/>
  <c r="H15" i="78"/>
  <c r="H21" i="78" s="1"/>
  <c r="C26" i="78" s="1"/>
  <c r="D15" i="78"/>
  <c r="D21" i="78" s="1"/>
  <c r="C24" i="78" s="1"/>
  <c r="C33" i="78" s="1"/>
  <c r="H24" i="78" s="1"/>
  <c r="F29" i="80" l="1"/>
  <c r="H28" i="80" s="1"/>
  <c r="H30" i="80" s="1"/>
  <c r="H32" i="80" s="1"/>
  <c r="F29" i="79"/>
  <c r="H28" i="79" s="1"/>
  <c r="H30" i="79" s="1"/>
  <c r="H32" i="79" s="1"/>
  <c r="F29" i="78"/>
  <c r="H28" i="78" s="1"/>
  <c r="H30" i="78" s="1"/>
  <c r="H32" i="78" s="1"/>
  <c r="C38" i="77"/>
  <c r="F37" i="77"/>
  <c r="H25" i="77"/>
  <c r="H31" i="77" s="1"/>
  <c r="C36" i="77" s="1"/>
  <c r="D25" i="77"/>
  <c r="D31" i="77" s="1"/>
  <c r="C34" i="77" s="1"/>
  <c r="C43" i="77" s="1"/>
  <c r="H34" i="77" s="1"/>
  <c r="H32" i="76"/>
  <c r="C28" i="76"/>
  <c r="F27" i="76"/>
  <c r="H26" i="76"/>
  <c r="H15" i="76"/>
  <c r="H21" i="76" s="1"/>
  <c r="C26" i="76" s="1"/>
  <c r="D15" i="76"/>
  <c r="D21" i="76" s="1"/>
  <c r="C24" i="76" s="1"/>
  <c r="C33" i="76" s="1"/>
  <c r="H24" i="76" s="1"/>
  <c r="H32" i="74"/>
  <c r="C28" i="74"/>
  <c r="F27" i="74"/>
  <c r="H26" i="74"/>
  <c r="H15" i="74"/>
  <c r="H21" i="74" s="1"/>
  <c r="C26" i="74" s="1"/>
  <c r="D15" i="74"/>
  <c r="D21" i="74" s="1"/>
  <c r="C24" i="74" s="1"/>
  <c r="C33" i="74" s="1"/>
  <c r="H24" i="74" s="1"/>
  <c r="H40" i="77" l="1"/>
  <c r="H42" i="77" s="1"/>
  <c r="F39" i="77"/>
  <c r="F29" i="76"/>
  <c r="H28" i="76" s="1"/>
  <c r="H30" i="76" s="1"/>
  <c r="F29" i="74"/>
  <c r="H28" i="74" s="1"/>
  <c r="H30" i="74" s="1"/>
  <c r="C28" i="71" l="1"/>
  <c r="F27" i="71"/>
  <c r="H26" i="71"/>
  <c r="H15" i="71"/>
  <c r="H21" i="71" s="1"/>
  <c r="C26" i="71" s="1"/>
  <c r="D15" i="71"/>
  <c r="D21" i="71" s="1"/>
  <c r="C24" i="71" s="1"/>
  <c r="C33" i="71" s="1"/>
  <c r="H24" i="71" s="1"/>
  <c r="C28" i="70"/>
  <c r="F27" i="70"/>
  <c r="H26" i="70"/>
  <c r="H15" i="70"/>
  <c r="H21" i="70" s="1"/>
  <c r="C26" i="70" s="1"/>
  <c r="D15" i="70"/>
  <c r="D21" i="70" s="1"/>
  <c r="C24" i="70" s="1"/>
  <c r="C33" i="70" s="1"/>
  <c r="H24" i="70" s="1"/>
  <c r="H32" i="69"/>
  <c r="C28" i="69"/>
  <c r="F27" i="69"/>
  <c r="H26" i="69"/>
  <c r="H15" i="69"/>
  <c r="H21" i="69" s="1"/>
  <c r="C26" i="69" s="1"/>
  <c r="D15" i="69"/>
  <c r="D21" i="69" s="1"/>
  <c r="C24" i="69" s="1"/>
  <c r="C33" i="69" s="1"/>
  <c r="H24" i="69" s="1"/>
  <c r="F29" i="71" l="1"/>
  <c r="H28" i="71" s="1"/>
  <c r="H30" i="71" s="1"/>
  <c r="H32" i="71" s="1"/>
  <c r="F29" i="70"/>
  <c r="H28" i="70" s="1"/>
  <c r="H30" i="70" s="1"/>
  <c r="H32" i="70" s="1"/>
  <c r="F29" i="69"/>
  <c r="H28" i="69" s="1"/>
  <c r="H30" i="69" s="1"/>
  <c r="H32" i="66"/>
  <c r="C28" i="66"/>
  <c r="F27" i="66"/>
  <c r="H26" i="66"/>
  <c r="H15" i="66"/>
  <c r="H21" i="66" s="1"/>
  <c r="C26" i="66" s="1"/>
  <c r="D15" i="66"/>
  <c r="D21" i="66" s="1"/>
  <c r="C24" i="66" s="1"/>
  <c r="C33" i="66" s="1"/>
  <c r="H24" i="66" s="1"/>
  <c r="F29" i="66" l="1"/>
  <c r="H28" i="66" s="1"/>
  <c r="H30" i="66" s="1"/>
  <c r="C28" i="63" l="1"/>
  <c r="F27" i="63"/>
  <c r="H26" i="63"/>
  <c r="H15" i="63"/>
  <c r="H21" i="63" s="1"/>
  <c r="C26" i="63" s="1"/>
  <c r="D15" i="63"/>
  <c r="D21" i="63" s="1"/>
  <c r="C24" i="63" s="1"/>
  <c r="C33" i="63" s="1"/>
  <c r="H24" i="63" s="1"/>
  <c r="F29" i="63" l="1"/>
  <c r="H30" i="63" s="1"/>
  <c r="H32" i="63" s="1"/>
  <c r="C28" i="57" l="1"/>
  <c r="F27" i="57"/>
  <c r="H26" i="57"/>
  <c r="H15" i="57"/>
  <c r="H21" i="57" s="1"/>
  <c r="C26" i="57" s="1"/>
  <c r="D15" i="57"/>
  <c r="D21" i="57" s="1"/>
  <c r="C24" i="57" s="1"/>
  <c r="C33" i="57" s="1"/>
  <c r="H24" i="57" s="1"/>
  <c r="C28" i="55"/>
  <c r="F27" i="55"/>
  <c r="H26" i="55"/>
  <c r="H15" i="55"/>
  <c r="H21" i="55" s="1"/>
  <c r="C26" i="55" s="1"/>
  <c r="D15" i="55"/>
  <c r="D21" i="55" s="1"/>
  <c r="C24" i="55" s="1"/>
  <c r="C33" i="55" s="1"/>
  <c r="H24" i="55" s="1"/>
  <c r="F29" i="57" l="1"/>
  <c r="H28" i="57" s="1"/>
  <c r="H30" i="57" s="1"/>
  <c r="H32" i="57" s="1"/>
  <c r="F29" i="55"/>
  <c r="H28" i="55" s="1"/>
  <c r="H30" i="55" s="1"/>
  <c r="H32" i="55" s="1"/>
  <c r="C28" i="53" l="1"/>
  <c r="F27" i="53"/>
  <c r="H26" i="53"/>
  <c r="H15" i="53"/>
  <c r="H21" i="53" s="1"/>
  <c r="C26" i="53" s="1"/>
  <c r="D15" i="53"/>
  <c r="D21" i="53" s="1"/>
  <c r="C24" i="53" s="1"/>
  <c r="C33" i="53" s="1"/>
  <c r="H24" i="53" s="1"/>
  <c r="F29" i="53" l="1"/>
  <c r="H28" i="53" s="1"/>
  <c r="H30" i="53" s="1"/>
  <c r="H32" i="53" s="1"/>
  <c r="C28" i="49" l="1"/>
  <c r="F27" i="49"/>
  <c r="H26" i="49"/>
  <c r="H15" i="49"/>
  <c r="H21" i="49" s="1"/>
  <c r="C26" i="49" s="1"/>
  <c r="D15" i="49"/>
  <c r="D21" i="49" s="1"/>
  <c r="C24" i="49" s="1"/>
  <c r="C33" i="49" s="1"/>
  <c r="H24" i="49" s="1"/>
  <c r="C28" i="48"/>
  <c r="F27" i="48"/>
  <c r="H26" i="48"/>
  <c r="H15" i="48"/>
  <c r="H21" i="48" s="1"/>
  <c r="C26" i="48" s="1"/>
  <c r="D15" i="48"/>
  <c r="D21" i="48" s="1"/>
  <c r="C24" i="48" s="1"/>
  <c r="C33" i="48" s="1"/>
  <c r="H24" i="48" s="1"/>
  <c r="C28" i="47"/>
  <c r="F27" i="47"/>
  <c r="H26" i="47"/>
  <c r="H15" i="47"/>
  <c r="H21" i="47" s="1"/>
  <c r="C26" i="47" s="1"/>
  <c r="D15" i="47"/>
  <c r="D21" i="47" s="1"/>
  <c r="C24" i="47" s="1"/>
  <c r="C33" i="47" s="1"/>
  <c r="H24" i="47" s="1"/>
  <c r="F29" i="49" l="1"/>
  <c r="H28" i="49" s="1"/>
  <c r="H30" i="49" s="1"/>
  <c r="H32" i="49" s="1"/>
  <c r="F29" i="48"/>
  <c r="H28" i="48" s="1"/>
  <c r="H30" i="48" s="1"/>
  <c r="H32" i="48" s="1"/>
  <c r="F29" i="47"/>
  <c r="H28" i="47" s="1"/>
  <c r="H30" i="47" s="1"/>
  <c r="H32" i="47" s="1"/>
  <c r="C27" i="43" l="1"/>
  <c r="F26" i="43"/>
  <c r="H25" i="43"/>
  <c r="H14" i="43"/>
  <c r="H20" i="43" s="1"/>
  <c r="C25" i="43" s="1"/>
  <c r="D14" i="43"/>
  <c r="D20" i="43" s="1"/>
  <c r="C23" i="43" s="1"/>
  <c r="C32" i="43" s="1"/>
  <c r="H23" i="43" s="1"/>
  <c r="C27" i="42"/>
  <c r="F26" i="42"/>
  <c r="H25" i="42"/>
  <c r="H14" i="42"/>
  <c r="H20" i="42" s="1"/>
  <c r="C25" i="42" s="1"/>
  <c r="D14" i="42"/>
  <c r="D20" i="42" s="1"/>
  <c r="C23" i="42" s="1"/>
  <c r="C32" i="42" s="1"/>
  <c r="H23" i="42" s="1"/>
  <c r="C27" i="39"/>
  <c r="F26" i="39"/>
  <c r="C29" i="39" s="1"/>
  <c r="H25" i="39"/>
  <c r="H14" i="39"/>
  <c r="H20" i="39" s="1"/>
  <c r="C25" i="39" s="1"/>
  <c r="D14" i="39"/>
  <c r="D20" i="39" s="1"/>
  <c r="C23" i="39" s="1"/>
  <c r="C32" i="39" s="1"/>
  <c r="H23" i="39" s="1"/>
  <c r="F28" i="43" l="1"/>
  <c r="H27" i="43" s="1"/>
  <c r="H29" i="43" s="1"/>
  <c r="H31" i="43" s="1"/>
  <c r="F28" i="42"/>
  <c r="H27" i="42" s="1"/>
  <c r="H29" i="42" s="1"/>
  <c r="H31" i="42" s="1"/>
  <c r="F28" i="39"/>
  <c r="H27" i="39" s="1"/>
  <c r="H29" i="39" s="1"/>
  <c r="H31" i="39" s="1"/>
  <c r="C28" i="30"/>
  <c r="C27" i="38"/>
  <c r="F26" i="38"/>
  <c r="C29" i="38" s="1"/>
  <c r="H25" i="38"/>
  <c r="H14" i="38"/>
  <c r="H20" i="38" s="1"/>
  <c r="C25" i="38" s="1"/>
  <c r="D14" i="38"/>
  <c r="D20" i="38" s="1"/>
  <c r="C23" i="38" s="1"/>
  <c r="C32" i="38" s="1"/>
  <c r="H23" i="38" s="1"/>
  <c r="F28" i="38" l="1"/>
  <c r="H27" i="38" s="1"/>
  <c r="H29" i="38" s="1"/>
  <c r="H31" i="38" s="1"/>
  <c r="C26" i="33" l="1"/>
  <c r="H13" i="33"/>
  <c r="H19" i="33" s="1"/>
  <c r="C24" i="33" s="1"/>
  <c r="D13" i="33"/>
  <c r="D19" i="33" s="1"/>
  <c r="C22" i="33" s="1"/>
  <c r="C31" i="33" s="1"/>
  <c r="H22" i="33" s="1"/>
  <c r="H28" i="33" l="1"/>
  <c r="H30" i="33" s="1"/>
  <c r="F27" i="33"/>
  <c r="C26" i="30"/>
  <c r="H13" i="30"/>
  <c r="H19" i="30" s="1"/>
  <c r="C24" i="30" s="1"/>
  <c r="D13" i="30"/>
  <c r="D19" i="30" s="1"/>
  <c r="C22" i="30" s="1"/>
  <c r="C31" i="30" s="1"/>
  <c r="H22" i="30" s="1"/>
  <c r="C26" i="29"/>
  <c r="H13" i="29"/>
  <c r="H19" i="29" s="1"/>
  <c r="C24" i="29" s="1"/>
  <c r="D13" i="29"/>
  <c r="D19" i="29" s="1"/>
  <c r="C22" i="29" s="1"/>
  <c r="C31" i="29" s="1"/>
  <c r="H22" i="29" s="1"/>
  <c r="H28" i="29" s="1"/>
  <c r="H30" i="29" s="1"/>
  <c r="C26" i="26"/>
  <c r="H13" i="26"/>
  <c r="H19" i="26" s="1"/>
  <c r="C24" i="26" s="1"/>
  <c r="D13" i="26"/>
  <c r="D19" i="26" s="1"/>
  <c r="C22" i="26" s="1"/>
  <c r="C31" i="26" s="1"/>
  <c r="H22" i="26" s="1"/>
  <c r="H28" i="26" s="1"/>
  <c r="H30" i="26" s="1"/>
  <c r="C26" i="25"/>
  <c r="H13" i="25"/>
  <c r="H19" i="25" s="1"/>
  <c r="C24" i="25" s="1"/>
  <c r="D13" i="25"/>
  <c r="D19" i="25" s="1"/>
  <c r="C22" i="25" s="1"/>
  <c r="C31" i="25" s="1"/>
  <c r="H22" i="25" s="1"/>
  <c r="H28" i="25" s="1"/>
  <c r="H30" i="25" s="1"/>
  <c r="C26" i="22"/>
  <c r="H13" i="22"/>
  <c r="H19" i="22" s="1"/>
  <c r="C24" i="22" s="1"/>
  <c r="D13" i="22"/>
  <c r="D19" i="22" s="1"/>
  <c r="C22" i="22" s="1"/>
  <c r="C31" i="22" s="1"/>
  <c r="H22" i="22" s="1"/>
  <c r="H28" i="22" s="1"/>
  <c r="H30" i="22" s="1"/>
  <c r="C26" i="20"/>
  <c r="H13" i="20"/>
  <c r="H19" i="20" s="1"/>
  <c r="C24" i="20" s="1"/>
  <c r="D13" i="20"/>
  <c r="D19" i="20" s="1"/>
  <c r="C22" i="20" s="1"/>
  <c r="C31" i="20" s="1"/>
  <c r="H22" i="20" s="1"/>
  <c r="H28" i="20" s="1"/>
  <c r="H30" i="20" s="1"/>
  <c r="F27" i="30" l="1"/>
  <c r="H26" i="30" s="1"/>
  <c r="H28" i="30" s="1"/>
  <c r="H30" i="30" s="1"/>
  <c r="C26" i="19"/>
  <c r="H13" i="19"/>
  <c r="H19" i="19" s="1"/>
  <c r="C24" i="19" s="1"/>
  <c r="D13" i="19"/>
  <c r="D19" i="19" s="1"/>
  <c r="C22" i="19" s="1"/>
  <c r="C31" i="19" s="1"/>
  <c r="H22" i="19" s="1"/>
  <c r="H28" i="19" s="1"/>
  <c r="H30" i="19" s="1"/>
  <c r="H13" i="9"/>
  <c r="D13" i="9"/>
  <c r="C25" i="13"/>
  <c r="H12" i="13"/>
  <c r="H18" i="13" s="1"/>
  <c r="C23" i="13" s="1"/>
  <c r="D12" i="13"/>
  <c r="D18" i="13" s="1"/>
  <c r="C21" i="13" s="1"/>
  <c r="C30" i="13" s="1"/>
  <c r="H21" i="13" s="1"/>
  <c r="H27" i="13" s="1"/>
  <c r="H29" i="13" s="1"/>
  <c r="C26" i="10"/>
  <c r="H13" i="10"/>
  <c r="H19" i="10" s="1"/>
  <c r="C24" i="10" s="1"/>
  <c r="D13" i="10"/>
  <c r="D19" i="10" s="1"/>
  <c r="C22" i="10" s="1"/>
  <c r="C31" i="10" s="1"/>
  <c r="H22" i="10" s="1"/>
  <c r="H28" i="10" s="1"/>
  <c r="H30" i="10" s="1"/>
  <c r="D19" i="9"/>
  <c r="H19" i="9"/>
  <c r="C26" i="9"/>
  <c r="C24" i="9"/>
  <c r="C22" i="9"/>
  <c r="C31" i="9" s="1"/>
  <c r="H22" i="9" s="1"/>
  <c r="H28" i="9" s="1"/>
  <c r="H30" i="9" s="1"/>
  <c r="C25" i="7"/>
  <c r="H18" i="7"/>
  <c r="C23" i="7" s="1"/>
  <c r="D18" i="7"/>
  <c r="C21" i="7" s="1"/>
  <c r="C30" i="7" s="1"/>
  <c r="H21" i="7" s="1"/>
  <c r="H27" i="7" s="1"/>
  <c r="H29" i="7" s="1"/>
  <c r="C25" i="5"/>
  <c r="H18" i="5"/>
  <c r="C23" i="5" s="1"/>
  <c r="D18" i="5"/>
  <c r="C21" i="5" s="1"/>
  <c r="C30" i="5" s="1"/>
  <c r="H21" i="5" s="1"/>
  <c r="H27" i="5" s="1"/>
  <c r="H29" i="5" s="1"/>
  <c r="C25" i="1"/>
  <c r="H18" i="1"/>
  <c r="C23" i="1" s="1"/>
  <c r="D18" i="1"/>
  <c r="C21" i="1" s="1"/>
  <c r="C30" i="1" s="1"/>
  <c r="H21" i="1" s="1"/>
  <c r="H27" i="1" s="1"/>
  <c r="H31" i="1" l="1"/>
  <c r="H29" i="1"/>
</calcChain>
</file>

<file path=xl/sharedStrings.xml><?xml version="1.0" encoding="utf-8"?>
<sst xmlns="http://schemas.openxmlformats.org/spreadsheetml/2006/main" count="9769" uniqueCount="728">
  <si>
    <t>LIQUIDACION DE UTILIDADES -  VENTA A SOLUCIONES INDUSTRIALES</t>
  </si>
  <si>
    <t>MONTO VENTA :</t>
  </si>
  <si>
    <t>COMPRAS :</t>
  </si>
  <si>
    <t>IVA</t>
  </si>
  <si>
    <t>UT. BRUTA</t>
  </si>
  <si>
    <t>PROV. IVA</t>
  </si>
  <si>
    <t>UTIL. BRUTA</t>
  </si>
  <si>
    <t>MENOS</t>
  </si>
  <si>
    <t>4 X 1000</t>
  </si>
  <si>
    <t>COMISION</t>
  </si>
  <si>
    <t>UTILIDAD ANTES DE IMPTOS</t>
  </si>
  <si>
    <t>IMPUESTOS</t>
  </si>
  <si>
    <t>Ind y Cio</t>
  </si>
  <si>
    <t>Renta</t>
  </si>
  <si>
    <t>UTIL. NETA</t>
  </si>
  <si>
    <t>COMISION LUIS BENAVIDEZ  35%</t>
  </si>
  <si>
    <t>COMISION EDINSON CABEZAS 20 %</t>
  </si>
  <si>
    <t>7,7 x 1000</t>
  </si>
  <si>
    <t>MANUEL GIRALDO</t>
  </si>
  <si>
    <t>COMISION LUIS BENAVIDEZ  50%</t>
  </si>
  <si>
    <t>LIQUIDACION DE UTILIDADES -  VENTA A EQUING SAS</t>
  </si>
  <si>
    <t>COMISION EDINSON CABEZAS  35%</t>
  </si>
  <si>
    <t>LIQUIDACION DE UTILIDADES -  VENTA A COMERCIALIZADORA DISVAL</t>
  </si>
  <si>
    <t>N/A</t>
  </si>
  <si>
    <t xml:space="preserve">LIQUIDACION DE UTILIDADES -  VENTA A CARLOS SAMUEL LUGO </t>
  </si>
  <si>
    <t>IMPOACCEVAL  6352</t>
  </si>
  <si>
    <t>LIQUIDACION DE UTILIDADES -  VENTA A   AP  INSPECCIONES Y REPARACIONES</t>
  </si>
  <si>
    <t xml:space="preserve">COMISION EDINSON CABEZAS  35 % </t>
  </si>
  <si>
    <t>FACTURA ELECTRONICA  No.</t>
  </si>
  <si>
    <t>FACTURA ELECTRONICA</t>
  </si>
  <si>
    <t>239 / 240</t>
  </si>
  <si>
    <t>LEGAJADO</t>
  </si>
  <si>
    <t>º</t>
  </si>
  <si>
    <t>LIQUIDACION DE UTILIDADES -  VENTA A   CAMPO FRESCO ALIMENTOS SAS</t>
  </si>
  <si>
    <t>FLETE</t>
  </si>
  <si>
    <t xml:space="preserve">COMISION  EDINSON CABEZAS    35 % </t>
  </si>
  <si>
    <t>LIQUIDACION DE UTILIDADES -  VENTA A  CAMPOFRESCO ALIMENTOS SAS</t>
  </si>
  <si>
    <t>INSTRUVAL    5218</t>
  </si>
  <si>
    <t>CODIFER  235424</t>
  </si>
  <si>
    <t>TUBOLAMINAS   115622</t>
  </si>
  <si>
    <t>WESCO   961750</t>
  </si>
  <si>
    <t>SUMIVALLE    69298</t>
  </si>
  <si>
    <t>INSTRUVAL    5254</t>
  </si>
  <si>
    <t>CODIFER   238404</t>
  </si>
  <si>
    <t>FERRINCOL     29607</t>
  </si>
  <si>
    <t>SUMIVALLE    70441</t>
  </si>
  <si>
    <t>SUMIVALLE    70679</t>
  </si>
  <si>
    <t>SUMIVALLE    70442</t>
  </si>
  <si>
    <t>REDES TECNICAS  46696/46752</t>
  </si>
  <si>
    <t>SUMIVALLE 70474/70479</t>
  </si>
  <si>
    <t>REDES TECNICAS   46872</t>
  </si>
  <si>
    <t>DOMICILIO</t>
  </si>
  <si>
    <t>SEGEFER    240156</t>
  </si>
  <si>
    <t>CODIFER      32294</t>
  </si>
  <si>
    <t>EDINSON CABEZAS</t>
  </si>
  <si>
    <t>COMISION EDINSON CABEZAS</t>
  </si>
  <si>
    <t>FERRETERIA SILVER  1105826</t>
  </si>
  <si>
    <t>LIQUIDACION DE UTILIDADES -  VENTA A  MECANIZADOS DEL PACIFICO</t>
  </si>
  <si>
    <t>WESCO</t>
  </si>
  <si>
    <t>LIQUIDACION DE UTILIDADES -  VENTA A   GRUPO  TEXTIL  DEL  VALLE</t>
  </si>
  <si>
    <t>IMPOACCEVAL    6461</t>
  </si>
  <si>
    <t>LIQUIDACION DE UTILIDADES -  VENTA A METALMECANICA Y SUMINISTROS RODRIGUEZ</t>
  </si>
  <si>
    <t>FERRETERIA TUBERIAS</t>
  </si>
  <si>
    <t>LIQUIDACION DE UTILIDADES -  BOMBAS Y FLUIDOS</t>
  </si>
  <si>
    <t>IMPOACCEVAL    6486</t>
  </si>
  <si>
    <t>RETALES INDUSTRIALES</t>
  </si>
  <si>
    <t xml:space="preserve">LIQUIDACION DE UTILIDADES -  DIST. INDUSTRIALES Z.Q. SAS </t>
  </si>
  <si>
    <t>LIQUIDACION DE UTILIDADES -  GRUPO TEXTIL DEL VALLE</t>
  </si>
  <si>
    <t>AGOFER     19951</t>
  </si>
  <si>
    <t>SUMIVALLE   71376</t>
  </si>
  <si>
    <t>FERSELEC    7891</t>
  </si>
  <si>
    <t>LIQUIDACION DE UTILIDADES -  IMAD SAS</t>
  </si>
  <si>
    <t>TUVACOL    105779</t>
  </si>
  <si>
    <t>SUMIVALLE   71564</t>
  </si>
  <si>
    <t>LIQUIDACION DE UTILIDADES -  GRUPO TEXTIL DEL VALLE SAS</t>
  </si>
  <si>
    <t>SUMIVALLE   71644</t>
  </si>
  <si>
    <t>SERVITORNO SILVA  6683</t>
  </si>
  <si>
    <t>LIQUIDACION DE UTILIDADES -  IMAD  SAS</t>
  </si>
  <si>
    <t xml:space="preserve">FERSELEC   </t>
  </si>
  <si>
    <t>COLIMPORTADOS   33688</t>
  </si>
  <si>
    <t>LIQUIDACION DE UTILIDADES -  HINSUMAQ</t>
  </si>
  <si>
    <t>TUBOLAMINAS</t>
  </si>
  <si>
    <t>FLETE  JOSÉ TAVERA</t>
  </si>
  <si>
    <t>SUMIVALLE    71791</t>
  </si>
  <si>
    <t>IMPOACCEVAL  6540</t>
  </si>
  <si>
    <t xml:space="preserve">LIQUIDACION DE UTILIDADES -  IMAD S.A.S. </t>
  </si>
  <si>
    <t>SUMIVALLE  71911</t>
  </si>
  <si>
    <t>TUBOLAMINAS  145048</t>
  </si>
  <si>
    <t xml:space="preserve">FLETE </t>
  </si>
  <si>
    <t>LIQUIDACION DE UTILIDADES - ACQUA VITRUVIO S.A.S.</t>
  </si>
  <si>
    <t>HIDROEQUIPOS   12882</t>
  </si>
  <si>
    <t>LIQUIDACION DE UTILIDADES - DICAV MECANIZADOS INDUSTRIALES S.A.S.</t>
  </si>
  <si>
    <t>TRANSPORTE</t>
  </si>
  <si>
    <t>IMPORINOX    245567</t>
  </si>
  <si>
    <t>LIQUIDACION DE UTILIDADES - COLMECANICAS TWA S.A.S.</t>
  </si>
  <si>
    <t>ACINOX   25128</t>
  </si>
  <si>
    <t>LIQUIDACION DE UTILIDADES - CALDERAS  DAZA S.A.S.</t>
  </si>
  <si>
    <t>287/289</t>
  </si>
  <si>
    <t>F.E. 287  ANULADA</t>
  </si>
  <si>
    <t>TUVACOL    105912</t>
  </si>
  <si>
    <t>COMISION  EDINSON CABEZAS</t>
  </si>
  <si>
    <t>LIQUIDACION DE UTILIDADES - GAMBOA INGENIEROS S.A.S.</t>
  </si>
  <si>
    <t>CUENTA DE COBRO JOVAL</t>
  </si>
  <si>
    <t>STOCK TUBERIA 1 1/2 "</t>
  </si>
  <si>
    <t>NIPLERIA</t>
  </si>
  <si>
    <t>FERSELEC  7994</t>
  </si>
  <si>
    <t>VARIOS</t>
  </si>
  <si>
    <t>MANO DE OBRA</t>
  </si>
  <si>
    <t>LIQUIDACION DE UTILIDADES - LAMINAS Y CORTES INDUSTRIALES S.A..</t>
  </si>
  <si>
    <t xml:space="preserve">STOCK IMATEC  </t>
  </si>
  <si>
    <t>LIQUIDACION DE UTILIDADES - R Y S  INGENIERIA S.A.S.</t>
  </si>
  <si>
    <t>299-302</t>
  </si>
  <si>
    <t>FERSELEC     8134</t>
  </si>
  <si>
    <t>LIQUIDACION DE UTILIDADES - BCM COMERCIALIZADORA S.A.S.</t>
  </si>
  <si>
    <t>COLIMPORTADOS   34304</t>
  </si>
  <si>
    <t>LIQUIDACION DE UTILIDADES - INPROYMEC S.A.S.</t>
  </si>
  <si>
    <t>LIQUIDACION DE UTILIDADES - SERVICIOS E INGENIERIA G&amp;M S.A.S.</t>
  </si>
  <si>
    <t>CODIFER      248172</t>
  </si>
  <si>
    <t>TUVACOL   106005</t>
  </si>
  <si>
    <t>STOCK IMATEC  CODIFER 245053</t>
  </si>
  <si>
    <t>LIQUIDACION DE UTILIDADES - SERVICIOS E INGENIERIA G&amp;M SAS</t>
  </si>
  <si>
    <t>STOCK IMATEC  CODIFER 247509</t>
  </si>
  <si>
    <t xml:space="preserve">LIQUIDACION DE UTILIDADES - </t>
  </si>
  <si>
    <t>COLIMPORTADOS  34206</t>
  </si>
  <si>
    <t>SUMIVALLE   72628</t>
  </si>
  <si>
    <t>IMPOFER    541012045</t>
  </si>
  <si>
    <t>HOYOS TOOL</t>
  </si>
  <si>
    <t>FERSELEC  8081</t>
  </si>
  <si>
    <t>FERSELEC 8094</t>
  </si>
  <si>
    <t>TUVACOL  105965</t>
  </si>
  <si>
    <t>TUVALREP  264720</t>
  </si>
  <si>
    <t>FERRETERIA VALVULAS IND.</t>
  </si>
  <si>
    <t>MAURICIO LIZCANO</t>
  </si>
  <si>
    <t>VARIOS RANURADO</t>
  </si>
  <si>
    <t>VARIOS ING.GAMBOA</t>
  </si>
  <si>
    <t>COMPRA BRIDA 6 "</t>
  </si>
  <si>
    <t>M. de O. E INSUMOS FABRICACION</t>
  </si>
  <si>
    <t>TRANSPORTE A TERMINAL</t>
  </si>
  <si>
    <t>FLETE CRUZ  6 "</t>
  </si>
  <si>
    <t>REMISION IMATEC</t>
  </si>
  <si>
    <t>LIQUIDACION DE UTILIDADES - SURTIDOR INDUSTRIAL S.A.S.</t>
  </si>
  <si>
    <t>FERSELEC   8183</t>
  </si>
  <si>
    <t>FERSELEC   8133</t>
  </si>
  <si>
    <t>LIQUIDACION DE UTILIDADES - BEIMAD S.A.S.</t>
  </si>
  <si>
    <t>LIQUIDACION DE UTILIDADES - AGROMAQUINARIAS DE COLOMBIA S.A.S.</t>
  </si>
  <si>
    <t>FERROINSTRUMENTOS DEL VALLE</t>
  </si>
  <si>
    <t>SUMIVALLE  73042</t>
  </si>
  <si>
    <t>FERSELEC   8233</t>
  </si>
  <si>
    <t>LIQUIDACION DE UTILIDADES - ARE SERVICIOS S.A.S.</t>
  </si>
  <si>
    <t>FERSELEC   8230</t>
  </si>
  <si>
    <t>SUMIVALLE  73153</t>
  </si>
  <si>
    <t xml:space="preserve">LIQUIDACION DE UTILIDADES - AQUA IQ S.A.S. </t>
  </si>
  <si>
    <t>IMPOFER  541013191</t>
  </si>
  <si>
    <t>LIQUIDACION DE UTILIDADES - BRONCES DEL VALLE</t>
  </si>
  <si>
    <t>IMPOFER  541013217</t>
  </si>
  <si>
    <t>CUENTA DE COBRO</t>
  </si>
  <si>
    <t xml:space="preserve">LIQUIDACION DE UTILIDADES - JOSE GUTIERREZ </t>
  </si>
  <si>
    <t>SUMIVALLE  73359</t>
  </si>
  <si>
    <t>VALSTEAM GROUP 461</t>
  </si>
  <si>
    <t>COMERCIAL DE TUBERIAS</t>
  </si>
  <si>
    <t>STUB END FABRICACION</t>
  </si>
  <si>
    <t>INSUMOS</t>
  </si>
  <si>
    <t>FERSELEC   8237</t>
  </si>
  <si>
    <t>TORNILLERIA D'ACEROS  14194</t>
  </si>
  <si>
    <t>TORNILLERIA D'ACEROS  14210</t>
  </si>
  <si>
    <t>M de O HECTOR PEREZ</t>
  </si>
  <si>
    <t>LIQUIDACION DE UTILIDADES -INDUMETALICAS BOLAÑOS SAS</t>
  </si>
  <si>
    <t>STOCK IMATEC</t>
  </si>
  <si>
    <t>LIQUIDACION DE UTILIDADES - DIMARQUIM S.A.S.</t>
  </si>
  <si>
    <t>FERRETERIA SILVER  1112087</t>
  </si>
  <si>
    <t>ASUMINCOL  6797</t>
  </si>
  <si>
    <t>LIQUIDACION DE UTILIDADES - ENRIQUE A. MONTUFAR - BOMBAS Y FLUIDOS</t>
  </si>
  <si>
    <t>LIQUIDACION DE UTILIDADES - PAULA CATALINA LEZAMA  -  ARTFRIGO</t>
  </si>
  <si>
    <t>REDES TECNICAS  80294</t>
  </si>
  <si>
    <t>FERSELEC  8253</t>
  </si>
  <si>
    <t>LIQUIDACION DE UTILIDADES - TRAPICHE LUCERNA S.A.</t>
  </si>
  <si>
    <t>CODIFER  249743</t>
  </si>
  <si>
    <t>LIQUIDACION DE UTILIDADES - FORERO CONDE Y CIA LTDA</t>
  </si>
  <si>
    <t>IMPOFER   541013177</t>
  </si>
  <si>
    <t>FERRETERIA SILVER  1111108</t>
  </si>
  <si>
    <t>STOCK IMATEC CODIFER 245053</t>
  </si>
  <si>
    <t>MLS SUMINISTROS Y ACCES.  118</t>
  </si>
  <si>
    <t>LIQUIDACION DE UTILIDADES - CH-OB INGENIERIA</t>
  </si>
  <si>
    <t>LIQUIDACION DE UTILIDADES - ARE SERVICIOS</t>
  </si>
  <si>
    <t>REDES TECNICAS Y SUM. 80723</t>
  </si>
  <si>
    <t>DIEGO</t>
  </si>
  <si>
    <t>LIQUIDACION DE UTILIDADES - TAMETCO S.A.S.</t>
  </si>
  <si>
    <t>SUMIVALLE  73874</t>
  </si>
  <si>
    <t>FLETE ENTREGA CALI</t>
  </si>
  <si>
    <t>LIQUIDACION DE UTILIDADES - COSMO COMPAÑÍA S.A.S.</t>
  </si>
  <si>
    <t>STOCK IMATEC HELMAN 245053</t>
  </si>
  <si>
    <t>SUMIVALLE  73914</t>
  </si>
  <si>
    <t>COLIMPORTADOS  34900</t>
  </si>
  <si>
    <t>REDES TECNICAS Y SUM. 80800</t>
  </si>
  <si>
    <t>FERRETERIA BARBOSA  159360</t>
  </si>
  <si>
    <t>ASUMINCOL 6830</t>
  </si>
  <si>
    <t>LIQUIDACION DE UTILIDADES - GRUPO TEXTIL DEL VALLE</t>
  </si>
  <si>
    <t>HELMAN  122753 STOCK IMATEC</t>
  </si>
  <si>
    <t xml:space="preserve">LIQUIDACION DE UTILIDADES - ARE SERVICIOS </t>
  </si>
  <si>
    <t>LIQUIDACION DE UTILIDADES - DISTRIBUCIONES PRAIN S.A.S.</t>
  </si>
  <si>
    <t>LIQUIDACION DE UTILIDADES - BTM INGENIERIA SAS</t>
  </si>
  <si>
    <t>CODIFER  252138</t>
  </si>
  <si>
    <t>CODIFER  252040</t>
  </si>
  <si>
    <t>SUMIVALLE  74004</t>
  </si>
  <si>
    <t>CODIFER  252494</t>
  </si>
  <si>
    <t xml:space="preserve">TRANSPORTE </t>
  </si>
  <si>
    <t>LIQUIDACION DE UTILIDADES - COSMO COMPAÑÍA SAS</t>
  </si>
  <si>
    <t>STOCK IMATEC CODIFER  245053</t>
  </si>
  <si>
    <t xml:space="preserve">STOCK IMATEC </t>
  </si>
  <si>
    <t>STOCK IMATEC IMPORINOX</t>
  </si>
  <si>
    <t>FERRETERIA REINA 4109409</t>
  </si>
  <si>
    <t>IMPORINOX  249389</t>
  </si>
  <si>
    <t>IMPORINOX 249897</t>
  </si>
  <si>
    <t>SUMIVALLE  74095</t>
  </si>
  <si>
    <t>REDES TECNICAS  80968</t>
  </si>
  <si>
    <t>COLIMPORTADOS  35009</t>
  </si>
  <si>
    <t>IMPORINOX   249931</t>
  </si>
  <si>
    <t>IMPORINOX  249448</t>
  </si>
  <si>
    <t>LIQUIDACION DE UTILIDADES - BRAIMM S.A.S.</t>
  </si>
  <si>
    <t xml:space="preserve">STOCK IMATEC NIPLE </t>
  </si>
  <si>
    <t>STOCK IMATEC TUBERIA</t>
  </si>
  <si>
    <t>SUMIVALLE 74333</t>
  </si>
  <si>
    <t>IMPORINOX</t>
  </si>
  <si>
    <t>LIQUIDACION DE UTILIDADES - DISTRIBUCIONES PRAIN SAS</t>
  </si>
  <si>
    <t xml:space="preserve">STOCK IMATEC CODIFER 245053 </t>
  </si>
  <si>
    <t>LIQUIDACION DE UTILIDADES - IMPROYMEC SAS</t>
  </si>
  <si>
    <t>SUMIVALLE   74419</t>
  </si>
  <si>
    <t>RETAL CHATARRERIA</t>
  </si>
  <si>
    <t>LIQUIDACION DE UTILIDADES - CH-OB INGENIERIA SAS</t>
  </si>
  <si>
    <t>IMPORINOX  250228</t>
  </si>
  <si>
    <t>LIQUIDACION DE UTILIDADES - SURTIDOR INDUSTRIAL SAS</t>
  </si>
  <si>
    <t xml:space="preserve">FERSELEC </t>
  </si>
  <si>
    <t xml:space="preserve"> </t>
  </si>
  <si>
    <t>LIQUIDACION DE UTILIDADES - INHISSA SAS</t>
  </si>
  <si>
    <t>MAURICIO LISCANO</t>
  </si>
  <si>
    <t>CODIFER  254598</t>
  </si>
  <si>
    <t>TUBOLAMINAS  154300</t>
  </si>
  <si>
    <t>SUMIVALLE   74665</t>
  </si>
  <si>
    <t>IMPORINOX  250593</t>
  </si>
  <si>
    <t>LIQUIDACION DE UTILIDADES -  EQUING S.A.S.</t>
  </si>
  <si>
    <t>SERVITORNO SILVA</t>
  </si>
  <si>
    <t>LIQUIDACION DE UTILIDADES -  ACUEDUCTOS DEL SUR S.A.S.</t>
  </si>
  <si>
    <t>DISTRIBUCIONES PVC 314630</t>
  </si>
  <si>
    <t>COLIMPORTADOS  35600</t>
  </si>
  <si>
    <t>STOCK IMATEC ANDRES</t>
  </si>
  <si>
    <t>STOCK CODIFER 256325</t>
  </si>
  <si>
    <t>STOCK MATEC HOYOS 22997</t>
  </si>
  <si>
    <t>LIQUIDACION DE UTILIDADES -  SURTIDOR INDUSTRIAL S.A.S.</t>
  </si>
  <si>
    <t>REDES TECNICAS 82099</t>
  </si>
  <si>
    <t>LIQUIDACION DE UTILIDADES -  OCCIDENTAL DE PLASTICOS S.A.S.</t>
  </si>
  <si>
    <t>REDES TECNICAS 82187</t>
  </si>
  <si>
    <t>TUVACOL  106403</t>
  </si>
  <si>
    <t>STOCK IMATEC HOYOS 22997</t>
  </si>
  <si>
    <t>LIQUIDACION DE UTILIDADES -  MONTAJES JIG INGENIERIA Y CONSTRUCIONES S.A.S.</t>
  </si>
  <si>
    <t>IMPORINOX  252189</t>
  </si>
  <si>
    <t>LIQUIDACION DE UTILIDADES -  COSMO COMPAÑÍA S.A.S.</t>
  </si>
  <si>
    <t>SUMIVALLE  75492</t>
  </si>
  <si>
    <t>STOCK IMATEC IMPORINOX 251400</t>
  </si>
  <si>
    <t>IMPOACCEVAL  7022</t>
  </si>
  <si>
    <t>LIQUIDACION DE UTILIDADES -  V M TERMOCALDERAS S.A.S.</t>
  </si>
  <si>
    <t>VALVULAS INDUSTRIALES 15951</t>
  </si>
  <si>
    <t>IMPOFER  541013748</t>
  </si>
  <si>
    <t>LIQUIDACION DE UTILIDADES - ROYAL ELIM INTERNACIONAL S.A.S.</t>
  </si>
  <si>
    <t>CODIFER  257995</t>
  </si>
  <si>
    <t>LIQUIDACION DE UTILIDADES - COSMO COMPAÑÍA</t>
  </si>
  <si>
    <t>SERVITORNO SILVA  6977</t>
  </si>
  <si>
    <t>TRANSPORTE  JAIRO</t>
  </si>
  <si>
    <t>LIQUIDACION DE UTILIDADES - JAM INGENIERIA S.A.S.</t>
  </si>
  <si>
    <t>STOCK IMATEC COFIFER 247508</t>
  </si>
  <si>
    <t>LIQUIDACION DE UTILIDADES - FERRETODO LA 16</t>
  </si>
  <si>
    <t>LIQUIDACION DE UTILIDADES - MH INGENIERIA S.A.S.</t>
  </si>
  <si>
    <t>FERSELEC   8631</t>
  </si>
  <si>
    <t xml:space="preserve">LIQUIDACION DE UTILIDADES - INDUSTRIAS GER </t>
  </si>
  <si>
    <t>STOCK IMATEC GAMBOA</t>
  </si>
  <si>
    <t xml:space="preserve">STOCK IMATEC TUBOS </t>
  </si>
  <si>
    <t>STOCK IMATEC CODIFER 244598</t>
  </si>
  <si>
    <t>IMPORINOX   252705</t>
  </si>
  <si>
    <t>REDES TECNICAS  82516</t>
  </si>
  <si>
    <t>SUMIVALLE   75701</t>
  </si>
  <si>
    <t>IMPORINOX  252623</t>
  </si>
  <si>
    <t>LIQUIDACION DE UTILIDADES -  IMAD S.A.S.</t>
  </si>
  <si>
    <t>SUMIVALLE  74913</t>
  </si>
  <si>
    <t>INSTRUVAL  5604</t>
  </si>
  <si>
    <t>FERRETENORIO</t>
  </si>
  <si>
    <t>COLIMPORTADOS  35991</t>
  </si>
  <si>
    <t>IMPORINOX  248313</t>
  </si>
  <si>
    <t>IMPORINOX  253111</t>
  </si>
  <si>
    <t>IMPORINOX  252705</t>
  </si>
  <si>
    <t>REDES TECNICAS 82801</t>
  </si>
  <si>
    <t>TRANSPORTE HONORIO</t>
  </si>
  <si>
    <t>IMPORINOX  251400</t>
  </si>
  <si>
    <t>LIQUIDACION DE UTILIDADES - ACQUA VITRUBIO S.A.S.</t>
  </si>
  <si>
    <t>POWERSEAL S.A.S.  3517</t>
  </si>
  <si>
    <t>CODIFER  257899</t>
  </si>
  <si>
    <t>LIQUIDACION DE UTILIDADES  -  COSMO COMPAÑÍA S.A.S.</t>
  </si>
  <si>
    <t>SERVITORNO SILVA  7015</t>
  </si>
  <si>
    <t>UNIVERSAL DE PARTES Y TOR. 22830</t>
  </si>
  <si>
    <t>IMPORINOX  253503</t>
  </si>
  <si>
    <t>FABRICACION</t>
  </si>
  <si>
    <t>COMPRA ABRAZADERA 1 1/2 "</t>
  </si>
  <si>
    <t>LIQUIDACION DE UTILIDADES  -  ARE SERVICIOS S.A.S.</t>
  </si>
  <si>
    <t>FERSELEC  8723</t>
  </si>
  <si>
    <t>TUVACOL  106610</t>
  </si>
  <si>
    <t>STOCK IMATEC CODIFER 261166</t>
  </si>
  <si>
    <t>FERRETERIA BARBOSA  169304</t>
  </si>
  <si>
    <t>STOCK IMATEC HOYOS TOOL 22997</t>
  </si>
  <si>
    <t>LIQUIDACION DE UTILIDADES  - PINTUZAPATA  S.A.S.</t>
  </si>
  <si>
    <t>FERSELEC  8757</t>
  </si>
  <si>
    <t>STOCK IMATEC IMPORINOX  251400</t>
  </si>
  <si>
    <t>LIQUIDACION DE UTILIDADES  - INDUSTRIAS METALICAS PAZ CO S.A.S.</t>
  </si>
  <si>
    <t>STOCK IMATEC CODIFER</t>
  </si>
  <si>
    <t>LIQUIDACION DE UTILIDADES  - MONTAJES INDUSTRIALES M.T.M. LTDA</t>
  </si>
  <si>
    <t>REDES TECNICAS  83467</t>
  </si>
  <si>
    <t>IMPORINOX  254467</t>
  </si>
  <si>
    <t>TUVACOL 106665</t>
  </si>
  <si>
    <t>LIQUIDACION DE UTILIDADES  - BRAVO INGENIERIA S.A.S.</t>
  </si>
  <si>
    <t>IMPOACCEVAL  7213</t>
  </si>
  <si>
    <t>LIQUIDACION DE UTILIDADES  - DISTRIBUCIONES PRAIN S.A.S.</t>
  </si>
  <si>
    <t>STOCK IMATEC  CODIFER</t>
  </si>
  <si>
    <t>LIQUIDACION DE UTILIDADES  - LACTEOS LA MAPORITA S.A.S.</t>
  </si>
  <si>
    <t>NIPLE</t>
  </si>
  <si>
    <t>LIQUIDACION DE UTILIDADES  - ARE SERVICIOS S.A.S.</t>
  </si>
  <si>
    <t>LA BANDERA 35155</t>
  </si>
  <si>
    <t>LIQUIDACION DE UTILIDADES  - QUIMICOS DEL VALLE S.A.S</t>
  </si>
  <si>
    <t>ASUMINCOL 7152</t>
  </si>
  <si>
    <t>LIQUIDACION DE UTILIDADES  - COSMO COMPAÑÍA S.A.S.</t>
  </si>
  <si>
    <t xml:space="preserve">FERRETERIA BARBOSA  </t>
  </si>
  <si>
    <t>LIQUIDACION DE UTILIDADES  - LACTEOS LA MAPORITA</t>
  </si>
  <si>
    <t>REDES TECNICAS 83866</t>
  </si>
  <si>
    <t>LIQUIDACION DE UTILIDADES  - HIDROSTATICAS DE OCCIDENTE S.A.S.</t>
  </si>
  <si>
    <t>SUMIVALLE 6902</t>
  </si>
  <si>
    <t>SERVICIOS INDUSTRIALES</t>
  </si>
  <si>
    <t>LIQUIDACION DE UTILIDADES  - CALDERAS INECOLMA S.A.S.</t>
  </si>
  <si>
    <t>STOCK IMATEC  HELMAN</t>
  </si>
  <si>
    <t>LIQUIDACION DE UTILIDADES  - MONTAJES INDUSTRIALES M.T.M.</t>
  </si>
  <si>
    <t xml:space="preserve">STOCK IMATEC  ANDRES </t>
  </si>
  <si>
    <t>IMPOFER 1000262</t>
  </si>
  <si>
    <t>FERSELEC 8904</t>
  </si>
  <si>
    <t>REDES TECNICAS  84000</t>
  </si>
  <si>
    <t>TUVACOL  106738</t>
  </si>
  <si>
    <t>REDES TECNICAS 83921</t>
  </si>
  <si>
    <t>SUMIVALLE  77103</t>
  </si>
  <si>
    <t>IMPORINOX  255421</t>
  </si>
  <si>
    <t>LIQUIDACION DE UTILIDADES  - GLOBAL INDUSTRIAL FURNACE &amp; PROJECTS S.A.S.</t>
  </si>
  <si>
    <t>STOCK IMATEC  CHATARRERIA</t>
  </si>
  <si>
    <t>LIQUIDACION DE UTILIDADES  - DISEÑO Y MONTAJE JM S.A.S.</t>
  </si>
  <si>
    <t>LIQUIDACION DE UTILIDADES  - DICAV MECANIZADOS INDUSTRIALES S.A.S.</t>
  </si>
  <si>
    <t>STOCK IMATEC RANURADO</t>
  </si>
  <si>
    <t>FERSELEC  8930</t>
  </si>
  <si>
    <t>LIQUIDACION DE UTILIDADES  - VALVULAS Y SUMINISTROS INDUSTRIALES S.A.S.</t>
  </si>
  <si>
    <t>MAQUINADA STUB END</t>
  </si>
  <si>
    <t>LIQUIDACION DE UTILIDADES  - COMERCIAL DE TUBERIAS Y LAMINAS S.A.S.</t>
  </si>
  <si>
    <t>SUMIVALLE 77236</t>
  </si>
  <si>
    <t>LIQUIDACION DE UTILIDADES  - ACQUA VITRUVIO S.A.S.</t>
  </si>
  <si>
    <t>IMPORINOX 254410</t>
  </si>
  <si>
    <t>FERSELEC 8818</t>
  </si>
  <si>
    <t>LIQUIDACION DE UTILIDADES  - MONTAJES INDUSTRIALES M.T.M. S.A.S.</t>
  </si>
  <si>
    <t>SUMIVALLE 77312</t>
  </si>
  <si>
    <t>REDES TECNICAS  84289</t>
  </si>
  <si>
    <t>FERSELEC 8959</t>
  </si>
  <si>
    <t>IMPORINOX  256059</t>
  </si>
  <si>
    <t>LIQUIDACION DE UTILIDADES  -  CH-OB INGENIERIA</t>
  </si>
  <si>
    <t>LIQUIDACION DE UTILIDADES  -  LILIAN VILLEGAS ZAPATA</t>
  </si>
  <si>
    <t>LIQUIDACION DE UTILIDADES  -  COMERCIAL DE TUBERIAS Y LAMINAS S.A.S.</t>
  </si>
  <si>
    <t>CODIFER  264287</t>
  </si>
  <si>
    <t>LIQUIDACION DE UTILIDADES  -  CASA DE FILTRACION Y TELAS METALICAS DE COLOMBIA S.A.S.</t>
  </si>
  <si>
    <t>IMPOACCEVAL  7317</t>
  </si>
  <si>
    <t>LIQUIDACION DE UTILIDADES  -  MONTAJES INDUSTRIALES M.T.M. LTDA</t>
  </si>
  <si>
    <t>LIQUIDACION DE UTILIDADES  -  P&amp;AL MONTAJES TECNICOS INDUSTRIALES S.A.S.</t>
  </si>
  <si>
    <t>LIQUIDACION DE UTILIDADES  -  ACUEDUCTOS DEL SUR S.A.S. ESP</t>
  </si>
  <si>
    <t>ACCESORIOS Y VALVULAS APOLO</t>
  </si>
  <si>
    <t>DISTRIBUCIONES PVC  316469</t>
  </si>
  <si>
    <t>DISTRIBUCIONES PVC  316491</t>
  </si>
  <si>
    <t>TRNASPORTE JAIRO</t>
  </si>
  <si>
    <t>LIQUIDACION DE UTILIDADES   - D'ONE PROYECTOS DE INGENIERIA S.A.S.</t>
  </si>
  <si>
    <t xml:space="preserve">IMPORINOX  </t>
  </si>
  <si>
    <t>LIQUIDACION DE UTILIDADES   - SERVICIOS E INGENIERIA G&amp;M S.A.S.</t>
  </si>
  <si>
    <t>LIQUIDACION DE UTILIDADES   -  COMERCIAL DE TUBERIAS Y LAMINAS S.A.S.</t>
  </si>
  <si>
    <t>TUVACOL  106880</t>
  </si>
  <si>
    <t>LIQUIDACION DE UTILIDADES   -  INDUSTRIAS MARIN S.A.S.</t>
  </si>
  <si>
    <t>ASUMINCOL  7279</t>
  </si>
  <si>
    <t>LIQUIDACION DE UTILIDADES   -  ACQUA VITRUVIO  S.A.S.</t>
  </si>
  <si>
    <t>CODIFER  264727</t>
  </si>
  <si>
    <t>TUVACOL  106894</t>
  </si>
  <si>
    <t>LIQUIDACION DE UTILIDADES   -  JAM INGENIERIA &amp; SERVICIOS S.A.S.</t>
  </si>
  <si>
    <t xml:space="preserve">STOCK IMATEC CODIFER  </t>
  </si>
  <si>
    <t>LIQUIDACION DE UTILIDADES   -  ARE SERVICIOS S.A.S.</t>
  </si>
  <si>
    <t>REDES TECNICAS  84856</t>
  </si>
  <si>
    <t>LIQUIDACION DE UTILIDADES   -  COSMO COMPAÑÍA S.A.S.</t>
  </si>
  <si>
    <t>492/493</t>
  </si>
  <si>
    <t xml:space="preserve">LIQUIDACION DE UTILIDADES   -  ART FRIGO </t>
  </si>
  <si>
    <t>REDES TECNICAS  84902</t>
  </si>
  <si>
    <t>OZ DISTRIBUCIONES S.A.S.</t>
  </si>
  <si>
    <t>LIQUIDACION DE UTILIDADES   -  MONTAJES INDUSTRIALES M.T.M. LTDA</t>
  </si>
  <si>
    <t>IMPORINOX  257022</t>
  </si>
  <si>
    <t>TUBOLAMINAS 164641</t>
  </si>
  <si>
    <t>STOCK IMATEC  TUBERIA</t>
  </si>
  <si>
    <t>FERSELEC</t>
  </si>
  <si>
    <t>SUMIVALLE   78211</t>
  </si>
  <si>
    <t>IMPORINOX   257991</t>
  </si>
  <si>
    <t>LIQUIDACION DE UTILIDADES   -  INDUSTRIAS METALICAS PAZ S.A.S.</t>
  </si>
  <si>
    <t>LIQUIDACION DE UTILIDADES   -  IMAD S.A.S.</t>
  </si>
  <si>
    <t>STOCK IMATEC COMPRA TUB</t>
  </si>
  <si>
    <t>REDES TECNICAS  85314</t>
  </si>
  <si>
    <t xml:space="preserve">DIEGO </t>
  </si>
  <si>
    <t>LIQUIDACION DE UTILIDADES   -  AMBIENTAL DE PLASTICOS RECYCLAPET S.A.S.</t>
  </si>
  <si>
    <t>ASUMINCOL 7330</t>
  </si>
  <si>
    <t>LIQUIDACION DE UTILIDADES   -  MARIA EUGENIA ORTEGA BOLAÑOS</t>
  </si>
  <si>
    <t>STOCK IMATEC FABIAN</t>
  </si>
  <si>
    <t>TUVACOL 107005</t>
  </si>
  <si>
    <t>AGOFER  22733</t>
  </si>
  <si>
    <t>TRANSPORTE  PHANOR</t>
  </si>
  <si>
    <t>LIQUIDACION DE UTILIDADES   -  FERNANDO SANCHEZ</t>
  </si>
  <si>
    <t>LIQUIDACION DE UTILIDADES   -  CURTIPIELES S.A.S.</t>
  </si>
  <si>
    <t>IMPORINOX  258610</t>
  </si>
  <si>
    <t>M DE O  CESAR TORNO</t>
  </si>
  <si>
    <t>LIQUIDACION DE UTILIDADES   -  LAMINAS Y CORTES INDUSTRIALES S.A.</t>
  </si>
  <si>
    <t>CODIFER 267943</t>
  </si>
  <si>
    <t>LIQUIDACION DE UTILIDADES   -  HERNAN CANDELO RADA</t>
  </si>
  <si>
    <t>REDES TECNICAS 85606</t>
  </si>
  <si>
    <t>ACEROSCOL  113185</t>
  </si>
  <si>
    <t>LIQUIDACION DE UTILIDADES   -  METALMECANICA JAN S.A.S.</t>
  </si>
  <si>
    <t>TUBOLAMINAS   165677</t>
  </si>
  <si>
    <t xml:space="preserve">FERRETERIA REINA </t>
  </si>
  <si>
    <t>LIQUIDACION DE UTILIDADES   -  J2S S.A.S.</t>
  </si>
  <si>
    <t>STOCK IMATEC SUPERIOR</t>
  </si>
  <si>
    <t>STOCK IMATEC COLIMPORTADOS</t>
  </si>
  <si>
    <t>IMPORINOX  259263</t>
  </si>
  <si>
    <t>LIQUIDACION DE UTILIDADES   -  INDUSTRIAS AMG S.A.S.</t>
  </si>
  <si>
    <t>LIQUIDACION DE UTILIDADES   -  R&amp;S  INGENIERIA S.A.S.</t>
  </si>
  <si>
    <t>CODIFER  78790</t>
  </si>
  <si>
    <t>LIQUIDACION DE UTILIDADES   -  DISTRIBUCIONES PRAIN S.A.S.</t>
  </si>
  <si>
    <t>LIQUIDACION DE UTILIDADES   -  INDUSTRIA DE LACTEOS LA MAPORITA S.A.S.</t>
  </si>
  <si>
    <t>VALVULAS INDUSTRIALES 16785</t>
  </si>
  <si>
    <t>LIQUIDACION DE UTILIDADES   -  EQUING S.A.S.</t>
  </si>
  <si>
    <t>LIQUIDACION DE UTILIDADES   -  FRANCO DORMAN CORAL</t>
  </si>
  <si>
    <t>LIQUIDACION DE UTILIDADES   -  MARIA EUGENIA ORTEGA B</t>
  </si>
  <si>
    <t>CODIFER  268898</t>
  </si>
  <si>
    <t>FERSELEC SERVICIO RANURADO</t>
  </si>
  <si>
    <t>LIQUIDACION DE UTILIDADES   -  TALLER INDUSTRIAL HENAO</t>
  </si>
  <si>
    <t>C.I. ACEROS Y METALES 11646</t>
  </si>
  <si>
    <t>C.I. ACEROS Y METALES 11647</t>
  </si>
  <si>
    <t>LIQUIDACION DE UTILIDADES   -  MONTAJES INDUSTRIALES M.T.M. S.A.S</t>
  </si>
  <si>
    <t>LIQUIDACION DE UTILIDADES   - LA MAPORITA S.A.S.</t>
  </si>
  <si>
    <t>REDES TECNICAS</t>
  </si>
  <si>
    <t>CODIFER  269594</t>
  </si>
  <si>
    <t>REDES TECNICAS 86034</t>
  </si>
  <si>
    <t>SUMIVALLE  79266</t>
  </si>
  <si>
    <t>LIQUIDACION DE UTILIDADES   -  RETENES INDUSTRIALES S.A.S.</t>
  </si>
  <si>
    <t>REDES TECNICAS 86202</t>
  </si>
  <si>
    <t>LIQUIDACION DE UTILIDADES   -  CH-OB INGENIERIA METALMECANICA S.A.S.</t>
  </si>
  <si>
    <t>FERSELEC   9364</t>
  </si>
  <si>
    <t>SUMIVALLE  79612</t>
  </si>
  <si>
    <t>LIQUIDACION DE UTILIDADES   -  IMAD  S.A.S.</t>
  </si>
  <si>
    <t xml:space="preserve">IMAD </t>
  </si>
  <si>
    <t>SUMIVALLE  79484</t>
  </si>
  <si>
    <t>REDES TECNICAS  86572</t>
  </si>
  <si>
    <t>JUAN DIEGO ABRAZADERAS</t>
  </si>
  <si>
    <t>STOCK IMATEC HOYOD TOOL</t>
  </si>
  <si>
    <t>LIQUIDACION DE UTILIDADES   -  VALVULA Y SUMINISTROS INDUSTRIALES S.A.S.</t>
  </si>
  <si>
    <t>MANO DE OBRA STUB END</t>
  </si>
  <si>
    <t>SOCK IMATEC STUB END</t>
  </si>
  <si>
    <t>LIQUIDACION DE UTILIDADES   -  GRUPO TEXTIL DEL VALLE S.A.S</t>
  </si>
  <si>
    <t>INSTRUVAL</t>
  </si>
  <si>
    <t>SUMIVALLE  79719</t>
  </si>
  <si>
    <t>PETROINDUSTRIALES</t>
  </si>
  <si>
    <t>FERRETERIA BARBOSA</t>
  </si>
  <si>
    <t>SUMIVALLE  79594</t>
  </si>
  <si>
    <t>TUVACOL  107237</t>
  </si>
  <si>
    <t>TUVACOL  107254</t>
  </si>
  <si>
    <t>LIQUIDACION DE UTILIDADES   -  MECHANICAL CAD  S.A.S.</t>
  </si>
  <si>
    <t>FLETE BERLINAS</t>
  </si>
  <si>
    <t>LIQUIDACION DE UTILIDADES   -  LAVANDERIA INTEGRAL DEL VALLE S.A.S.</t>
  </si>
  <si>
    <t>LIQUIDACION DE UTILIDADES   - COSMO COMPAÑÍA S.A.S.</t>
  </si>
  <si>
    <t>SUMIVALLE 79980</t>
  </si>
  <si>
    <t>TRANSPORTE GAVIRIA</t>
  </si>
  <si>
    <t>LIQUIDACION DE UTILIDADES   -  GRUPO TEXTIL DEL VALLE S.A.S.</t>
  </si>
  <si>
    <t>SUMIVALLE  79984</t>
  </si>
  <si>
    <t>LIQUIDACION DE UTILIDADES   -  PMC PRODUCTOSMECANICOS DE CALIDAD S.A.S.</t>
  </si>
  <si>
    <t>FERRETERIA TUBOLAMINAS</t>
  </si>
  <si>
    <t xml:space="preserve">SUMIVALLE  </t>
  </si>
  <si>
    <t>LIQUIDACION DE UTILIDADES   - BTM INGENIERIA SAS BIC</t>
  </si>
  <si>
    <t>CODIFER  273442</t>
  </si>
  <si>
    <t>COMERC DE RETALES Y METALES</t>
  </si>
  <si>
    <t>DISTRICOLORES</t>
  </si>
  <si>
    <t>M DE O  GUSTAVO A.</t>
  </si>
  <si>
    <t>TRANSPORTE CARGUERO</t>
  </si>
  <si>
    <t xml:space="preserve">LIQUIDACION DE UTILIDADES   - COSMO COMPAÑÍA </t>
  </si>
  <si>
    <t>SUMIVALLE</t>
  </si>
  <si>
    <t>IMPOACCEVAL</t>
  </si>
  <si>
    <t>CASA DE NIPLES</t>
  </si>
  <si>
    <t>IMPORINOX 262146</t>
  </si>
  <si>
    <t>LIQUIDACION DE UTILIDADES   -  ALBERTO SALAZAR</t>
  </si>
  <si>
    <t>S/F</t>
  </si>
  <si>
    <t xml:space="preserve">LIQUIDACION DE UTILIDADES    - LADRILLERA LOS ALMENDROS </t>
  </si>
  <si>
    <t>LIQUIDACION DE UTILIDADES    - TORNICOMPLE S.A.S.</t>
  </si>
  <si>
    <t>LIQUIDACION DE UTILIDADES    - RETENES INDUSTRIALES S.A.S.</t>
  </si>
  <si>
    <t>AGOFER  IEO 43649</t>
  </si>
  <si>
    <t>LIQUIDACION DE UTILIDADES    - JUAN MONTAÑO - ASTILLEROS EL MONO</t>
  </si>
  <si>
    <t>LIQUIDACION DE UTILIDADES    - BM INDUSTRIAS METALMECANICAS S.A.S.</t>
  </si>
  <si>
    <t xml:space="preserve">C.I. ACEROS </t>
  </si>
  <si>
    <t>LIQUIDACION DE UTILIDADES    - COMERCIALIZADORA DANFER S.A.S.</t>
  </si>
  <si>
    <t>LIQUIDACION DE UTILIDADES    - ENRIQUE ALBERTO MONTUFAR</t>
  </si>
  <si>
    <t>SUMIVALLE  80629</t>
  </si>
  <si>
    <t>M DE OBRA</t>
  </si>
  <si>
    <t>LIQUIDACION DE UTILIDADES    - PMC  PRODUCTOS MECANICOS DE CALIDAD S.A.S.</t>
  </si>
  <si>
    <t>LIQUIDACION DE UTILIDADES    - JAVIER AREVALO</t>
  </si>
  <si>
    <t>STOCK IMATEC IMP. SUPERIOR</t>
  </si>
  <si>
    <t>LIQUIDACION DE UTILIDADES    - ALFREDO MOSQUERA SANCHEZ</t>
  </si>
  <si>
    <t>CODIFER  274221</t>
  </si>
  <si>
    <t>LIQUIDACION DE UTILIDADES    - BTM  INGENIERIA SAS</t>
  </si>
  <si>
    <t>SUMIVALLE  80798</t>
  </si>
  <si>
    <t>LIQUIDACION DE UTILIDADES    - COSMO COMPAÑÍA S.A.S.</t>
  </si>
  <si>
    <t>LIQUIDACION DE UTILIDADES    - IMAD  S.A.S.</t>
  </si>
  <si>
    <t>CODIFER</t>
  </si>
  <si>
    <t>LIQUIDACION DE UTILIDADES    - JUAN MONTAÑO - ASTILLERO EL MONO</t>
  </si>
  <si>
    <t>LIQUIDACION DE UTILIDADES    - PMC - PRODUCTOS MECANICOS DE CALIDAD S.A.S.</t>
  </si>
  <si>
    <t>LIQUIDACION GLOBAL</t>
  </si>
  <si>
    <t>LIQUIDACION DE UTILIDADES    - METALMECANICA JAN S.A.S.</t>
  </si>
  <si>
    <t>VALVULAS INDUSTRIALES</t>
  </si>
  <si>
    <t>STOCK IMATEC COFIFER</t>
  </si>
  <si>
    <t>LIQUIDACION DE UTILIDADES    -  GRUPO TEXTIL DEL VALLE S.A.S.</t>
  </si>
  <si>
    <t>STOCK IMATEC HELMAN</t>
  </si>
  <si>
    <t>LIQUIDACION DE UTILIDADES    -  ALBERTO SALAZAR QUINTERO</t>
  </si>
  <si>
    <t>COMISION DATAFONO</t>
  </si>
  <si>
    <t>LIQUIDACION DE UTILIDADES    -  MORERA HERMANOS INGENIERIA HIDROSANITARIA S.A.S.</t>
  </si>
  <si>
    <t>LIQUIDACION DE UTILIDADES    -  JARAMILLO GOMEZ CASTRO Y CIA S.A.S.</t>
  </si>
  <si>
    <t>LIQUIDACION DE UTILIDADES    -  MULTISERVICIOS INDUSTRIALES J &amp; G S.A.S.</t>
  </si>
  <si>
    <t>LIQUIDACION DE UTILIDADES    - HIDROSTATICAS DE OCCIDENTE S.A.S.</t>
  </si>
  <si>
    <t>LIQUIDACION DE UTILIDADES     -  IMAD S.A.S.</t>
  </si>
  <si>
    <t>LIQUIDACION DE UTILIDADES     -  DICAV MECANIZADOS INDUSTRIALES S.A.S.</t>
  </si>
  <si>
    <t>LIQUIDACION DE UTILIDADES     -  GIGACEROS S.A.S.</t>
  </si>
  <si>
    <t>FERRETERIA REINA</t>
  </si>
  <si>
    <t xml:space="preserve">TUVACOL  </t>
  </si>
  <si>
    <t>LIQUIDACION DE UTILIDADES     -  JUAN MONTAÑO - ASTILLEROS EL MONO</t>
  </si>
  <si>
    <t>STOCK IMATEC MANOMETRO</t>
  </si>
  <si>
    <t>STOCK IMATEC CODO</t>
  </si>
  <si>
    <t>LIQUIDACION DE UTILIDADES     -  BTM  INGENIERIA SAS BIC</t>
  </si>
  <si>
    <t>CHATARRERIA DIDIER</t>
  </si>
  <si>
    <t>PROPINA AYUDANTE</t>
  </si>
  <si>
    <t>LIQUIDACION DE UTILIDADES     -  SOPLAPACK  S.A.S.</t>
  </si>
  <si>
    <t>LIQUIDACION DE UTILIDADES     -  BTM INGENIERIA S.A.S. BIC</t>
  </si>
  <si>
    <t>PINTURAS AMERICA</t>
  </si>
  <si>
    <t>LIQUIDACION DE UTILIDADES     -  METALMECANICA JAN S.A.S.</t>
  </si>
  <si>
    <t>STOCK IMATEC - CODIFER</t>
  </si>
  <si>
    <t>LIQUIDACION DE UTILIDADES     -   INTERCALDERAS  S.A.S.</t>
  </si>
  <si>
    <t>LIQUIDACION DE UTILIDADES     -   BCM COMERCIALIZADORA S.A.S.</t>
  </si>
  <si>
    <t>LIQUIDACION DE UTILIDADES     -   MONTAJES SANTACRUZ LTDA</t>
  </si>
  <si>
    <t>LIQUIDACION DE UTILIDADES     -   ACUEDUCTOS DEL SUR S.A.S.</t>
  </si>
  <si>
    <t>ASUMINCOL</t>
  </si>
  <si>
    <t>LIQUIDACION DE UTILIDADES     -   JUAN MONTAÑO</t>
  </si>
  <si>
    <t>STOCK IMATEC - IMPPORINOX</t>
  </si>
  <si>
    <t>LIQUIDACION DE UTILIDADES     -   CARLOS ALBERTO TORRES VALLEJO</t>
  </si>
  <si>
    <t>LIQUIDACION DE UTILIDADES     -   ARE SERVICIOS S.A.S.</t>
  </si>
  <si>
    <t>HELMAN</t>
  </si>
  <si>
    <t>LIQUIDACION DE UTILIDADES     -   LAMINAS Y CORTES INDUSTRIALES S.A.S</t>
  </si>
  <si>
    <t>LIQUIDACION DE UTILIDADES     -   MONTAJES Y REPARACIONES M&amp;R S.A.S.</t>
  </si>
  <si>
    <t>LIQUIDACION DE UTILIDADES     -   ALBERTO SALAZAR QUINTERO</t>
  </si>
  <si>
    <t>LIQUIDACION DE UTILIDADES     -   PAULA CATALINA LEZAMA RAMIREZ</t>
  </si>
  <si>
    <t>LIQUIDACION DE UTILIDADES     -   HERRAMIENTAS Y ACCESORIOS INDUSTRIALES S.A.S.</t>
  </si>
  <si>
    <t>TUVACOL</t>
  </si>
  <si>
    <t>TECNIVAPOR</t>
  </si>
  <si>
    <t>EDINSON</t>
  </si>
  <si>
    <t>LIQUIDACION DE UTILIDADES     -   INDUSTRIAS PERDOMO S.A.</t>
  </si>
  <si>
    <t>LIQUIDACION DE UTILIDADES     -   JORGE HERNANDEZ ANAYA</t>
  </si>
  <si>
    <t>STOCK IMATEC  SUPERIOR</t>
  </si>
  <si>
    <t>LIQUIDACION DE UTILIDADES  -  ALBERTO SALAZAR QUINTERO</t>
  </si>
  <si>
    <t>LIQUIDACION DE UTILIDADES  -  SURTIDOR INDUSTRIAL S.A.S.</t>
  </si>
  <si>
    <t>LIQUIDACION DE UTILIDADES  -  INDUSTRIA METALMECANICA SALAZAR  S.A.S.</t>
  </si>
  <si>
    <t>LIQUIDACION DE UTILIDADES  -  N T LABS S.A.S.</t>
  </si>
  <si>
    <t>LIQUIDACION DE UTILIDADES  -  GRUPO TEXTIL DEL VALLE S.A.S.</t>
  </si>
  <si>
    <t>LIQUIDACION DE UTILIDADES  -  TALLER ARMENIA &amp; CIA LTDA</t>
  </si>
  <si>
    <t>LIQUIDACION DE UTILIDADES  -  PMC PRODUCTOS METALICOS DE CALIDAD S.A.S.</t>
  </si>
  <si>
    <t>LIQUIDACION DE UTILIDADES  -  GLOVAL CONTROLS S.A.S.</t>
  </si>
  <si>
    <t>LIQUIDACION DE UTILIDADES  -  LAMINAS Y CORTES INDUSTRIALES S.A.</t>
  </si>
  <si>
    <t>LIQUIDACION DE UTILIDADES  -  CAMPOFRESCO ALIMENTOS S.A.S.</t>
  </si>
  <si>
    <t>RODA INDUSTRIALES</t>
  </si>
  <si>
    <t>LIQUIDACION DE UTILIDADES  -  BACCA RODRIGUEZ S.A.S.</t>
  </si>
  <si>
    <t>MANGUERAS INDUSTRIALES S.A.S.</t>
  </si>
  <si>
    <t>LIQUIDACION DE UTILIDADES  -  ACUASUR S.A.S.</t>
  </si>
  <si>
    <t>LIQUIDACION DE UTILIDADES  -  SERVIMETAL DE OCCIDENTE S.A.S.</t>
  </si>
  <si>
    <t>IMPOFER</t>
  </si>
  <si>
    <t>LIQUIDACION DE UTILIDADES  -  INDUSTRIAS PERDOMO S.A.</t>
  </si>
  <si>
    <t>DIST. PVC</t>
  </si>
  <si>
    <t>MEDCOR</t>
  </si>
  <si>
    <t>LIQUIDACION DE UTILIDADES  -  ACUEDUCTOS DEL SUR S.A.S.</t>
  </si>
  <si>
    <t>LIQUIDACION DE UTILIDADES  - SURTIDOR INDUSTRIAL S.A.S.</t>
  </si>
  <si>
    <t>LIQUIDACION DE UTILIDADES  - TECNO - LAB S.A.S</t>
  </si>
  <si>
    <t>TUVALREP</t>
  </si>
  <si>
    <t>LIQUIDACION DE UTILIDADES  - LAMINAS Y CORTES INDUSTRIALES S.A.</t>
  </si>
  <si>
    <t>CHATARRERIA J 2</t>
  </si>
  <si>
    <t>BARBOSA</t>
  </si>
  <si>
    <t>MANGUERAS INDUSTRIALES</t>
  </si>
  <si>
    <t>FITTING</t>
  </si>
  <si>
    <t xml:space="preserve">OZ DISTRIBUCIONES </t>
  </si>
  <si>
    <t>LIQUIDACION DE UTILIDADES  - CALDERAS HB S.A.S.</t>
  </si>
  <si>
    <t>LIQUIDACION DE UTILIDADES  - CURTIPIELES S.A.S.</t>
  </si>
  <si>
    <t>LIQUIDACION DE UTILIDADES  - INSTRUCALD S.A.S.</t>
  </si>
  <si>
    <t>LIQUIDACION DE UTILIDADES  - COSMO COMPAÑÍA</t>
  </si>
  <si>
    <t>FERRETERIA SILVER</t>
  </si>
  <si>
    <t>LIQUIDACION DE UTILIDADES  - INDUMETALICAS RODRIGUEZ CAMPIÑO S.A.S.</t>
  </si>
  <si>
    <t>STOCK IMATEC OZ DIST.</t>
  </si>
  <si>
    <t>FERRETODO</t>
  </si>
  <si>
    <t>LIQUIDACION DE UTILIDADES  - BTM INGENIERIA S.A.S.</t>
  </si>
  <si>
    <t>LIQUIDACION DE UTILIDADES  - BTM INGENIERIA S.A.S</t>
  </si>
  <si>
    <t>STOCK IMATEC ACINOX</t>
  </si>
  <si>
    <t>AGOFER</t>
  </si>
  <si>
    <t>PROPINA CHOFER</t>
  </si>
  <si>
    <t>IMP. SUPERIOR</t>
  </si>
  <si>
    <t>LIQUIDACION DE UTILIDADES  -  JUAN CAMILO GARCIA BEJARANO</t>
  </si>
  <si>
    <t>PROPINA CONDUCTOR</t>
  </si>
  <si>
    <t>LA BANDERA</t>
  </si>
  <si>
    <t>CONSTRU MARKET</t>
  </si>
  <si>
    <t>LIQUIDACION DE UTILIDADES  -  INGENIERIA EN CONTROL Y AUTOMATIZACION ELECTROMECANICA S.A.S.</t>
  </si>
  <si>
    <t>IMPPORINOX</t>
  </si>
  <si>
    <t>LIQUIDACION DE UTILIDADES  -  BTM INGENIERIA S.A.S.</t>
  </si>
  <si>
    <t>LIQUIDACION DE UTILIDADES  -   EQUING S.A.S.</t>
  </si>
  <si>
    <t>LIQUIDACION DE UTILIDADES  -   INDUSTRIA SURAMERICA S.A.S.</t>
  </si>
  <si>
    <t>LIQUIDACION DE UTILIDADES  -   LAMINAS Y CORTES INDUSTRIALES S.A.</t>
  </si>
  <si>
    <t>LIQUIDACION DE UTILIDADES  -   ACUEDUCTOS DEL SUR S.A.S.</t>
  </si>
  <si>
    <t>LIQUIDACION DE UTILIDADES  -   RETENES INDUSTRIALES S.A.S.</t>
  </si>
  <si>
    <t>GAVIRIA TRANSPORTE</t>
  </si>
  <si>
    <t>LIQUIDACION DE UTILIDADES  -  HERRAMIENTAS Y ACCESORIOS INDUSTRIALES S.A.S.</t>
  </si>
  <si>
    <t>FABRICACION IMATEC</t>
  </si>
  <si>
    <t>LIQUIDACION DE UTILIDADES   -  MONTAJES INDUSTRIALES M.T.M.  SAS</t>
  </si>
  <si>
    <t>LIQUIDACION DE UTILIDADES   -  OZ DISTRIBUCIONES S.A.S.</t>
  </si>
  <si>
    <t>COLIMPORTADOS</t>
  </si>
  <si>
    <t>LIQUIDACION DE UTILIDADES   -  TALLER INDUSTRIAL G&amp;M  S.A.S.</t>
  </si>
  <si>
    <t>IMATEC FABRICACION</t>
  </si>
  <si>
    <t>LIQUIDACION DE UTILIDADES  -  SERINCI S.A.S.</t>
  </si>
  <si>
    <t>COMISION  LUIS A. BENAVIDES</t>
  </si>
  <si>
    <t>LIQUIDACION DE UTILIDADES   -  DOSIFICANDO.COM S.A.S.</t>
  </si>
  <si>
    <t>LIQUIDACION DE UTILIDADES   -  BTM INGENIERIA S.A.S.</t>
  </si>
  <si>
    <t>ACINOX</t>
  </si>
  <si>
    <t>LIQUIDACION DE UTILIDADES   -  IMPROYMEC S.A.S.</t>
  </si>
  <si>
    <t>LIQUIDACION DE UTILIDADES   -  MONTAJES JIG INGENIERIA Y CONCSTRUCCIONES S.A.S.</t>
  </si>
  <si>
    <t>LIQUIDACION DE UTILIDADES   -  CARLOS LOPEZ</t>
  </si>
  <si>
    <t>IMPORTADORA SUPERIOR</t>
  </si>
  <si>
    <t>DATAFONO</t>
  </si>
  <si>
    <t>LIQUIDACION DE UTILIDADES   -  MONTAJES INDUSTRIALES M.T.M.  LTDA</t>
  </si>
  <si>
    <t>LIQUIDACION DE UTILIDADES   -  ALFREDO MOSQUERA SANCHEZ</t>
  </si>
  <si>
    <t>CORTEACERO</t>
  </si>
  <si>
    <t>FLETE GAVIRIA</t>
  </si>
  <si>
    <t>LIQUIDACION DE UTILIDADES   -  RITO MAURO BURBANO</t>
  </si>
  <si>
    <t>LIQUIDACION DE UTILIDADES   -  JUAN DAVID VILLA</t>
  </si>
  <si>
    <t>LIQUIDACION DE UTILIDADES   -  TORNILLERIA D'ACEROS S.A.S.</t>
  </si>
  <si>
    <t>LIQUIDACION DE UTILIDADES   -  SURTIDOR INDUSTRIAL S.A.S.</t>
  </si>
  <si>
    <t>LIQUIDACION DE UTILIDADES   -  COMERCIALIZADORA ACEGRALES S.A.S.</t>
  </si>
  <si>
    <t>SUPERIOR</t>
  </si>
  <si>
    <t>LIQUIDACION DE UTILIDADES   -  PAULA CATALINA LEZAMA</t>
  </si>
  <si>
    <t>LIQUIDACION DE UTILIDADES   -  AYA  INGENIERIA S.A.S.</t>
  </si>
  <si>
    <t>LIQUIDACION DE UTILIDADES   -  ACOPLES INDUSTRIALES Y LUBRICANTES S.A.S.</t>
  </si>
  <si>
    <t>LIQUIDACION DE UTILIDADES   -  HERRAMIENTAS Y ACCESORIOS INDUSTRIALES S.A.S.</t>
  </si>
  <si>
    <t>LIQUIDACION DE UTILIDADES   -  FESAT S.A.S.</t>
  </si>
  <si>
    <t>OZ DIST.</t>
  </si>
  <si>
    <t>LIQUIDACION DE UTILIDADES   -  MECHANICAL CAD S.A.S.</t>
  </si>
  <si>
    <t>LIQUIDACION DE UTILIDADES   -  PROCESOS DE MANUFACTURA  S.A.S.</t>
  </si>
  <si>
    <t>EXCEDENTE INDUSTRIAL</t>
  </si>
  <si>
    <t>LIQUIDACION DE UTILIDADES   -  HYCO  S.A.S.</t>
  </si>
  <si>
    <t>LIQUIDACION DE UTILIDADES   -  DICAV  MECANIZADOS INDUSTRIALES S.A.S.</t>
  </si>
  <si>
    <t>LIQUIDACION DE UTILIDADES   -  DOSIFICANDO . COM</t>
  </si>
  <si>
    <t>LIQUIDACION DE UTILIDADES   -  MANTENIMIENTO METALMECANICO  S.A.S.</t>
  </si>
  <si>
    <t>DIST PVC / OZ / TUVACOL</t>
  </si>
  <si>
    <t>LIQUIDACION DE UTILIDADES   -    ACUEDUCTOS DEL SUR  S.A.S.  ESP</t>
  </si>
  <si>
    <t>LIQUIDACION DE UTILIDADES   -    HYCO  S.A.S.</t>
  </si>
  <si>
    <t>LIQUIDACION DE UTILIDADES   -    TALLER INDUSTRIAL VELMU  S.A.S.</t>
  </si>
  <si>
    <t>IMPÒRINOX</t>
  </si>
  <si>
    <t>LIQUIDACION DE UTILIDADES   -    SURTIDOR INDUSTRIAL S.A.S.</t>
  </si>
  <si>
    <t>LIQUIDACION DE UTILIDADES   -    PROCESOS DE MANUFACTURA S.A.S.</t>
  </si>
  <si>
    <t>VALVULA INDUSTRIALES</t>
  </si>
  <si>
    <t>SERVICIO BRILLO ESPEJO</t>
  </si>
  <si>
    <t>LIQUIDACION DE UTILIDADES   -   AYA  INGENIERIA S.A.S.</t>
  </si>
  <si>
    <t>LIQUIDACION DE UTILIDADES   -   INSTRUCALD  S.A.S.</t>
  </si>
  <si>
    <t>FABRICACION  IMATEC</t>
  </si>
  <si>
    <t>LIQUIDACION DE UTILIDADES   -  EQUING  S.A.S.</t>
  </si>
  <si>
    <t xml:space="preserve">LIQUIDACION DE UTILIDADES   - BOMBAS Y FLUIDOS </t>
  </si>
  <si>
    <t>LIQUIDACION DE UTILIDADES   - GRUPO TEXTIL DEL VALLE  S.A.S.</t>
  </si>
  <si>
    <t>LIQUIDACION DE UTILIDADES   - GRUPO TEXTIL VALLE  S.A.S.</t>
  </si>
  <si>
    <t>FABRICACION STUB END</t>
  </si>
  <si>
    <t>LIQUIDACION DE UTILIDADES   -   EQUING S.A.S.</t>
  </si>
  <si>
    <t xml:space="preserve">LIQUIDACION DE UTILIDADES   -   INGENIERIA  IMA </t>
  </si>
  <si>
    <t>LIQUIDACION DE UTILIDADES   -   JOSE RODRIGO GALLEGO</t>
  </si>
  <si>
    <t>LIQUIDACION DE UTILIDADES   -   CURTIPIELES S.A.S.</t>
  </si>
  <si>
    <t>LIQUIDACION DE UTILIDADES   -   DISTRIBUCIONES PRAIN S.A.S.</t>
  </si>
  <si>
    <t>LIQUIDACION DE UTILIDADES   -   MECAVAL S.A.S.</t>
  </si>
  <si>
    <t>LIQUIDACION DE UTILIDADES   -  COSMO COMPAÑPIA S.A.S.</t>
  </si>
  <si>
    <t>LIQUIDACION DE UTILIDADES   -  CHILLER TECH INGENIEROS S.A.S.</t>
  </si>
  <si>
    <t>LIQUIDACION DE UTILIDADES   -  GRUPO TEXTIL DEL VALLE</t>
  </si>
  <si>
    <t>LIQUIDACION DE UTILIDADES   -  COSMO COMPAÑÍA</t>
  </si>
  <si>
    <t>LIQUIDACION DE UTILIDADES   -  TAMETCO  S.A.S.</t>
  </si>
  <si>
    <t>LIQUIDACION DE UTILIDADES   -  V M TERMOCALDERAS</t>
  </si>
  <si>
    <t>LIQUIDACION DE UTILIDADES   -  TAMETCO S.A.S.</t>
  </si>
  <si>
    <t>LIQUIDACION DE UTILIDADES   -  MOSAICO SSI</t>
  </si>
  <si>
    <t>LIQUIDACION DE UTILIDADES   -  SMART SEAL S.A.S.</t>
  </si>
  <si>
    <t>LIQUIDACION DE UTILIDADES   -  HYCO S.A.S.</t>
  </si>
  <si>
    <t>COMPRAS VARIAS</t>
  </si>
  <si>
    <t>LIQUIDACION DE UTILIDADES    -  TODO EN RADIADORES MARIÑO</t>
  </si>
  <si>
    <t>IMATEC STOCK</t>
  </si>
  <si>
    <t>LIQUIDACION DE UTILIDADES    -  COSMO  COMPAÑÍA S.A.S.</t>
  </si>
  <si>
    <t>LIQUIDACION DE UTILIDADES    -  AYA  INGENIERIA S.A.S.</t>
  </si>
  <si>
    <t>LIQUIDACION DE UTILIDADES    -  JUAN CAMILO GARCIA BEJARANO</t>
  </si>
  <si>
    <t>STOCK IMATAC</t>
  </si>
  <si>
    <t>LIQUIDACION DE UTILIDADES    -  PINTUZAPATA</t>
  </si>
  <si>
    <t>LIQUIDACION DE UTILIDADES    -  ROSA ELENA JARAMILLO</t>
  </si>
  <si>
    <t>LIQUIDACION DE UTILIDADES    -  MECAVAL S.A.S.</t>
  </si>
  <si>
    <t>LIQUIDACION DE UTILIDADES    -  MONTAJES INDUSTRIALES M.T.M.  LTDA</t>
  </si>
  <si>
    <t>LIQUIDACION DE UTILIDADES    -  SERINCI S.A.S.</t>
  </si>
  <si>
    <t>LIQUIDACION DE UTILIDADES    -  COSMO COMPAÑÍA</t>
  </si>
  <si>
    <t>LIQUIDACION DE UTILIDADES    -  ACUEDUCTOS DEL SUR S.A.S.</t>
  </si>
  <si>
    <t>LIQUIDACION DE UTILIDADES    - INGENIERIA DE MONTAJES Y MAQUINADOS</t>
  </si>
  <si>
    <t>LIQUIDACION DE UTILIDADES    - INGENIERIA Y MECANIZADO</t>
  </si>
  <si>
    <t>LIQUIDACION DE UTILIDADES    -  SIDELVA S.A.S.</t>
  </si>
  <si>
    <t>LIQUIDACION DE UTILIDADES    -  INSTRUCALD S.A.S.</t>
  </si>
  <si>
    <t>LIQUIDACION DE UTILIDADES    -  DICAV MECANIZADOS S.A.S.</t>
  </si>
  <si>
    <t>LIQUIDACION DE UTILIDADES    -  LABORATORIO VITTAL S.A.S.</t>
  </si>
  <si>
    <t>LIQUIDACION DE UTILIDADES    -  ARTFRIGO S.A.S.</t>
  </si>
  <si>
    <t>LIQUIDACION DE UTILIDADES    -  CURTIPIELES S.A.S.</t>
  </si>
  <si>
    <t>LIQUIDACION DE UTILIDADES    -  MONTAJES SANTACRUZ  LTDA</t>
  </si>
  <si>
    <t>LIQUIDACION DE UTILIDADES    -  OCCIDENTAL DE PLASTICOS S.A.S.</t>
  </si>
  <si>
    <t>LIQUIDACION DE UTILIDADES    -  SERGECTEC S.A.S.</t>
  </si>
  <si>
    <t>LIQUIDACION DE UTILIDADES    -  CAMPOFRESCO ALIMENTOS S.A.S.</t>
  </si>
  <si>
    <t>LIQUIDACION DE UTILIDADES    -  INSE INGENIERIA Y SEGURIDAD S.A.S.</t>
  </si>
  <si>
    <t>LIQUIDACION DE UTILIDADES    -  D'ONE PROYECTOS DE INGENIERIA S.A.S.</t>
  </si>
  <si>
    <t>CONSTRUMARKET</t>
  </si>
  <si>
    <t>LIQUIDACION DE UTILIDADES    -  INSE INGENIERIA S.A.S.</t>
  </si>
  <si>
    <t>LIQUIDACION DE UTILIDADES    -  COSMO COMPAÑÍA S.A.S.</t>
  </si>
  <si>
    <t>PLAZA TORNILLOS</t>
  </si>
  <si>
    <t>LIQUIDACION DE UTILIDADES    -  INDUSTRIAS AMG S.A.S.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</si>
</sst>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9" tint="-0.249977111117893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2">
    <xf numFmtId="0" fontId="0" fillId="0" borderId="0"/>
    <xf numFmtId="42" fontId="1" fillId="0" borderId="0" applyFont="0" applyFill="0" applyBorder="0" applyAlignment="0" applyProtection="0"/>
  </cellStyleXfs>
  <cellXfs count="39">
    <xf numFmtId="0" fontId="0" fillId="0" borderId="0" xfId="0"/>
    <xf numFmtId="0" fontId="3" fillId="0" borderId="0" xfId="0" applyFont="1"/>
    <xf numFmtId="0" fontId="4" fillId="0" borderId="0" xfId="0" applyFont="1"/>
    <xf numFmtId="42" fontId="0" fillId="0" borderId="0" xfId="1" applyFont="1"/>
    <xf numFmtId="42" fontId="5" fillId="0" borderId="0" xfId="1" applyFont="1"/>
    <xf numFmtId="0" fontId="5" fillId="0" borderId="0" xfId="0" applyFont="1"/>
    <xf numFmtId="42" fontId="0" fillId="0" borderId="0" xfId="0" applyNumberFormat="1"/>
    <xf numFmtId="0" fontId="0" fillId="0" borderId="1" xfId="0" applyBorder="1"/>
    <xf numFmtId="42" fontId="6" fillId="0" borderId="0" xfId="0" applyNumberFormat="1" applyFont="1"/>
    <xf numFmtId="0" fontId="0" fillId="0" borderId="0" xfId="0" applyAlignment="1">
      <alignment horizontal="right"/>
    </xf>
    <xf numFmtId="42" fontId="6" fillId="0" borderId="0" xfId="1" applyFont="1"/>
    <xf numFmtId="42" fontId="7" fillId="0" borderId="0" xfId="1" applyFont="1"/>
    <xf numFmtId="0" fontId="4" fillId="0" borderId="0" xfId="0" applyFont="1" applyAlignment="1">
      <alignment horizontal="center"/>
    </xf>
    <xf numFmtId="0" fontId="2" fillId="0" borderId="0" xfId="0" applyFont="1"/>
    <xf numFmtId="0" fontId="8" fillId="0" borderId="0" xfId="0" applyFont="1"/>
    <xf numFmtId="0" fontId="8" fillId="0" borderId="0" xfId="0" applyFont="1" applyAlignment="1">
      <alignment horizontal="right"/>
    </xf>
    <xf numFmtId="9" fontId="8" fillId="0" borderId="0" xfId="0" applyNumberFormat="1" applyFont="1"/>
    <xf numFmtId="42" fontId="0" fillId="0" borderId="1" xfId="1" applyFont="1" applyBorder="1"/>
    <xf numFmtId="0" fontId="9" fillId="0" borderId="0" xfId="0" applyFont="1"/>
    <xf numFmtId="42" fontId="10" fillId="0" borderId="0" xfId="1" applyFont="1"/>
    <xf numFmtId="42" fontId="11" fillId="0" borderId="0" xfId="1" applyFont="1"/>
    <xf numFmtId="42" fontId="8" fillId="0" borderId="0" xfId="1" applyFont="1"/>
    <xf numFmtId="0" fontId="0" fillId="0" borderId="0" xfId="0" applyAlignment="1">
      <alignment horizontal="center"/>
    </xf>
    <xf numFmtId="42" fontId="5" fillId="0" borderId="1" xfId="1" applyFont="1" applyBorder="1"/>
    <xf numFmtId="42" fontId="12" fillId="0" borderId="0" xfId="1" applyFont="1"/>
    <xf numFmtId="0" fontId="2" fillId="0" borderId="0" xfId="0" applyFont="1" applyAlignment="1">
      <alignment horizontal="right"/>
    </xf>
    <xf numFmtId="0" fontId="8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42" fontId="0" fillId="0" borderId="0" xfId="1" applyFont="1" applyAlignment="1">
      <alignment horizontal="center"/>
    </xf>
    <xf numFmtId="42" fontId="5" fillId="0" borderId="0" xfId="1" applyFont="1" applyBorder="1"/>
    <xf numFmtId="42" fontId="5" fillId="0" borderId="0" xfId="1" applyFont="1" applyFill="1" applyBorder="1"/>
    <xf numFmtId="14" fontId="2" fillId="0" borderId="0" xfId="0" applyNumberFormat="1" applyFont="1" applyAlignment="1">
      <alignment horizontal="center"/>
    </xf>
    <xf numFmtId="42" fontId="5" fillId="0" borderId="0" xfId="0" applyNumberFormat="1" applyFont="1"/>
    <xf numFmtId="0" fontId="0" fillId="0" borderId="2" xfId="0" applyBorder="1"/>
    <xf numFmtId="42" fontId="5" fillId="0" borderId="2" xfId="1" applyFont="1" applyBorder="1"/>
    <xf numFmtId="42" fontId="5" fillId="0" borderId="0" xfId="1" quotePrefix="1" applyFont="1" applyFill="1" applyBorder="1"/>
    <xf numFmtId="42" fontId="0" fillId="0" borderId="0" xfId="1" applyFont="1" applyBorder="1"/>
    <xf numFmtId="9" fontId="0" fillId="0" borderId="0" xfId="0" applyNumberFormat="1"/>
  </cellXfs>
  <cellStyles count="2"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99" Type="http://schemas.openxmlformats.org/officeDocument/2006/relationships/worksheet" Target="worksheets/sheet299.xml"/><Relationship Id="rId21" Type="http://schemas.openxmlformats.org/officeDocument/2006/relationships/worksheet" Target="worksheets/sheet21.xml"/><Relationship Id="rId63" Type="http://schemas.openxmlformats.org/officeDocument/2006/relationships/worksheet" Target="worksheets/sheet63.xml"/><Relationship Id="rId159" Type="http://schemas.openxmlformats.org/officeDocument/2006/relationships/worksheet" Target="worksheets/sheet159.xml"/><Relationship Id="rId324" Type="http://schemas.openxmlformats.org/officeDocument/2006/relationships/worksheet" Target="worksheets/sheet324.xml"/><Relationship Id="rId366" Type="http://schemas.openxmlformats.org/officeDocument/2006/relationships/worksheet" Target="worksheets/sheet366.xml"/><Relationship Id="rId170" Type="http://schemas.openxmlformats.org/officeDocument/2006/relationships/worksheet" Target="worksheets/sheet170.xml"/><Relationship Id="rId226" Type="http://schemas.openxmlformats.org/officeDocument/2006/relationships/worksheet" Target="worksheets/sheet226.xml"/><Relationship Id="rId268" Type="http://schemas.openxmlformats.org/officeDocument/2006/relationships/worksheet" Target="worksheets/sheet268.xml"/><Relationship Id="rId32" Type="http://schemas.openxmlformats.org/officeDocument/2006/relationships/worksheet" Target="worksheets/sheet32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335" Type="http://schemas.openxmlformats.org/officeDocument/2006/relationships/worksheet" Target="worksheets/sheet335.xml"/><Relationship Id="rId377" Type="http://schemas.openxmlformats.org/officeDocument/2006/relationships/worksheet" Target="worksheets/sheet377.xml"/><Relationship Id="rId5" Type="http://schemas.openxmlformats.org/officeDocument/2006/relationships/worksheet" Target="worksheets/sheet5.xml"/><Relationship Id="rId181" Type="http://schemas.openxmlformats.org/officeDocument/2006/relationships/worksheet" Target="worksheets/sheet181.xml"/><Relationship Id="rId237" Type="http://schemas.openxmlformats.org/officeDocument/2006/relationships/worksheet" Target="worksheets/sheet237.xml"/><Relationship Id="rId279" Type="http://schemas.openxmlformats.org/officeDocument/2006/relationships/worksheet" Target="worksheets/sheet279.xml"/><Relationship Id="rId43" Type="http://schemas.openxmlformats.org/officeDocument/2006/relationships/worksheet" Target="worksheets/sheet43.xml"/><Relationship Id="rId139" Type="http://schemas.openxmlformats.org/officeDocument/2006/relationships/worksheet" Target="worksheets/sheet139.xml"/><Relationship Id="rId290" Type="http://schemas.openxmlformats.org/officeDocument/2006/relationships/worksheet" Target="worksheets/sheet290.xml"/><Relationship Id="rId304" Type="http://schemas.openxmlformats.org/officeDocument/2006/relationships/worksheet" Target="worksheets/sheet304.xml"/><Relationship Id="rId346" Type="http://schemas.openxmlformats.org/officeDocument/2006/relationships/worksheet" Target="worksheets/sheet346.xml"/><Relationship Id="rId388" Type="http://schemas.openxmlformats.org/officeDocument/2006/relationships/theme" Target="theme/theme1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92" Type="http://schemas.openxmlformats.org/officeDocument/2006/relationships/worksheet" Target="worksheets/sheet192.xml"/><Relationship Id="rId206" Type="http://schemas.openxmlformats.org/officeDocument/2006/relationships/worksheet" Target="worksheets/sheet206.xml"/><Relationship Id="rId248" Type="http://schemas.openxmlformats.org/officeDocument/2006/relationships/worksheet" Target="worksheets/sheet248.xml"/><Relationship Id="rId12" Type="http://schemas.openxmlformats.org/officeDocument/2006/relationships/worksheet" Target="worksheets/sheet12.xml"/><Relationship Id="rId108" Type="http://schemas.openxmlformats.org/officeDocument/2006/relationships/worksheet" Target="worksheets/sheet108.xml"/><Relationship Id="rId315" Type="http://schemas.openxmlformats.org/officeDocument/2006/relationships/worksheet" Target="worksheets/sheet315.xml"/><Relationship Id="rId357" Type="http://schemas.openxmlformats.org/officeDocument/2006/relationships/worksheet" Target="worksheets/sheet357.xml"/><Relationship Id="rId54" Type="http://schemas.openxmlformats.org/officeDocument/2006/relationships/worksheet" Target="worksheets/sheet54.xml"/><Relationship Id="rId96" Type="http://schemas.openxmlformats.org/officeDocument/2006/relationships/worksheet" Target="worksheets/sheet96.xml"/><Relationship Id="rId161" Type="http://schemas.openxmlformats.org/officeDocument/2006/relationships/worksheet" Target="worksheets/sheet161.xml"/><Relationship Id="rId217" Type="http://schemas.openxmlformats.org/officeDocument/2006/relationships/worksheet" Target="worksheets/sheet217.xml"/><Relationship Id="rId259" Type="http://schemas.openxmlformats.org/officeDocument/2006/relationships/worksheet" Target="worksheets/sheet259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270" Type="http://schemas.openxmlformats.org/officeDocument/2006/relationships/worksheet" Target="worksheets/sheet270.xml"/><Relationship Id="rId326" Type="http://schemas.openxmlformats.org/officeDocument/2006/relationships/worksheet" Target="worksheets/sheet326.xml"/><Relationship Id="rId65" Type="http://schemas.openxmlformats.org/officeDocument/2006/relationships/worksheet" Target="worksheets/sheet65.xml"/><Relationship Id="rId130" Type="http://schemas.openxmlformats.org/officeDocument/2006/relationships/worksheet" Target="worksheets/sheet130.xml"/><Relationship Id="rId368" Type="http://schemas.openxmlformats.org/officeDocument/2006/relationships/worksheet" Target="worksheets/sheet368.xml"/><Relationship Id="rId172" Type="http://schemas.openxmlformats.org/officeDocument/2006/relationships/worksheet" Target="worksheets/sheet172.xml"/><Relationship Id="rId228" Type="http://schemas.openxmlformats.org/officeDocument/2006/relationships/worksheet" Target="worksheets/sheet228.xml"/><Relationship Id="rId281" Type="http://schemas.openxmlformats.org/officeDocument/2006/relationships/worksheet" Target="worksheets/sheet281.xml"/><Relationship Id="rId337" Type="http://schemas.openxmlformats.org/officeDocument/2006/relationships/worksheet" Target="worksheets/sheet337.xml"/><Relationship Id="rId34" Type="http://schemas.openxmlformats.org/officeDocument/2006/relationships/worksheet" Target="worksheets/sheet34.xml"/><Relationship Id="rId76" Type="http://schemas.openxmlformats.org/officeDocument/2006/relationships/worksheet" Target="worksheets/sheet76.xml"/><Relationship Id="rId141" Type="http://schemas.openxmlformats.org/officeDocument/2006/relationships/worksheet" Target="worksheets/sheet141.xml"/><Relationship Id="rId379" Type="http://schemas.openxmlformats.org/officeDocument/2006/relationships/worksheet" Target="worksheets/sheet379.xml"/><Relationship Id="rId7" Type="http://schemas.openxmlformats.org/officeDocument/2006/relationships/worksheet" Target="worksheets/sheet7.xml"/><Relationship Id="rId183" Type="http://schemas.openxmlformats.org/officeDocument/2006/relationships/worksheet" Target="worksheets/sheet183.xml"/><Relationship Id="rId239" Type="http://schemas.openxmlformats.org/officeDocument/2006/relationships/worksheet" Target="worksheets/sheet239.xml"/><Relationship Id="rId390" Type="http://schemas.openxmlformats.org/officeDocument/2006/relationships/sharedStrings" Target="sharedStrings.xml"/><Relationship Id="rId250" Type="http://schemas.openxmlformats.org/officeDocument/2006/relationships/worksheet" Target="worksheets/sheet250.xml"/><Relationship Id="rId292" Type="http://schemas.openxmlformats.org/officeDocument/2006/relationships/worksheet" Target="worksheets/sheet292.xml"/><Relationship Id="rId306" Type="http://schemas.openxmlformats.org/officeDocument/2006/relationships/worksheet" Target="worksheets/sheet306.xml"/><Relationship Id="rId45" Type="http://schemas.openxmlformats.org/officeDocument/2006/relationships/worksheet" Target="worksheets/sheet45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348" Type="http://schemas.openxmlformats.org/officeDocument/2006/relationships/worksheet" Target="worksheets/sheet348.xml"/><Relationship Id="rId152" Type="http://schemas.openxmlformats.org/officeDocument/2006/relationships/worksheet" Target="worksheets/sheet152.xml"/><Relationship Id="rId194" Type="http://schemas.openxmlformats.org/officeDocument/2006/relationships/worksheet" Target="worksheets/sheet194.xml"/><Relationship Id="rId208" Type="http://schemas.openxmlformats.org/officeDocument/2006/relationships/worksheet" Target="worksheets/sheet208.xml"/><Relationship Id="rId261" Type="http://schemas.openxmlformats.org/officeDocument/2006/relationships/worksheet" Target="worksheets/sheet261.xml"/><Relationship Id="rId14" Type="http://schemas.openxmlformats.org/officeDocument/2006/relationships/worksheet" Target="worksheets/sheet14.xml"/><Relationship Id="rId56" Type="http://schemas.openxmlformats.org/officeDocument/2006/relationships/worksheet" Target="worksheets/sheet56.xml"/><Relationship Id="rId317" Type="http://schemas.openxmlformats.org/officeDocument/2006/relationships/worksheet" Target="worksheets/sheet317.xml"/><Relationship Id="rId359" Type="http://schemas.openxmlformats.org/officeDocument/2006/relationships/worksheet" Target="worksheets/sheet359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63" Type="http://schemas.openxmlformats.org/officeDocument/2006/relationships/worksheet" Target="worksheets/sheet163.xml"/><Relationship Id="rId219" Type="http://schemas.openxmlformats.org/officeDocument/2006/relationships/worksheet" Target="worksheets/sheet219.xml"/><Relationship Id="rId370" Type="http://schemas.openxmlformats.org/officeDocument/2006/relationships/worksheet" Target="worksheets/sheet370.xml"/><Relationship Id="rId230" Type="http://schemas.openxmlformats.org/officeDocument/2006/relationships/worksheet" Target="worksheets/sheet230.xml"/><Relationship Id="rId25" Type="http://schemas.openxmlformats.org/officeDocument/2006/relationships/worksheet" Target="worksheets/sheet25.xml"/><Relationship Id="rId67" Type="http://schemas.openxmlformats.org/officeDocument/2006/relationships/worksheet" Target="worksheets/sheet67.xml"/><Relationship Id="rId272" Type="http://schemas.openxmlformats.org/officeDocument/2006/relationships/worksheet" Target="worksheets/sheet272.xml"/><Relationship Id="rId328" Type="http://schemas.openxmlformats.org/officeDocument/2006/relationships/worksheet" Target="worksheets/sheet328.xml"/><Relationship Id="rId132" Type="http://schemas.openxmlformats.org/officeDocument/2006/relationships/worksheet" Target="worksheets/sheet132.xml"/><Relationship Id="rId174" Type="http://schemas.openxmlformats.org/officeDocument/2006/relationships/worksheet" Target="worksheets/sheet174.xml"/><Relationship Id="rId381" Type="http://schemas.openxmlformats.org/officeDocument/2006/relationships/worksheet" Target="worksheets/sheet381.xml"/><Relationship Id="rId241" Type="http://schemas.openxmlformats.org/officeDocument/2006/relationships/worksheet" Target="worksheets/sheet241.xml"/><Relationship Id="rId36" Type="http://schemas.openxmlformats.org/officeDocument/2006/relationships/worksheet" Target="worksheets/sheet36.xml"/><Relationship Id="rId283" Type="http://schemas.openxmlformats.org/officeDocument/2006/relationships/worksheet" Target="worksheets/sheet283.xml"/><Relationship Id="rId339" Type="http://schemas.openxmlformats.org/officeDocument/2006/relationships/worksheet" Target="worksheets/sheet339.xml"/><Relationship Id="rId78" Type="http://schemas.openxmlformats.org/officeDocument/2006/relationships/worksheet" Target="worksheets/sheet78.xml"/><Relationship Id="rId101" Type="http://schemas.openxmlformats.org/officeDocument/2006/relationships/worksheet" Target="worksheets/sheet101.xml"/><Relationship Id="rId143" Type="http://schemas.openxmlformats.org/officeDocument/2006/relationships/worksheet" Target="worksheets/sheet143.xml"/><Relationship Id="rId185" Type="http://schemas.openxmlformats.org/officeDocument/2006/relationships/worksheet" Target="worksheets/sheet185.xml"/><Relationship Id="rId350" Type="http://schemas.openxmlformats.org/officeDocument/2006/relationships/worksheet" Target="worksheets/sheet350.xml"/><Relationship Id="rId9" Type="http://schemas.openxmlformats.org/officeDocument/2006/relationships/worksheet" Target="worksheets/sheet9.xml"/><Relationship Id="rId210" Type="http://schemas.openxmlformats.org/officeDocument/2006/relationships/worksheet" Target="worksheets/sheet210.xml"/><Relationship Id="rId252" Type="http://schemas.openxmlformats.org/officeDocument/2006/relationships/worksheet" Target="worksheets/sheet252.xml"/><Relationship Id="rId294" Type="http://schemas.openxmlformats.org/officeDocument/2006/relationships/worksheet" Target="worksheets/sheet294.xml"/><Relationship Id="rId308" Type="http://schemas.openxmlformats.org/officeDocument/2006/relationships/worksheet" Target="worksheets/sheet308.xml"/><Relationship Id="rId47" Type="http://schemas.openxmlformats.org/officeDocument/2006/relationships/worksheet" Target="worksheets/sheet47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54" Type="http://schemas.openxmlformats.org/officeDocument/2006/relationships/worksheet" Target="worksheets/sheet154.xml"/><Relationship Id="rId361" Type="http://schemas.openxmlformats.org/officeDocument/2006/relationships/worksheet" Target="worksheets/sheet361.xml"/><Relationship Id="rId196" Type="http://schemas.openxmlformats.org/officeDocument/2006/relationships/worksheet" Target="worksheets/sheet196.xml"/><Relationship Id="rId200" Type="http://schemas.openxmlformats.org/officeDocument/2006/relationships/worksheet" Target="worksheets/sheet200.xml"/><Relationship Id="rId382" Type="http://schemas.openxmlformats.org/officeDocument/2006/relationships/worksheet" Target="worksheets/sheet382.xml"/><Relationship Id="rId16" Type="http://schemas.openxmlformats.org/officeDocument/2006/relationships/worksheet" Target="worksheets/sheet16.xml"/><Relationship Id="rId221" Type="http://schemas.openxmlformats.org/officeDocument/2006/relationships/worksheet" Target="worksheets/sheet221.xml"/><Relationship Id="rId242" Type="http://schemas.openxmlformats.org/officeDocument/2006/relationships/worksheet" Target="worksheets/sheet242.xml"/><Relationship Id="rId263" Type="http://schemas.openxmlformats.org/officeDocument/2006/relationships/worksheet" Target="worksheets/sheet263.xml"/><Relationship Id="rId284" Type="http://schemas.openxmlformats.org/officeDocument/2006/relationships/worksheet" Target="worksheets/sheet284.xml"/><Relationship Id="rId319" Type="http://schemas.openxmlformats.org/officeDocument/2006/relationships/worksheet" Target="worksheets/sheet319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330" Type="http://schemas.openxmlformats.org/officeDocument/2006/relationships/worksheet" Target="worksheets/sheet330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186" Type="http://schemas.openxmlformats.org/officeDocument/2006/relationships/worksheet" Target="worksheets/sheet186.xml"/><Relationship Id="rId351" Type="http://schemas.openxmlformats.org/officeDocument/2006/relationships/worksheet" Target="worksheets/sheet351.xml"/><Relationship Id="rId372" Type="http://schemas.openxmlformats.org/officeDocument/2006/relationships/worksheet" Target="worksheets/sheet372.xml"/><Relationship Id="rId211" Type="http://schemas.openxmlformats.org/officeDocument/2006/relationships/worksheet" Target="worksheets/sheet211.xml"/><Relationship Id="rId232" Type="http://schemas.openxmlformats.org/officeDocument/2006/relationships/worksheet" Target="worksheets/sheet232.xml"/><Relationship Id="rId253" Type="http://schemas.openxmlformats.org/officeDocument/2006/relationships/worksheet" Target="worksheets/sheet253.xml"/><Relationship Id="rId274" Type="http://schemas.openxmlformats.org/officeDocument/2006/relationships/worksheet" Target="worksheets/sheet274.xml"/><Relationship Id="rId295" Type="http://schemas.openxmlformats.org/officeDocument/2006/relationships/worksheet" Target="worksheets/sheet295.xml"/><Relationship Id="rId309" Type="http://schemas.openxmlformats.org/officeDocument/2006/relationships/worksheet" Target="worksheets/sheet309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320" Type="http://schemas.openxmlformats.org/officeDocument/2006/relationships/worksheet" Target="worksheets/sheet320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97" Type="http://schemas.openxmlformats.org/officeDocument/2006/relationships/worksheet" Target="worksheets/sheet197.xml"/><Relationship Id="rId341" Type="http://schemas.openxmlformats.org/officeDocument/2006/relationships/worksheet" Target="worksheets/sheet341.xml"/><Relationship Id="rId362" Type="http://schemas.openxmlformats.org/officeDocument/2006/relationships/worksheet" Target="worksheets/sheet362.xml"/><Relationship Id="rId383" Type="http://schemas.openxmlformats.org/officeDocument/2006/relationships/worksheet" Target="worksheets/sheet383.xml"/><Relationship Id="rId201" Type="http://schemas.openxmlformats.org/officeDocument/2006/relationships/worksheet" Target="worksheets/sheet201.xml"/><Relationship Id="rId222" Type="http://schemas.openxmlformats.org/officeDocument/2006/relationships/worksheet" Target="worksheets/sheet222.xml"/><Relationship Id="rId243" Type="http://schemas.openxmlformats.org/officeDocument/2006/relationships/worksheet" Target="worksheets/sheet243.xml"/><Relationship Id="rId264" Type="http://schemas.openxmlformats.org/officeDocument/2006/relationships/worksheet" Target="worksheets/sheet264.xml"/><Relationship Id="rId285" Type="http://schemas.openxmlformats.org/officeDocument/2006/relationships/worksheet" Target="worksheets/sheet285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310" Type="http://schemas.openxmlformats.org/officeDocument/2006/relationships/worksheet" Target="worksheets/sheet310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87" Type="http://schemas.openxmlformats.org/officeDocument/2006/relationships/worksheet" Target="worksheets/sheet187.xml"/><Relationship Id="rId331" Type="http://schemas.openxmlformats.org/officeDocument/2006/relationships/worksheet" Target="worksheets/sheet331.xml"/><Relationship Id="rId352" Type="http://schemas.openxmlformats.org/officeDocument/2006/relationships/worksheet" Target="worksheets/sheet352.xml"/><Relationship Id="rId373" Type="http://schemas.openxmlformats.org/officeDocument/2006/relationships/worksheet" Target="worksheets/sheet373.xml"/><Relationship Id="rId1" Type="http://schemas.openxmlformats.org/officeDocument/2006/relationships/worksheet" Target="worksheets/sheet1.xml"/><Relationship Id="rId212" Type="http://schemas.openxmlformats.org/officeDocument/2006/relationships/worksheet" Target="worksheets/sheet212.xml"/><Relationship Id="rId233" Type="http://schemas.openxmlformats.org/officeDocument/2006/relationships/worksheet" Target="worksheets/sheet233.xml"/><Relationship Id="rId254" Type="http://schemas.openxmlformats.org/officeDocument/2006/relationships/worksheet" Target="worksheets/sheet254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275" Type="http://schemas.openxmlformats.org/officeDocument/2006/relationships/worksheet" Target="worksheets/sheet275.xml"/><Relationship Id="rId296" Type="http://schemas.openxmlformats.org/officeDocument/2006/relationships/worksheet" Target="worksheets/sheet296.xml"/><Relationship Id="rId300" Type="http://schemas.openxmlformats.org/officeDocument/2006/relationships/worksheet" Target="worksheets/sheet300.xml"/><Relationship Id="rId60" Type="http://schemas.openxmlformats.org/officeDocument/2006/relationships/worksheet" Target="worksheets/sheet60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98" Type="http://schemas.openxmlformats.org/officeDocument/2006/relationships/worksheet" Target="worksheets/sheet198.xml"/><Relationship Id="rId321" Type="http://schemas.openxmlformats.org/officeDocument/2006/relationships/worksheet" Target="worksheets/sheet321.xml"/><Relationship Id="rId342" Type="http://schemas.openxmlformats.org/officeDocument/2006/relationships/worksheet" Target="worksheets/sheet342.xml"/><Relationship Id="rId363" Type="http://schemas.openxmlformats.org/officeDocument/2006/relationships/worksheet" Target="worksheets/sheet363.xml"/><Relationship Id="rId384" Type="http://schemas.openxmlformats.org/officeDocument/2006/relationships/worksheet" Target="worksheets/sheet384.xml"/><Relationship Id="rId202" Type="http://schemas.openxmlformats.org/officeDocument/2006/relationships/worksheet" Target="worksheets/sheet202.xml"/><Relationship Id="rId223" Type="http://schemas.openxmlformats.org/officeDocument/2006/relationships/worksheet" Target="worksheets/sheet223.xml"/><Relationship Id="rId244" Type="http://schemas.openxmlformats.org/officeDocument/2006/relationships/worksheet" Target="worksheets/sheet244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265" Type="http://schemas.openxmlformats.org/officeDocument/2006/relationships/worksheet" Target="worksheets/sheet265.xml"/><Relationship Id="rId286" Type="http://schemas.openxmlformats.org/officeDocument/2006/relationships/worksheet" Target="worksheets/sheet286.xml"/><Relationship Id="rId50" Type="http://schemas.openxmlformats.org/officeDocument/2006/relationships/worksheet" Target="worksheets/sheet50.xml"/><Relationship Id="rId104" Type="http://schemas.openxmlformats.org/officeDocument/2006/relationships/worksheet" Target="worksheets/sheet104.xml"/><Relationship Id="rId125" Type="http://schemas.openxmlformats.org/officeDocument/2006/relationships/worksheet" Target="worksheets/sheet125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worksheet" Target="worksheets/sheet188.xml"/><Relationship Id="rId311" Type="http://schemas.openxmlformats.org/officeDocument/2006/relationships/worksheet" Target="worksheets/sheet311.xml"/><Relationship Id="rId332" Type="http://schemas.openxmlformats.org/officeDocument/2006/relationships/worksheet" Target="worksheets/sheet332.xml"/><Relationship Id="rId353" Type="http://schemas.openxmlformats.org/officeDocument/2006/relationships/worksheet" Target="worksheets/sheet353.xml"/><Relationship Id="rId374" Type="http://schemas.openxmlformats.org/officeDocument/2006/relationships/worksheet" Target="worksheets/sheet374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13" Type="http://schemas.openxmlformats.org/officeDocument/2006/relationships/worksheet" Target="worksheets/sheet213.xml"/><Relationship Id="rId234" Type="http://schemas.openxmlformats.org/officeDocument/2006/relationships/worksheet" Target="worksheets/sheet234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55" Type="http://schemas.openxmlformats.org/officeDocument/2006/relationships/worksheet" Target="worksheets/sheet255.xml"/><Relationship Id="rId276" Type="http://schemas.openxmlformats.org/officeDocument/2006/relationships/worksheet" Target="worksheets/sheet276.xml"/><Relationship Id="rId297" Type="http://schemas.openxmlformats.org/officeDocument/2006/relationships/worksheet" Target="worksheets/sheet297.xml"/><Relationship Id="rId40" Type="http://schemas.openxmlformats.org/officeDocument/2006/relationships/worksheet" Target="worksheets/sheet40.xml"/><Relationship Id="rId115" Type="http://schemas.openxmlformats.org/officeDocument/2006/relationships/worksheet" Target="worksheets/sheet115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301" Type="http://schemas.openxmlformats.org/officeDocument/2006/relationships/worksheet" Target="worksheets/sheet301.xml"/><Relationship Id="rId322" Type="http://schemas.openxmlformats.org/officeDocument/2006/relationships/worksheet" Target="worksheets/sheet322.xml"/><Relationship Id="rId343" Type="http://schemas.openxmlformats.org/officeDocument/2006/relationships/worksheet" Target="worksheets/sheet343.xml"/><Relationship Id="rId364" Type="http://schemas.openxmlformats.org/officeDocument/2006/relationships/worksheet" Target="worksheets/sheet364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9" Type="http://schemas.openxmlformats.org/officeDocument/2006/relationships/worksheet" Target="worksheets/sheet199.xml"/><Relationship Id="rId203" Type="http://schemas.openxmlformats.org/officeDocument/2006/relationships/worksheet" Target="worksheets/sheet203.xml"/><Relationship Id="rId385" Type="http://schemas.openxmlformats.org/officeDocument/2006/relationships/worksheet" Target="worksheets/sheet385.xml"/><Relationship Id="rId19" Type="http://schemas.openxmlformats.org/officeDocument/2006/relationships/worksheet" Target="worksheets/sheet19.xml"/><Relationship Id="rId224" Type="http://schemas.openxmlformats.org/officeDocument/2006/relationships/worksheet" Target="worksheets/sheet224.xml"/><Relationship Id="rId245" Type="http://schemas.openxmlformats.org/officeDocument/2006/relationships/worksheet" Target="worksheets/sheet245.xml"/><Relationship Id="rId266" Type="http://schemas.openxmlformats.org/officeDocument/2006/relationships/worksheet" Target="worksheets/sheet266.xml"/><Relationship Id="rId287" Type="http://schemas.openxmlformats.org/officeDocument/2006/relationships/worksheet" Target="worksheets/sheet287.xml"/><Relationship Id="rId30" Type="http://schemas.openxmlformats.org/officeDocument/2006/relationships/worksheet" Target="worksheets/sheet3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312" Type="http://schemas.openxmlformats.org/officeDocument/2006/relationships/worksheet" Target="worksheets/sheet312.xml"/><Relationship Id="rId333" Type="http://schemas.openxmlformats.org/officeDocument/2006/relationships/worksheet" Target="worksheets/sheet333.xml"/><Relationship Id="rId354" Type="http://schemas.openxmlformats.org/officeDocument/2006/relationships/worksheet" Target="worksheets/sheet354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189" Type="http://schemas.openxmlformats.org/officeDocument/2006/relationships/worksheet" Target="worksheets/sheet189.xml"/><Relationship Id="rId375" Type="http://schemas.openxmlformats.org/officeDocument/2006/relationships/worksheet" Target="worksheets/sheet375.xml"/><Relationship Id="rId3" Type="http://schemas.openxmlformats.org/officeDocument/2006/relationships/worksheet" Target="worksheets/sheet3.xml"/><Relationship Id="rId214" Type="http://schemas.openxmlformats.org/officeDocument/2006/relationships/worksheet" Target="worksheets/sheet214.xml"/><Relationship Id="rId235" Type="http://schemas.openxmlformats.org/officeDocument/2006/relationships/worksheet" Target="worksheets/sheet235.xml"/><Relationship Id="rId256" Type="http://schemas.openxmlformats.org/officeDocument/2006/relationships/worksheet" Target="worksheets/sheet256.xml"/><Relationship Id="rId277" Type="http://schemas.openxmlformats.org/officeDocument/2006/relationships/worksheet" Target="worksheets/sheet277.xml"/><Relationship Id="rId298" Type="http://schemas.openxmlformats.org/officeDocument/2006/relationships/worksheet" Target="worksheets/sheet298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302" Type="http://schemas.openxmlformats.org/officeDocument/2006/relationships/worksheet" Target="worksheets/sheet302.xml"/><Relationship Id="rId323" Type="http://schemas.openxmlformats.org/officeDocument/2006/relationships/worksheet" Target="worksheets/sheet323.xml"/><Relationship Id="rId344" Type="http://schemas.openxmlformats.org/officeDocument/2006/relationships/worksheet" Target="worksheets/sheet344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179" Type="http://schemas.openxmlformats.org/officeDocument/2006/relationships/worksheet" Target="worksheets/sheet179.xml"/><Relationship Id="rId365" Type="http://schemas.openxmlformats.org/officeDocument/2006/relationships/worksheet" Target="worksheets/sheet365.xml"/><Relationship Id="rId386" Type="http://schemas.openxmlformats.org/officeDocument/2006/relationships/worksheet" Target="worksheets/sheet386.xml"/><Relationship Id="rId190" Type="http://schemas.openxmlformats.org/officeDocument/2006/relationships/worksheet" Target="worksheets/sheet190.xml"/><Relationship Id="rId204" Type="http://schemas.openxmlformats.org/officeDocument/2006/relationships/worksheet" Target="worksheets/sheet204.xml"/><Relationship Id="rId225" Type="http://schemas.openxmlformats.org/officeDocument/2006/relationships/worksheet" Target="worksheets/sheet225.xml"/><Relationship Id="rId246" Type="http://schemas.openxmlformats.org/officeDocument/2006/relationships/worksheet" Target="worksheets/sheet246.xml"/><Relationship Id="rId267" Type="http://schemas.openxmlformats.org/officeDocument/2006/relationships/worksheet" Target="worksheets/sheet267.xml"/><Relationship Id="rId288" Type="http://schemas.openxmlformats.org/officeDocument/2006/relationships/worksheet" Target="worksheets/sheet288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313" Type="http://schemas.openxmlformats.org/officeDocument/2006/relationships/worksheet" Target="worksheets/sheet313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94" Type="http://schemas.openxmlformats.org/officeDocument/2006/relationships/worksheet" Target="worksheets/sheet94.xml"/><Relationship Id="rId148" Type="http://schemas.openxmlformats.org/officeDocument/2006/relationships/worksheet" Target="worksheets/sheet148.xml"/><Relationship Id="rId169" Type="http://schemas.openxmlformats.org/officeDocument/2006/relationships/worksheet" Target="worksheets/sheet169.xml"/><Relationship Id="rId334" Type="http://schemas.openxmlformats.org/officeDocument/2006/relationships/worksheet" Target="worksheets/sheet334.xml"/><Relationship Id="rId355" Type="http://schemas.openxmlformats.org/officeDocument/2006/relationships/worksheet" Target="worksheets/sheet355.xml"/><Relationship Id="rId376" Type="http://schemas.openxmlformats.org/officeDocument/2006/relationships/worksheet" Target="worksheets/sheet376.xml"/><Relationship Id="rId4" Type="http://schemas.openxmlformats.org/officeDocument/2006/relationships/worksheet" Target="worksheets/sheet4.xml"/><Relationship Id="rId180" Type="http://schemas.openxmlformats.org/officeDocument/2006/relationships/worksheet" Target="worksheets/sheet180.xml"/><Relationship Id="rId215" Type="http://schemas.openxmlformats.org/officeDocument/2006/relationships/worksheet" Target="worksheets/sheet215.xml"/><Relationship Id="rId236" Type="http://schemas.openxmlformats.org/officeDocument/2006/relationships/worksheet" Target="worksheets/sheet236.xml"/><Relationship Id="rId257" Type="http://schemas.openxmlformats.org/officeDocument/2006/relationships/worksheet" Target="worksheets/sheet257.xml"/><Relationship Id="rId278" Type="http://schemas.openxmlformats.org/officeDocument/2006/relationships/worksheet" Target="worksheets/sheet278.xml"/><Relationship Id="rId303" Type="http://schemas.openxmlformats.org/officeDocument/2006/relationships/worksheet" Target="worksheets/sheet303.xml"/><Relationship Id="rId42" Type="http://schemas.openxmlformats.org/officeDocument/2006/relationships/worksheet" Target="worksheets/sheet42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345" Type="http://schemas.openxmlformats.org/officeDocument/2006/relationships/worksheet" Target="worksheets/sheet345.xml"/><Relationship Id="rId387" Type="http://schemas.openxmlformats.org/officeDocument/2006/relationships/worksheet" Target="worksheets/sheet387.xml"/><Relationship Id="rId191" Type="http://schemas.openxmlformats.org/officeDocument/2006/relationships/worksheet" Target="worksheets/sheet191.xml"/><Relationship Id="rId205" Type="http://schemas.openxmlformats.org/officeDocument/2006/relationships/worksheet" Target="worksheets/sheet205.xml"/><Relationship Id="rId247" Type="http://schemas.openxmlformats.org/officeDocument/2006/relationships/worksheet" Target="worksheets/sheet247.xml"/><Relationship Id="rId107" Type="http://schemas.openxmlformats.org/officeDocument/2006/relationships/worksheet" Target="worksheets/sheet107.xml"/><Relationship Id="rId289" Type="http://schemas.openxmlformats.org/officeDocument/2006/relationships/worksheet" Target="worksheets/sheet289.xml"/><Relationship Id="rId11" Type="http://schemas.openxmlformats.org/officeDocument/2006/relationships/worksheet" Target="worksheets/sheet11.xml"/><Relationship Id="rId53" Type="http://schemas.openxmlformats.org/officeDocument/2006/relationships/worksheet" Target="worksheets/sheet53.xml"/><Relationship Id="rId149" Type="http://schemas.openxmlformats.org/officeDocument/2006/relationships/worksheet" Target="worksheets/sheet149.xml"/><Relationship Id="rId314" Type="http://schemas.openxmlformats.org/officeDocument/2006/relationships/worksheet" Target="worksheets/sheet314.xml"/><Relationship Id="rId356" Type="http://schemas.openxmlformats.org/officeDocument/2006/relationships/worksheet" Target="worksheets/sheet356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16" Type="http://schemas.openxmlformats.org/officeDocument/2006/relationships/worksheet" Target="worksheets/sheet216.xml"/><Relationship Id="rId258" Type="http://schemas.openxmlformats.org/officeDocument/2006/relationships/worksheet" Target="worksheets/sheet258.xml"/><Relationship Id="rId22" Type="http://schemas.openxmlformats.org/officeDocument/2006/relationships/worksheet" Target="worksheets/sheet22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325" Type="http://schemas.openxmlformats.org/officeDocument/2006/relationships/worksheet" Target="worksheets/sheet325.xml"/><Relationship Id="rId367" Type="http://schemas.openxmlformats.org/officeDocument/2006/relationships/worksheet" Target="worksheets/sheet367.xml"/><Relationship Id="rId171" Type="http://schemas.openxmlformats.org/officeDocument/2006/relationships/worksheet" Target="worksheets/sheet171.xml"/><Relationship Id="rId227" Type="http://schemas.openxmlformats.org/officeDocument/2006/relationships/worksheet" Target="worksheets/sheet227.xml"/><Relationship Id="rId269" Type="http://schemas.openxmlformats.org/officeDocument/2006/relationships/worksheet" Target="worksheets/sheet269.xml"/><Relationship Id="rId33" Type="http://schemas.openxmlformats.org/officeDocument/2006/relationships/worksheet" Target="worksheets/sheet33.xml"/><Relationship Id="rId129" Type="http://schemas.openxmlformats.org/officeDocument/2006/relationships/worksheet" Target="worksheets/sheet129.xml"/><Relationship Id="rId280" Type="http://schemas.openxmlformats.org/officeDocument/2006/relationships/worksheet" Target="worksheets/sheet280.xml"/><Relationship Id="rId336" Type="http://schemas.openxmlformats.org/officeDocument/2006/relationships/worksheet" Target="worksheets/sheet336.xml"/><Relationship Id="rId75" Type="http://schemas.openxmlformats.org/officeDocument/2006/relationships/worksheet" Target="worksheets/sheet75.xml"/><Relationship Id="rId140" Type="http://schemas.openxmlformats.org/officeDocument/2006/relationships/worksheet" Target="worksheets/sheet140.xml"/><Relationship Id="rId182" Type="http://schemas.openxmlformats.org/officeDocument/2006/relationships/worksheet" Target="worksheets/sheet182.xml"/><Relationship Id="rId378" Type="http://schemas.openxmlformats.org/officeDocument/2006/relationships/worksheet" Target="worksheets/sheet378.xml"/><Relationship Id="rId6" Type="http://schemas.openxmlformats.org/officeDocument/2006/relationships/worksheet" Target="worksheets/sheet6.xml"/><Relationship Id="rId238" Type="http://schemas.openxmlformats.org/officeDocument/2006/relationships/worksheet" Target="worksheets/sheet238.xml"/><Relationship Id="rId291" Type="http://schemas.openxmlformats.org/officeDocument/2006/relationships/worksheet" Target="worksheets/sheet291.xml"/><Relationship Id="rId305" Type="http://schemas.openxmlformats.org/officeDocument/2006/relationships/worksheet" Target="worksheets/sheet305.xml"/><Relationship Id="rId347" Type="http://schemas.openxmlformats.org/officeDocument/2006/relationships/worksheet" Target="worksheets/sheet347.xml"/><Relationship Id="rId44" Type="http://schemas.openxmlformats.org/officeDocument/2006/relationships/worksheet" Target="worksheets/sheet44.xml"/><Relationship Id="rId86" Type="http://schemas.openxmlformats.org/officeDocument/2006/relationships/worksheet" Target="worksheets/sheet86.xml"/><Relationship Id="rId151" Type="http://schemas.openxmlformats.org/officeDocument/2006/relationships/worksheet" Target="worksheets/sheet151.xml"/><Relationship Id="rId389" Type="http://schemas.openxmlformats.org/officeDocument/2006/relationships/styles" Target="styles.xml"/><Relationship Id="rId193" Type="http://schemas.openxmlformats.org/officeDocument/2006/relationships/worksheet" Target="worksheets/sheet193.xml"/><Relationship Id="rId207" Type="http://schemas.openxmlformats.org/officeDocument/2006/relationships/worksheet" Target="worksheets/sheet207.xml"/><Relationship Id="rId249" Type="http://schemas.openxmlformats.org/officeDocument/2006/relationships/worksheet" Target="worksheets/sheet249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260" Type="http://schemas.openxmlformats.org/officeDocument/2006/relationships/worksheet" Target="worksheets/sheet260.xml"/><Relationship Id="rId316" Type="http://schemas.openxmlformats.org/officeDocument/2006/relationships/worksheet" Target="worksheets/sheet316.xml"/><Relationship Id="rId55" Type="http://schemas.openxmlformats.org/officeDocument/2006/relationships/worksheet" Target="worksheets/sheet55.xml"/><Relationship Id="rId97" Type="http://schemas.openxmlformats.org/officeDocument/2006/relationships/worksheet" Target="worksheets/sheet97.xml"/><Relationship Id="rId120" Type="http://schemas.openxmlformats.org/officeDocument/2006/relationships/worksheet" Target="worksheets/sheet120.xml"/><Relationship Id="rId358" Type="http://schemas.openxmlformats.org/officeDocument/2006/relationships/worksheet" Target="worksheets/sheet358.xml"/><Relationship Id="rId162" Type="http://schemas.openxmlformats.org/officeDocument/2006/relationships/worksheet" Target="worksheets/sheet162.xml"/><Relationship Id="rId218" Type="http://schemas.openxmlformats.org/officeDocument/2006/relationships/worksheet" Target="worksheets/sheet218.xml"/><Relationship Id="rId271" Type="http://schemas.openxmlformats.org/officeDocument/2006/relationships/worksheet" Target="worksheets/sheet271.xml"/><Relationship Id="rId24" Type="http://schemas.openxmlformats.org/officeDocument/2006/relationships/worksheet" Target="worksheets/sheet24.xml"/><Relationship Id="rId66" Type="http://schemas.openxmlformats.org/officeDocument/2006/relationships/worksheet" Target="worksheets/sheet66.xml"/><Relationship Id="rId131" Type="http://schemas.openxmlformats.org/officeDocument/2006/relationships/worksheet" Target="worksheets/sheet131.xml"/><Relationship Id="rId327" Type="http://schemas.openxmlformats.org/officeDocument/2006/relationships/worksheet" Target="worksheets/sheet327.xml"/><Relationship Id="rId369" Type="http://schemas.openxmlformats.org/officeDocument/2006/relationships/worksheet" Target="worksheets/sheet369.xml"/><Relationship Id="rId173" Type="http://schemas.openxmlformats.org/officeDocument/2006/relationships/worksheet" Target="worksheets/sheet173.xml"/><Relationship Id="rId229" Type="http://schemas.openxmlformats.org/officeDocument/2006/relationships/worksheet" Target="worksheets/sheet229.xml"/><Relationship Id="rId380" Type="http://schemas.openxmlformats.org/officeDocument/2006/relationships/worksheet" Target="worksheets/sheet380.xml"/><Relationship Id="rId240" Type="http://schemas.openxmlformats.org/officeDocument/2006/relationships/worksheet" Target="worksheets/sheet240.xml"/><Relationship Id="rId35" Type="http://schemas.openxmlformats.org/officeDocument/2006/relationships/worksheet" Target="worksheets/sheet35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282" Type="http://schemas.openxmlformats.org/officeDocument/2006/relationships/worksheet" Target="worksheets/sheet282.xml"/><Relationship Id="rId338" Type="http://schemas.openxmlformats.org/officeDocument/2006/relationships/worksheet" Target="worksheets/sheet338.xml"/><Relationship Id="rId8" Type="http://schemas.openxmlformats.org/officeDocument/2006/relationships/worksheet" Target="worksheets/sheet8.xml"/><Relationship Id="rId142" Type="http://schemas.openxmlformats.org/officeDocument/2006/relationships/worksheet" Target="worksheets/sheet142.xml"/><Relationship Id="rId184" Type="http://schemas.openxmlformats.org/officeDocument/2006/relationships/worksheet" Target="worksheets/sheet184.xml"/><Relationship Id="rId391" Type="http://schemas.openxmlformats.org/officeDocument/2006/relationships/calcChain" Target="calcChain.xml"/><Relationship Id="rId251" Type="http://schemas.openxmlformats.org/officeDocument/2006/relationships/worksheet" Target="worksheets/sheet251.xml"/><Relationship Id="rId46" Type="http://schemas.openxmlformats.org/officeDocument/2006/relationships/worksheet" Target="worksheets/sheet46.xml"/><Relationship Id="rId293" Type="http://schemas.openxmlformats.org/officeDocument/2006/relationships/worksheet" Target="worksheets/sheet293.xml"/><Relationship Id="rId307" Type="http://schemas.openxmlformats.org/officeDocument/2006/relationships/worksheet" Target="worksheets/sheet307.xml"/><Relationship Id="rId349" Type="http://schemas.openxmlformats.org/officeDocument/2006/relationships/worksheet" Target="worksheets/sheet349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53" Type="http://schemas.openxmlformats.org/officeDocument/2006/relationships/worksheet" Target="worksheets/sheet153.xml"/><Relationship Id="rId195" Type="http://schemas.openxmlformats.org/officeDocument/2006/relationships/worksheet" Target="worksheets/sheet195.xml"/><Relationship Id="rId209" Type="http://schemas.openxmlformats.org/officeDocument/2006/relationships/worksheet" Target="worksheets/sheet209.xml"/><Relationship Id="rId360" Type="http://schemas.openxmlformats.org/officeDocument/2006/relationships/worksheet" Target="worksheets/sheet360.xml"/><Relationship Id="rId220" Type="http://schemas.openxmlformats.org/officeDocument/2006/relationships/worksheet" Target="worksheets/sheet220.xml"/><Relationship Id="rId15" Type="http://schemas.openxmlformats.org/officeDocument/2006/relationships/worksheet" Target="worksheets/sheet15.xml"/><Relationship Id="rId57" Type="http://schemas.openxmlformats.org/officeDocument/2006/relationships/worksheet" Target="worksheets/sheet57.xml"/><Relationship Id="rId262" Type="http://schemas.openxmlformats.org/officeDocument/2006/relationships/worksheet" Target="worksheets/sheet262.xml"/><Relationship Id="rId318" Type="http://schemas.openxmlformats.org/officeDocument/2006/relationships/worksheet" Target="worksheets/sheet318.xml"/><Relationship Id="rId99" Type="http://schemas.openxmlformats.org/officeDocument/2006/relationships/worksheet" Target="worksheets/sheet99.xml"/><Relationship Id="rId122" Type="http://schemas.openxmlformats.org/officeDocument/2006/relationships/worksheet" Target="worksheets/sheet122.xml"/><Relationship Id="rId164" Type="http://schemas.openxmlformats.org/officeDocument/2006/relationships/worksheet" Target="worksheets/sheet164.xml"/><Relationship Id="rId371" Type="http://schemas.openxmlformats.org/officeDocument/2006/relationships/worksheet" Target="worksheets/sheet371.xml"/><Relationship Id="rId26" Type="http://schemas.openxmlformats.org/officeDocument/2006/relationships/worksheet" Target="worksheets/sheet26.xml"/><Relationship Id="rId231" Type="http://schemas.openxmlformats.org/officeDocument/2006/relationships/worksheet" Target="worksheets/sheet231.xml"/><Relationship Id="rId273" Type="http://schemas.openxmlformats.org/officeDocument/2006/relationships/worksheet" Target="worksheets/sheet273.xml"/><Relationship Id="rId329" Type="http://schemas.openxmlformats.org/officeDocument/2006/relationships/worksheet" Target="worksheets/sheet329.xml"/><Relationship Id="rId68" Type="http://schemas.openxmlformats.org/officeDocument/2006/relationships/worksheet" Target="worksheets/sheet68.xml"/><Relationship Id="rId133" Type="http://schemas.openxmlformats.org/officeDocument/2006/relationships/worksheet" Target="worksheets/sheet133.xml"/><Relationship Id="rId175" Type="http://schemas.openxmlformats.org/officeDocument/2006/relationships/worksheet" Target="worksheets/sheet175.xml"/><Relationship Id="rId340" Type="http://schemas.openxmlformats.org/officeDocument/2006/relationships/worksheet" Target="worksheets/sheet340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DDC37-2F3A-45E6-8830-6D4B1E2A3BF7}">
  <sheetPr>
    <pageSetUpPr fitToPage="1"/>
  </sheetPr>
  <dimension ref="A1:H32"/>
  <sheetViews>
    <sheetView topLeftCell="A19" workbookViewId="0">
      <selection activeCell="A16" sqref="A1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3.28515625" bestFit="1" customWidth="1"/>
    <col min="4" max="4" width="18" bestFit="1" customWidth="1"/>
    <col min="6" max="6" width="13" bestFit="1" customWidth="1"/>
    <col min="7" max="7" width="15.5703125" customWidth="1"/>
    <col min="8" max="8" width="16.5703125" bestFit="1" customWidth="1"/>
  </cols>
  <sheetData>
    <row r="1" spans="1:8" ht="23.25" x14ac:dyDescent="0.35">
      <c r="A1" s="1" t="s">
        <v>0</v>
      </c>
    </row>
    <row r="2" spans="1:8" ht="23.25" customHeight="1" x14ac:dyDescent="0.25"/>
    <row r="3" spans="1:8" ht="21" x14ac:dyDescent="0.35">
      <c r="A3" s="2" t="s">
        <v>1</v>
      </c>
      <c r="D3" s="11">
        <v>26480683</v>
      </c>
      <c r="F3" s="12" t="s">
        <v>3</v>
      </c>
      <c r="H3" s="11">
        <v>4228008</v>
      </c>
    </row>
    <row r="4" spans="1:8" x14ac:dyDescent="0.25">
      <c r="A4" s="13" t="s">
        <v>28</v>
      </c>
      <c r="C4" s="25">
        <v>230</v>
      </c>
    </row>
    <row r="5" spans="1:8" ht="21" x14ac:dyDescent="0.35">
      <c r="A5" s="2" t="s">
        <v>2</v>
      </c>
    </row>
    <row r="7" spans="1:8" ht="18.75" x14ac:dyDescent="0.3">
      <c r="A7" s="5" t="s">
        <v>37</v>
      </c>
      <c r="C7" s="3"/>
      <c r="D7" s="4">
        <v>5436995</v>
      </c>
      <c r="E7" s="26" t="s">
        <v>31</v>
      </c>
      <c r="H7" s="4">
        <v>892620</v>
      </c>
    </row>
    <row r="9" spans="1:8" ht="18.75" x14ac:dyDescent="0.3">
      <c r="A9" s="5" t="s">
        <v>38</v>
      </c>
      <c r="C9" s="3"/>
      <c r="D9" s="4">
        <v>3224149</v>
      </c>
      <c r="E9" s="26" t="s">
        <v>31</v>
      </c>
      <c r="H9" s="4">
        <v>514780</v>
      </c>
    </row>
    <row r="11" spans="1:8" ht="18.75" x14ac:dyDescent="0.3">
      <c r="A11" s="5" t="s">
        <v>39</v>
      </c>
      <c r="C11" s="3"/>
      <c r="D11" s="4">
        <v>177334</v>
      </c>
      <c r="E11" s="26" t="s">
        <v>31</v>
      </c>
      <c r="H11" s="4">
        <v>28314</v>
      </c>
    </row>
    <row r="13" spans="1:8" ht="18.75" x14ac:dyDescent="0.3">
      <c r="A13" s="5" t="s">
        <v>40</v>
      </c>
      <c r="C13" s="3"/>
      <c r="D13" s="4">
        <v>7568400</v>
      </c>
      <c r="E13" s="26" t="s">
        <v>31</v>
      </c>
      <c r="H13" s="4">
        <v>1208400</v>
      </c>
    </row>
    <row r="15" spans="1:8" ht="18.75" x14ac:dyDescent="0.3">
      <c r="A15" s="5" t="s">
        <v>41</v>
      </c>
      <c r="C15" s="3"/>
      <c r="D15" s="4">
        <v>374731</v>
      </c>
      <c r="E15" s="26" t="s">
        <v>31</v>
      </c>
      <c r="H15" s="4">
        <v>59831</v>
      </c>
    </row>
    <row r="16" spans="1:8" ht="15.75" thickBot="1" x14ac:dyDescent="0.3">
      <c r="D16" s="7"/>
      <c r="H16" s="7"/>
    </row>
    <row r="18" spans="1:8" ht="18.75" x14ac:dyDescent="0.3">
      <c r="C18" t="s">
        <v>4</v>
      </c>
      <c r="D18" s="4">
        <f>D3-D7-D9-D11-D13-D15</f>
        <v>9699074</v>
      </c>
      <c r="G18" t="s">
        <v>5</v>
      </c>
      <c r="H18" s="4">
        <f>H3-H7-H9-H11-H13-H15</f>
        <v>1524063</v>
      </c>
    </row>
    <row r="21" spans="1:8" ht="15.75" x14ac:dyDescent="0.25">
      <c r="A21" t="s">
        <v>6</v>
      </c>
      <c r="C21" s="8">
        <f>D18</f>
        <v>9699074</v>
      </c>
      <c r="E21" t="s">
        <v>10</v>
      </c>
      <c r="H21" s="6">
        <f>C30</f>
        <v>7069088.2680000002</v>
      </c>
    </row>
    <row r="23" spans="1:8" ht="15.75" x14ac:dyDescent="0.25">
      <c r="A23" t="s">
        <v>5</v>
      </c>
      <c r="B23" s="9" t="s">
        <v>7</v>
      </c>
      <c r="C23" s="8">
        <f>H18</f>
        <v>1524063</v>
      </c>
      <c r="E23" s="13" t="s">
        <v>11</v>
      </c>
      <c r="F23" s="9" t="s">
        <v>12</v>
      </c>
      <c r="G23" s="15" t="s">
        <v>17</v>
      </c>
      <c r="H23" s="3">
        <v>-156000</v>
      </c>
    </row>
    <row r="24" spans="1:8" x14ac:dyDescent="0.25">
      <c r="F24" s="3">
        <v>22252675</v>
      </c>
    </row>
    <row r="25" spans="1:8" ht="16.5" thickBot="1" x14ac:dyDescent="0.3">
      <c r="A25" t="s">
        <v>8</v>
      </c>
      <c r="B25" s="9" t="s">
        <v>7</v>
      </c>
      <c r="C25" s="8">
        <f>D3*0.004</f>
        <v>105922.732</v>
      </c>
      <c r="F25" s="9" t="s">
        <v>13</v>
      </c>
      <c r="G25" s="16">
        <v>0.35</v>
      </c>
      <c r="H25" s="17">
        <v>-1113000</v>
      </c>
    </row>
    <row r="26" spans="1:8" x14ac:dyDescent="0.25">
      <c r="F26" s="3">
        <v>7069088</v>
      </c>
    </row>
    <row r="27" spans="1:8" ht="15.75" x14ac:dyDescent="0.25">
      <c r="A27" t="s">
        <v>9</v>
      </c>
      <c r="B27" s="9" t="s">
        <v>7</v>
      </c>
      <c r="C27" s="10">
        <v>1000000</v>
      </c>
      <c r="G27" s="13" t="s">
        <v>14</v>
      </c>
      <c r="H27" s="6">
        <f>H21+H23+H25</f>
        <v>5800088.2680000002</v>
      </c>
    </row>
    <row r="28" spans="1:8" ht="15.75" thickBot="1" x14ac:dyDescent="0.3">
      <c r="A28" s="14" t="s">
        <v>18</v>
      </c>
      <c r="C28" s="7"/>
    </row>
    <row r="29" spans="1:8" x14ac:dyDescent="0.25">
      <c r="E29" t="s">
        <v>15</v>
      </c>
      <c r="H29" s="19">
        <f>H27*0.35</f>
        <v>2030030.8938</v>
      </c>
    </row>
    <row r="30" spans="1:8" ht="15.75" x14ac:dyDescent="0.25">
      <c r="A30" t="s">
        <v>10</v>
      </c>
      <c r="C30" s="10">
        <f>C21-C23-C25-C27</f>
        <v>7069088.2680000002</v>
      </c>
      <c r="H30" s="18"/>
    </row>
    <row r="31" spans="1:8" x14ac:dyDescent="0.25">
      <c r="E31" t="s">
        <v>16</v>
      </c>
      <c r="H31" s="19">
        <f>H27*0.2</f>
        <v>1160017.6536000001</v>
      </c>
    </row>
    <row r="32" spans="1:8" x14ac:dyDescent="0.25">
      <c r="H32" s="18"/>
    </row>
  </sheetData>
  <pageMargins left="0.70866141732283472" right="0.70866141732283472" top="0.74803149606299213" bottom="0.74803149606299213" header="0.31496062992125984" footer="0.31496062992125984"/>
  <pageSetup paperSize="9" scale="7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68FAF-6E48-4349-AB6D-BDD57D247CA0}">
  <dimension ref="A1:H32"/>
  <sheetViews>
    <sheetView topLeftCell="A16" workbookViewId="0">
      <selection activeCell="G13" sqref="G13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3.28515625" bestFit="1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20</v>
      </c>
    </row>
    <row r="3" spans="1:8" ht="21" x14ac:dyDescent="0.35">
      <c r="A3" s="2" t="s">
        <v>1</v>
      </c>
      <c r="D3" s="11">
        <v>1334704</v>
      </c>
      <c r="F3" s="12" t="s">
        <v>3</v>
      </c>
      <c r="H3" s="11">
        <v>213104</v>
      </c>
    </row>
    <row r="5" spans="1:8" ht="21" x14ac:dyDescent="0.35">
      <c r="A5" s="2" t="s">
        <v>2</v>
      </c>
    </row>
    <row r="7" spans="1:8" ht="18.75" x14ac:dyDescent="0.3">
      <c r="A7" s="5" t="s">
        <v>42</v>
      </c>
      <c r="C7" s="3"/>
      <c r="D7" s="4">
        <v>832048</v>
      </c>
      <c r="E7" s="27" t="s">
        <v>31</v>
      </c>
      <c r="H7" s="4">
        <v>132848</v>
      </c>
    </row>
    <row r="9" spans="1:8" ht="18.75" x14ac:dyDescent="0.3">
      <c r="A9" s="5"/>
      <c r="C9" s="3"/>
      <c r="D9" s="4"/>
      <c r="H9" s="4"/>
    </row>
    <row r="11" spans="1:8" ht="18.75" x14ac:dyDescent="0.3">
      <c r="A11" s="5"/>
      <c r="C11" s="3"/>
      <c r="D11" s="4"/>
      <c r="H11" s="4"/>
    </row>
    <row r="13" spans="1:8" ht="18.75" x14ac:dyDescent="0.3">
      <c r="A13" s="5"/>
      <c r="C13" s="3"/>
      <c r="D13" s="4"/>
      <c r="H13" s="4"/>
    </row>
    <row r="15" spans="1:8" ht="18.75" x14ac:dyDescent="0.3">
      <c r="A15" s="5"/>
      <c r="C15" s="3"/>
      <c r="D15" s="4"/>
      <c r="H15" s="4"/>
    </row>
    <row r="16" spans="1:8" ht="15.75" thickBot="1" x14ac:dyDescent="0.3">
      <c r="D16" s="7"/>
      <c r="H16" s="7"/>
    </row>
    <row r="18" spans="1:8" ht="18.75" x14ac:dyDescent="0.3">
      <c r="C18" t="s">
        <v>4</v>
      </c>
      <c r="D18" s="4">
        <f>D3-D7-D9-D11-D13-D15</f>
        <v>502656</v>
      </c>
      <c r="G18" t="s">
        <v>5</v>
      </c>
      <c r="H18" s="4">
        <f>H3-H7-H9-H11-H13-H15</f>
        <v>80256</v>
      </c>
    </row>
    <row r="21" spans="1:8" ht="15.75" x14ac:dyDescent="0.25">
      <c r="A21" t="s">
        <v>6</v>
      </c>
      <c r="C21" s="8">
        <f>D18</f>
        <v>502656</v>
      </c>
      <c r="E21" t="s">
        <v>10</v>
      </c>
      <c r="H21" s="6">
        <f>C30</f>
        <v>417061.18400000001</v>
      </c>
    </row>
    <row r="23" spans="1:8" ht="15.75" x14ac:dyDescent="0.25">
      <c r="A23" t="s">
        <v>5</v>
      </c>
      <c r="B23" s="9" t="s">
        <v>7</v>
      </c>
      <c r="C23" s="8">
        <f>H18</f>
        <v>80256</v>
      </c>
      <c r="E23" s="13" t="s">
        <v>11</v>
      </c>
      <c r="F23" s="9" t="s">
        <v>12</v>
      </c>
      <c r="G23" s="15" t="s">
        <v>17</v>
      </c>
      <c r="H23" s="3">
        <v>-7851</v>
      </c>
    </row>
    <row r="24" spans="1:8" x14ac:dyDescent="0.25">
      <c r="F24" s="24">
        <v>1121600</v>
      </c>
    </row>
    <row r="25" spans="1:8" ht="16.5" thickBot="1" x14ac:dyDescent="0.3">
      <c r="A25" t="s">
        <v>8</v>
      </c>
      <c r="B25" s="9" t="s">
        <v>7</v>
      </c>
      <c r="C25" s="8">
        <f>D3*0.004</f>
        <v>5338.8159999999998</v>
      </c>
      <c r="F25" s="9" t="s">
        <v>13</v>
      </c>
      <c r="G25" s="16">
        <v>0.35</v>
      </c>
      <c r="H25" s="17">
        <v>-145972</v>
      </c>
    </row>
    <row r="26" spans="1:8" x14ac:dyDescent="0.25">
      <c r="F26" s="24">
        <v>417061</v>
      </c>
    </row>
    <row r="27" spans="1:8" ht="15.75" x14ac:dyDescent="0.25">
      <c r="A27" t="s">
        <v>9</v>
      </c>
      <c r="B27" s="9" t="s">
        <v>7</v>
      </c>
      <c r="C27" s="10"/>
      <c r="G27" s="13" t="s">
        <v>14</v>
      </c>
      <c r="H27" s="6">
        <f>H21+H23+H25</f>
        <v>263238.18400000001</v>
      </c>
    </row>
    <row r="28" spans="1:8" ht="15.75" thickBot="1" x14ac:dyDescent="0.3">
      <c r="A28" s="14"/>
      <c r="C28" s="7"/>
    </row>
    <row r="29" spans="1:8" x14ac:dyDescent="0.25">
      <c r="E29" t="s">
        <v>21</v>
      </c>
      <c r="H29" s="20">
        <f>H27*0.35</f>
        <v>92133.364399999991</v>
      </c>
    </row>
    <row r="30" spans="1:8" ht="15.75" x14ac:dyDescent="0.25">
      <c r="A30" t="s">
        <v>10</v>
      </c>
      <c r="C30" s="10">
        <f>C21-C23-C25-C27</f>
        <v>417061.18400000001</v>
      </c>
      <c r="H30" s="18"/>
    </row>
    <row r="31" spans="1:8" x14ac:dyDescent="0.25">
      <c r="H31" s="3"/>
    </row>
    <row r="32" spans="1:8" x14ac:dyDescent="0.25">
      <c r="H32" s="1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EE7F8-C9B0-4EEA-8946-DD1F3E7E8D1C}">
  <dimension ref="A1:H32"/>
  <sheetViews>
    <sheetView topLeftCell="A16" workbookViewId="0">
      <selection activeCell="B17" sqref="B17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3.28515625" bestFit="1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22</v>
      </c>
    </row>
    <row r="3" spans="1:8" ht="21" x14ac:dyDescent="0.35">
      <c r="A3" s="2" t="s">
        <v>1</v>
      </c>
      <c r="D3" s="11">
        <v>1582700</v>
      </c>
      <c r="F3" s="12" t="s">
        <v>3</v>
      </c>
      <c r="H3" s="11">
        <v>252700</v>
      </c>
    </row>
    <row r="4" spans="1:8" x14ac:dyDescent="0.25">
      <c r="A4" s="13" t="s">
        <v>29</v>
      </c>
      <c r="C4" s="25">
        <v>237</v>
      </c>
    </row>
    <row r="5" spans="1:8" ht="21" x14ac:dyDescent="0.35">
      <c r="A5" s="2" t="s">
        <v>2</v>
      </c>
    </row>
    <row r="7" spans="1:8" ht="18.75" x14ac:dyDescent="0.3">
      <c r="A7" s="5" t="s">
        <v>43</v>
      </c>
      <c r="C7" s="3"/>
      <c r="D7" s="4">
        <v>1038700</v>
      </c>
      <c r="E7" s="27" t="s">
        <v>31</v>
      </c>
      <c r="H7" s="4">
        <v>165845</v>
      </c>
    </row>
    <row r="9" spans="1:8" ht="18.75" x14ac:dyDescent="0.3">
      <c r="A9" s="5"/>
      <c r="C9" s="3"/>
      <c r="D9" s="4"/>
      <c r="H9" s="4"/>
    </row>
    <row r="11" spans="1:8" ht="18.75" x14ac:dyDescent="0.3">
      <c r="A11" s="5"/>
      <c r="C11" s="3"/>
      <c r="D11" s="4"/>
      <c r="H11" s="4"/>
    </row>
    <row r="13" spans="1:8" ht="18.75" x14ac:dyDescent="0.3">
      <c r="A13" s="5"/>
      <c r="C13" s="3"/>
      <c r="D13" s="4"/>
      <c r="H13" s="4"/>
    </row>
    <row r="15" spans="1:8" ht="18.75" x14ac:dyDescent="0.3">
      <c r="A15" s="5"/>
      <c r="C15" s="3"/>
      <c r="D15" s="4"/>
      <c r="H15" s="4"/>
    </row>
    <row r="16" spans="1:8" ht="15.75" thickBot="1" x14ac:dyDescent="0.3">
      <c r="D16" s="7"/>
      <c r="H16" s="7"/>
    </row>
    <row r="18" spans="1:8" ht="18.75" x14ac:dyDescent="0.3">
      <c r="C18" t="s">
        <v>4</v>
      </c>
      <c r="D18" s="4">
        <f>D3-D7-D9-D11-D13-D15</f>
        <v>544000</v>
      </c>
      <c r="G18" t="s">
        <v>5</v>
      </c>
      <c r="H18" s="4">
        <f>H3-H7-H9-H11-H13-H15</f>
        <v>86855</v>
      </c>
    </row>
    <row r="21" spans="1:8" ht="15.75" x14ac:dyDescent="0.25">
      <c r="A21" t="s">
        <v>6</v>
      </c>
      <c r="C21" s="8">
        <f>D18</f>
        <v>544000</v>
      </c>
      <c r="E21" t="s">
        <v>10</v>
      </c>
      <c r="H21" s="6">
        <f>C30</f>
        <v>450814.2</v>
      </c>
    </row>
    <row r="23" spans="1:8" ht="15.75" x14ac:dyDescent="0.25">
      <c r="A23" t="s">
        <v>5</v>
      </c>
      <c r="B23" s="9" t="s">
        <v>7</v>
      </c>
      <c r="C23" s="8">
        <f>H18</f>
        <v>86855</v>
      </c>
      <c r="E23" s="13" t="s">
        <v>11</v>
      </c>
      <c r="F23" s="9" t="s">
        <v>12</v>
      </c>
      <c r="G23" s="15" t="s">
        <v>17</v>
      </c>
      <c r="H23" s="3">
        <v>-9310</v>
      </c>
    </row>
    <row r="24" spans="1:8" x14ac:dyDescent="0.25">
      <c r="F24" s="24">
        <v>1330000</v>
      </c>
      <c r="G24" s="22" t="s">
        <v>23</v>
      </c>
    </row>
    <row r="25" spans="1:8" ht="16.5" thickBot="1" x14ac:dyDescent="0.3">
      <c r="A25" t="s">
        <v>8</v>
      </c>
      <c r="B25" s="9" t="s">
        <v>7</v>
      </c>
      <c r="C25" s="8">
        <f>D3*0.004</f>
        <v>6330.8</v>
      </c>
      <c r="F25" s="9" t="s">
        <v>13</v>
      </c>
      <c r="G25" s="16">
        <v>0.35</v>
      </c>
      <c r="H25" s="17">
        <v>-157785</v>
      </c>
    </row>
    <row r="26" spans="1:8" x14ac:dyDescent="0.25">
      <c r="F26" s="24">
        <v>450814</v>
      </c>
    </row>
    <row r="27" spans="1:8" ht="15.75" x14ac:dyDescent="0.25">
      <c r="A27" t="s">
        <v>9</v>
      </c>
      <c r="B27" s="9" t="s">
        <v>7</v>
      </c>
      <c r="C27" s="10"/>
      <c r="G27" s="13" t="s">
        <v>14</v>
      </c>
      <c r="H27" s="6">
        <f>H21+H23+H25</f>
        <v>283719.2</v>
      </c>
    </row>
    <row r="28" spans="1:8" ht="15.75" thickBot="1" x14ac:dyDescent="0.3">
      <c r="A28" s="14"/>
      <c r="C28" s="7"/>
    </row>
    <row r="29" spans="1:8" x14ac:dyDescent="0.25">
      <c r="E29" t="s">
        <v>21</v>
      </c>
      <c r="H29" s="20">
        <f>H27*0.35</f>
        <v>99301.72</v>
      </c>
    </row>
    <row r="30" spans="1:8" ht="15.75" x14ac:dyDescent="0.25">
      <c r="A30" t="s">
        <v>10</v>
      </c>
      <c r="C30" s="10">
        <f>C21-C23-C25-C27</f>
        <v>450814.2</v>
      </c>
      <c r="H30" s="18"/>
    </row>
    <row r="31" spans="1:8" x14ac:dyDescent="0.25">
      <c r="H31" s="3"/>
    </row>
    <row r="32" spans="1:8" x14ac:dyDescent="0.25">
      <c r="H32" s="1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0C330-2887-4F7A-96B3-200886117FE8}">
  <dimension ref="A1:H33"/>
  <sheetViews>
    <sheetView topLeftCell="A16" workbookViewId="0">
      <selection activeCell="C15" sqref="C15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3.28515625" bestFit="1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24</v>
      </c>
    </row>
    <row r="3" spans="1:8" ht="21" x14ac:dyDescent="0.35">
      <c r="A3" s="2" t="s">
        <v>1</v>
      </c>
      <c r="D3" s="11">
        <v>2890629</v>
      </c>
      <c r="F3" s="12" t="s">
        <v>3</v>
      </c>
      <c r="H3" s="11">
        <v>461259</v>
      </c>
    </row>
    <row r="4" spans="1:8" x14ac:dyDescent="0.25">
      <c r="A4" s="13" t="s">
        <v>29</v>
      </c>
      <c r="C4" s="25" t="s">
        <v>30</v>
      </c>
    </row>
    <row r="5" spans="1:8" ht="21" x14ac:dyDescent="0.35">
      <c r="A5" s="2" t="s">
        <v>2</v>
      </c>
    </row>
    <row r="6" spans="1:8" ht="18.75" x14ac:dyDescent="0.3">
      <c r="A6" s="5" t="s">
        <v>44</v>
      </c>
      <c r="D6" s="4">
        <v>277984</v>
      </c>
      <c r="E6" s="27" t="s">
        <v>31</v>
      </c>
      <c r="H6" s="4">
        <v>44384</v>
      </c>
    </row>
    <row r="7" spans="1:8" ht="18.75" x14ac:dyDescent="0.3">
      <c r="A7" s="5" t="s">
        <v>25</v>
      </c>
      <c r="C7" s="3"/>
      <c r="D7" s="4">
        <v>1069720</v>
      </c>
      <c r="E7" s="27" t="s">
        <v>31</v>
      </c>
      <c r="H7" s="4">
        <v>171908</v>
      </c>
    </row>
    <row r="8" spans="1:8" ht="18.75" x14ac:dyDescent="0.3">
      <c r="A8" s="5" t="s">
        <v>45</v>
      </c>
      <c r="D8" s="4">
        <v>495016</v>
      </c>
      <c r="E8" s="27" t="s">
        <v>31</v>
      </c>
      <c r="H8" s="4">
        <v>79036</v>
      </c>
    </row>
    <row r="9" spans="1:8" ht="18.75" x14ac:dyDescent="0.3">
      <c r="A9" s="5" t="s">
        <v>46</v>
      </c>
      <c r="C9" s="3"/>
      <c r="D9" s="4">
        <v>165577</v>
      </c>
      <c r="E9" s="27" t="s">
        <v>31</v>
      </c>
      <c r="H9" s="4">
        <v>26437</v>
      </c>
    </row>
    <row r="10" spans="1:8" ht="18.75" x14ac:dyDescent="0.3">
      <c r="A10" s="5" t="s">
        <v>47</v>
      </c>
      <c r="D10" s="4">
        <v>30309</v>
      </c>
      <c r="E10" s="27" t="s">
        <v>31</v>
      </c>
      <c r="H10" s="4">
        <v>4839</v>
      </c>
    </row>
    <row r="11" spans="1:8" ht="18.75" x14ac:dyDescent="0.3">
      <c r="A11" s="5" t="s">
        <v>49</v>
      </c>
      <c r="D11" s="4">
        <v>62600</v>
      </c>
      <c r="E11" s="27" t="s">
        <v>31</v>
      </c>
      <c r="H11" s="4">
        <v>9995</v>
      </c>
    </row>
    <row r="12" spans="1:8" ht="19.5" thickBot="1" x14ac:dyDescent="0.35">
      <c r="A12" s="5" t="s">
        <v>48</v>
      </c>
      <c r="C12" s="3"/>
      <c r="D12" s="23">
        <v>213546</v>
      </c>
      <c r="E12" s="27" t="s">
        <v>31</v>
      </c>
      <c r="H12" s="23">
        <v>34095</v>
      </c>
    </row>
    <row r="13" spans="1:8" ht="18.75" customHeight="1" x14ac:dyDescent="0.3">
      <c r="D13" s="4">
        <f>SUM(D6:D12)</f>
        <v>2314752</v>
      </c>
      <c r="H13" s="4">
        <f>SUM(H6:H12)</f>
        <v>370694</v>
      </c>
    </row>
    <row r="14" spans="1:8" ht="18.75" x14ac:dyDescent="0.3">
      <c r="A14" s="5"/>
      <c r="C14" s="3"/>
      <c r="D14" s="4"/>
      <c r="H14" s="4"/>
    </row>
    <row r="16" spans="1:8" ht="18.75" x14ac:dyDescent="0.3">
      <c r="A16" s="5"/>
      <c r="C16" s="3"/>
      <c r="D16" s="4"/>
      <c r="F16" t="s">
        <v>32</v>
      </c>
      <c r="H16" s="4"/>
    </row>
    <row r="17" spans="1:8" ht="15.75" thickBot="1" x14ac:dyDescent="0.3">
      <c r="D17" s="7"/>
      <c r="H17" s="7"/>
    </row>
    <row r="19" spans="1:8" ht="18.75" x14ac:dyDescent="0.3">
      <c r="C19" t="s">
        <v>4</v>
      </c>
      <c r="D19" s="4">
        <f>D3-D13</f>
        <v>575877</v>
      </c>
      <c r="G19" t="s">
        <v>5</v>
      </c>
      <c r="H19" s="4">
        <f>H3-H13</f>
        <v>90565</v>
      </c>
    </row>
    <row r="22" spans="1:8" ht="15.75" x14ac:dyDescent="0.25">
      <c r="A22" t="s">
        <v>6</v>
      </c>
      <c r="C22" s="8">
        <f>D19</f>
        <v>575877</v>
      </c>
      <c r="E22" t="s">
        <v>10</v>
      </c>
      <c r="H22" s="6">
        <f>C31</f>
        <v>473749.484</v>
      </c>
    </row>
    <row r="24" spans="1:8" ht="15.75" x14ac:dyDescent="0.25">
      <c r="A24" t="s">
        <v>5</v>
      </c>
      <c r="B24" s="9" t="s">
        <v>7</v>
      </c>
      <c r="C24" s="8">
        <f>H19</f>
        <v>90565</v>
      </c>
      <c r="E24" s="13" t="s">
        <v>11</v>
      </c>
      <c r="F24" s="9" t="s">
        <v>12</v>
      </c>
      <c r="G24" s="15" t="s">
        <v>17</v>
      </c>
      <c r="H24" s="3">
        <v>-17006</v>
      </c>
    </row>
    <row r="25" spans="1:8" x14ac:dyDescent="0.25">
      <c r="F25" s="21">
        <v>2429370</v>
      </c>
    </row>
    <row r="26" spans="1:8" ht="16.5" thickBot="1" x14ac:dyDescent="0.3">
      <c r="A26" t="s">
        <v>8</v>
      </c>
      <c r="B26" s="9" t="s">
        <v>7</v>
      </c>
      <c r="C26" s="8">
        <f>D3*0.004</f>
        <v>11562.516</v>
      </c>
      <c r="F26" s="9" t="s">
        <v>13</v>
      </c>
      <c r="G26" s="16">
        <v>0.35</v>
      </c>
      <c r="H26" s="17">
        <v>-165812</v>
      </c>
    </row>
    <row r="27" spans="1:8" x14ac:dyDescent="0.25">
      <c r="F27" s="21">
        <v>473749</v>
      </c>
    </row>
    <row r="28" spans="1:8" ht="15.75" x14ac:dyDescent="0.25">
      <c r="A28" t="s">
        <v>9</v>
      </c>
      <c r="B28" s="9" t="s">
        <v>7</v>
      </c>
      <c r="C28" s="10"/>
      <c r="G28" s="13" t="s">
        <v>14</v>
      </c>
      <c r="H28" s="6">
        <f>H22+H24+H26</f>
        <v>290931.484</v>
      </c>
    </row>
    <row r="29" spans="1:8" ht="15.75" thickBot="1" x14ac:dyDescent="0.3">
      <c r="A29" s="14"/>
      <c r="C29" s="7"/>
    </row>
    <row r="30" spans="1:8" x14ac:dyDescent="0.25">
      <c r="E30" t="s">
        <v>19</v>
      </c>
      <c r="H30" s="20">
        <f>H28/2</f>
        <v>145465.742</v>
      </c>
    </row>
    <row r="31" spans="1:8" ht="15.75" x14ac:dyDescent="0.25">
      <c r="A31" t="s">
        <v>10</v>
      </c>
      <c r="C31" s="10">
        <f>C22-C24-C26-C28</f>
        <v>473749.484</v>
      </c>
      <c r="H31" s="18"/>
    </row>
    <row r="32" spans="1:8" x14ac:dyDescent="0.25">
      <c r="H32" s="3"/>
    </row>
    <row r="33" spans="8:8" x14ac:dyDescent="0.25">
      <c r="H33" s="18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B4436-DA67-4515-ACAA-D21A201256A3}">
  <dimension ref="A1:H32"/>
  <sheetViews>
    <sheetView topLeftCell="A16" workbookViewId="0">
      <selection activeCell="A8" sqref="A8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3.28515625" bestFit="1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33</v>
      </c>
    </row>
    <row r="3" spans="1:8" ht="21" x14ac:dyDescent="0.35">
      <c r="A3" s="2" t="s">
        <v>1</v>
      </c>
      <c r="D3" s="11">
        <v>280245</v>
      </c>
      <c r="F3" s="12" t="s">
        <v>3</v>
      </c>
      <c r="H3" s="11">
        <v>44745</v>
      </c>
    </row>
    <row r="4" spans="1:8" x14ac:dyDescent="0.25">
      <c r="A4" s="13" t="s">
        <v>29</v>
      </c>
      <c r="C4" s="28">
        <v>242</v>
      </c>
    </row>
    <row r="5" spans="1:8" ht="21" x14ac:dyDescent="0.35">
      <c r="A5" s="2" t="s">
        <v>2</v>
      </c>
    </row>
    <row r="7" spans="1:8" ht="18.75" x14ac:dyDescent="0.3">
      <c r="A7" s="5" t="s">
        <v>50</v>
      </c>
      <c r="C7" s="3"/>
      <c r="D7" s="4">
        <v>215985</v>
      </c>
      <c r="E7" s="27" t="s">
        <v>31</v>
      </c>
      <c r="H7" s="4">
        <v>34485</v>
      </c>
    </row>
    <row r="8" spans="1:8" ht="18.75" x14ac:dyDescent="0.3">
      <c r="A8" s="5"/>
      <c r="D8" s="4"/>
      <c r="H8" s="4"/>
    </row>
    <row r="9" spans="1:8" ht="18.75" x14ac:dyDescent="0.3">
      <c r="A9" s="5"/>
      <c r="C9" s="3"/>
      <c r="D9" s="4"/>
      <c r="H9" s="4"/>
    </row>
    <row r="10" spans="1:8" ht="18.75" x14ac:dyDescent="0.3">
      <c r="A10" s="5"/>
      <c r="D10" s="4"/>
      <c r="H10" s="4"/>
    </row>
    <row r="11" spans="1:8" ht="19.5" thickBot="1" x14ac:dyDescent="0.35">
      <c r="A11" s="5"/>
      <c r="C11" s="3"/>
      <c r="D11" s="23"/>
      <c r="H11" s="23"/>
    </row>
    <row r="12" spans="1:8" ht="18.75" customHeight="1" x14ac:dyDescent="0.3">
      <c r="D12" s="4">
        <f>SUM(D7:D11)</f>
        <v>215985</v>
      </c>
      <c r="H12" s="4">
        <f>SUM(H7:H11)</f>
        <v>34485</v>
      </c>
    </row>
    <row r="13" spans="1:8" ht="18.75" x14ac:dyDescent="0.3">
      <c r="A13" s="5"/>
      <c r="C13" s="3"/>
      <c r="D13" s="4"/>
      <c r="H13" s="4"/>
    </row>
    <row r="15" spans="1:8" ht="18.75" x14ac:dyDescent="0.3">
      <c r="A15" s="5"/>
      <c r="C15" s="3"/>
      <c r="D15" s="4"/>
      <c r="H15" s="4"/>
    </row>
    <row r="16" spans="1:8" ht="15.75" thickBot="1" x14ac:dyDescent="0.3">
      <c r="D16" s="7"/>
      <c r="H16" s="7"/>
    </row>
    <row r="18" spans="1:8" ht="18.75" x14ac:dyDescent="0.3">
      <c r="C18" t="s">
        <v>4</v>
      </c>
      <c r="D18" s="4">
        <f>D3-D12</f>
        <v>64260</v>
      </c>
      <c r="G18" t="s">
        <v>5</v>
      </c>
      <c r="H18" s="4">
        <f>H3-H12</f>
        <v>10260</v>
      </c>
    </row>
    <row r="21" spans="1:8" ht="15.75" x14ac:dyDescent="0.25">
      <c r="A21" t="s">
        <v>6</v>
      </c>
      <c r="C21" s="8">
        <f>D18</f>
        <v>64260</v>
      </c>
      <c r="E21" t="s">
        <v>10</v>
      </c>
      <c r="H21" s="6">
        <f>C30</f>
        <v>52879.02</v>
      </c>
    </row>
    <row r="23" spans="1:8" ht="15.75" x14ac:dyDescent="0.25">
      <c r="A23" t="s">
        <v>5</v>
      </c>
      <c r="B23" s="9" t="s">
        <v>7</v>
      </c>
      <c r="C23" s="8">
        <f>H18</f>
        <v>10260</v>
      </c>
      <c r="E23" s="13" t="s">
        <v>11</v>
      </c>
      <c r="F23" s="9" t="s">
        <v>12</v>
      </c>
      <c r="G23" s="15" t="s">
        <v>17</v>
      </c>
      <c r="H23" s="3">
        <v>-1645</v>
      </c>
    </row>
    <row r="24" spans="1:8" x14ac:dyDescent="0.25">
      <c r="F24" s="21">
        <v>235500</v>
      </c>
    </row>
    <row r="25" spans="1:8" ht="16.5" thickBot="1" x14ac:dyDescent="0.3">
      <c r="A25" t="s">
        <v>8</v>
      </c>
      <c r="B25" s="9" t="s">
        <v>7</v>
      </c>
      <c r="C25" s="8">
        <f>D3*0.004</f>
        <v>1120.98</v>
      </c>
      <c r="F25" s="9" t="s">
        <v>13</v>
      </c>
      <c r="G25" s="16">
        <v>0.35</v>
      </c>
      <c r="H25" s="17">
        <v>-18508</v>
      </c>
    </row>
    <row r="26" spans="1:8" x14ac:dyDescent="0.25">
      <c r="F26" s="21">
        <v>52879</v>
      </c>
    </row>
    <row r="27" spans="1:8" ht="15.75" x14ac:dyDescent="0.25">
      <c r="A27" t="s">
        <v>9</v>
      </c>
      <c r="B27" s="9" t="s">
        <v>7</v>
      </c>
      <c r="C27" s="10"/>
      <c r="G27" s="13" t="s">
        <v>14</v>
      </c>
      <c r="H27" s="6">
        <f>H21+H23+H25</f>
        <v>32726.019999999997</v>
      </c>
    </row>
    <row r="28" spans="1:8" ht="15.75" thickBot="1" x14ac:dyDescent="0.3">
      <c r="A28" s="14"/>
      <c r="C28" s="7"/>
    </row>
    <row r="29" spans="1:8" x14ac:dyDescent="0.25">
      <c r="E29" t="s">
        <v>35</v>
      </c>
      <c r="H29" s="20">
        <f>H27*0.35</f>
        <v>11454.106999999998</v>
      </c>
    </row>
    <row r="30" spans="1:8" ht="15.75" x14ac:dyDescent="0.25">
      <c r="A30" t="s">
        <v>10</v>
      </c>
      <c r="C30" s="10">
        <f>C21-C23-C25-C27</f>
        <v>52879.02</v>
      </c>
      <c r="H30" s="18"/>
    </row>
    <row r="31" spans="1:8" x14ac:dyDescent="0.25">
      <c r="H31" s="3"/>
    </row>
    <row r="32" spans="1:8" x14ac:dyDescent="0.25">
      <c r="H32" s="1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7488D-1E52-4055-B6B2-2E31D3AE59DD}">
  <dimension ref="A1:H33"/>
  <sheetViews>
    <sheetView topLeftCell="A16" workbookViewId="0">
      <selection activeCell="H32" sqref="H32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3.28515625" bestFit="1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26</v>
      </c>
    </row>
    <row r="3" spans="1:8" ht="21" x14ac:dyDescent="0.35">
      <c r="A3" s="2" t="s">
        <v>1</v>
      </c>
      <c r="D3" s="11">
        <v>5517280</v>
      </c>
      <c r="F3" s="12" t="s">
        <v>3</v>
      </c>
      <c r="H3" s="11">
        <v>880910</v>
      </c>
    </row>
    <row r="4" spans="1:8" x14ac:dyDescent="0.25">
      <c r="A4" s="13" t="s">
        <v>29</v>
      </c>
      <c r="C4" s="28">
        <v>243</v>
      </c>
    </row>
    <row r="5" spans="1:8" ht="21" x14ac:dyDescent="0.35">
      <c r="A5" s="2" t="s">
        <v>2</v>
      </c>
    </row>
    <row r="7" spans="1:8" ht="18.75" x14ac:dyDescent="0.3">
      <c r="A7" s="5" t="s">
        <v>53</v>
      </c>
      <c r="C7" s="3"/>
      <c r="D7" s="4">
        <v>1148086</v>
      </c>
      <c r="E7" s="27" t="s">
        <v>31</v>
      </c>
      <c r="H7" s="4">
        <v>183308</v>
      </c>
    </row>
    <row r="8" spans="1:8" ht="18.75" x14ac:dyDescent="0.3">
      <c r="A8" s="5" t="s">
        <v>52</v>
      </c>
      <c r="D8" s="4">
        <v>2487100</v>
      </c>
      <c r="E8" s="27" t="s">
        <v>31</v>
      </c>
      <c r="H8" s="4">
        <v>397100</v>
      </c>
    </row>
    <row r="9" spans="1:8" ht="18.75" x14ac:dyDescent="0.3">
      <c r="A9" s="5"/>
      <c r="C9" s="29"/>
      <c r="D9" s="4"/>
      <c r="H9" s="4"/>
    </row>
    <row r="10" spans="1:8" ht="18.75" x14ac:dyDescent="0.3">
      <c r="A10" s="5" t="s">
        <v>34</v>
      </c>
      <c r="D10" s="4">
        <v>97500</v>
      </c>
      <c r="E10" s="27" t="s">
        <v>31</v>
      </c>
      <c r="H10" s="4"/>
    </row>
    <row r="11" spans="1:8" ht="18.75" x14ac:dyDescent="0.3">
      <c r="A11" s="5" t="s">
        <v>51</v>
      </c>
      <c r="D11" s="4">
        <v>25000</v>
      </c>
      <c r="H11" s="4"/>
    </row>
    <row r="12" spans="1:8" ht="19.5" thickBot="1" x14ac:dyDescent="0.35">
      <c r="A12" s="5"/>
      <c r="C12" s="3"/>
      <c r="D12" s="23"/>
      <c r="H12" s="23"/>
    </row>
    <row r="13" spans="1:8" ht="18.75" customHeight="1" x14ac:dyDescent="0.3">
      <c r="D13" s="4">
        <f>SUM(D7:D12)</f>
        <v>3757686</v>
      </c>
      <c r="H13" s="4">
        <f>SUM(H7:H12)</f>
        <v>580408</v>
      </c>
    </row>
    <row r="14" spans="1:8" ht="18.75" x14ac:dyDescent="0.3">
      <c r="A14" s="5"/>
      <c r="C14" s="3"/>
      <c r="D14" s="4"/>
      <c r="H14" s="4"/>
    </row>
    <row r="16" spans="1:8" ht="18.75" x14ac:dyDescent="0.3">
      <c r="A16" s="5"/>
      <c r="C16" s="3"/>
      <c r="D16" s="4"/>
      <c r="H16" s="4"/>
    </row>
    <row r="17" spans="1:8" ht="15.75" thickBot="1" x14ac:dyDescent="0.3">
      <c r="D17" s="7"/>
      <c r="H17" s="7"/>
    </row>
    <row r="19" spans="1:8" ht="18.75" x14ac:dyDescent="0.3">
      <c r="C19" t="s">
        <v>4</v>
      </c>
      <c r="D19" s="4">
        <f>D3-D13</f>
        <v>1759594</v>
      </c>
      <c r="G19" t="s">
        <v>5</v>
      </c>
      <c r="H19" s="4">
        <f>H3-H13</f>
        <v>300502</v>
      </c>
    </row>
    <row r="22" spans="1:8" ht="15.75" x14ac:dyDescent="0.25">
      <c r="A22" t="s">
        <v>6</v>
      </c>
      <c r="C22" s="8">
        <f>D19</f>
        <v>1759594</v>
      </c>
      <c r="E22" t="s">
        <v>10</v>
      </c>
      <c r="H22" s="6">
        <f>C31</f>
        <v>1437022.88</v>
      </c>
    </row>
    <row r="24" spans="1:8" ht="15.75" x14ac:dyDescent="0.25">
      <c r="A24" t="s">
        <v>5</v>
      </c>
      <c r="B24" s="9" t="s">
        <v>7</v>
      </c>
      <c r="C24" s="8">
        <f>H19</f>
        <v>300502</v>
      </c>
      <c r="E24" s="13" t="s">
        <v>11</v>
      </c>
      <c r="F24" s="9" t="s">
        <v>12</v>
      </c>
      <c r="G24" s="15" t="s">
        <v>17</v>
      </c>
      <c r="H24" s="3">
        <v>-32455</v>
      </c>
    </row>
    <row r="25" spans="1:8" x14ac:dyDescent="0.25">
      <c r="F25" s="21">
        <v>4636370</v>
      </c>
    </row>
    <row r="26" spans="1:8" ht="16.5" thickBot="1" x14ac:dyDescent="0.3">
      <c r="A26" t="s">
        <v>8</v>
      </c>
      <c r="B26" s="9" t="s">
        <v>7</v>
      </c>
      <c r="C26" s="8">
        <f>D3*0.004</f>
        <v>22069.119999999999</v>
      </c>
      <c r="F26" s="9" t="s">
        <v>13</v>
      </c>
      <c r="G26" s="16">
        <v>0.35</v>
      </c>
      <c r="H26" s="17">
        <v>-502958</v>
      </c>
    </row>
    <row r="27" spans="1:8" x14ac:dyDescent="0.25">
      <c r="F27" s="21">
        <v>1437023</v>
      </c>
    </row>
    <row r="28" spans="1:8" ht="15.75" x14ac:dyDescent="0.25">
      <c r="A28" t="s">
        <v>9</v>
      </c>
      <c r="B28" s="9" t="s">
        <v>7</v>
      </c>
      <c r="C28" s="10"/>
      <c r="G28" s="13" t="s">
        <v>14</v>
      </c>
      <c r="H28" s="6">
        <f>H22+H24+H26</f>
        <v>901609.87999999989</v>
      </c>
    </row>
    <row r="29" spans="1:8" ht="15.75" thickBot="1" x14ac:dyDescent="0.3">
      <c r="A29" s="14"/>
      <c r="C29" s="7"/>
    </row>
    <row r="30" spans="1:8" x14ac:dyDescent="0.25">
      <c r="E30" t="s">
        <v>27</v>
      </c>
      <c r="H30" s="20">
        <f>H28*0.35</f>
        <v>315563.45799999993</v>
      </c>
    </row>
    <row r="31" spans="1:8" ht="15.75" x14ac:dyDescent="0.25">
      <c r="A31" t="s">
        <v>10</v>
      </c>
      <c r="C31" s="10">
        <f>C22-C24-C26-C28</f>
        <v>1437022.88</v>
      </c>
      <c r="H31" s="18"/>
    </row>
    <row r="32" spans="1:8" x14ac:dyDescent="0.25">
      <c r="H32" s="3"/>
    </row>
    <row r="33" spans="8:8" x14ac:dyDescent="0.25">
      <c r="H33" s="18"/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4586B-6BC2-4B8B-BCE1-776C0DAE0D0D}">
  <dimension ref="A1:H33"/>
  <sheetViews>
    <sheetView topLeftCell="A22" workbookViewId="0">
      <selection activeCell="D34" sqref="D34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3.28515625" bestFit="1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36</v>
      </c>
    </row>
    <row r="3" spans="1:8" ht="21" x14ac:dyDescent="0.35">
      <c r="A3" s="2" t="s">
        <v>1</v>
      </c>
      <c r="D3" s="11">
        <v>159222</v>
      </c>
      <c r="F3" s="12" t="s">
        <v>3</v>
      </c>
      <c r="H3" s="11">
        <v>25422</v>
      </c>
    </row>
    <row r="4" spans="1:8" x14ac:dyDescent="0.25">
      <c r="A4" s="13" t="s">
        <v>29</v>
      </c>
      <c r="C4" s="28">
        <v>249</v>
      </c>
    </row>
    <row r="5" spans="1:8" ht="21" x14ac:dyDescent="0.35">
      <c r="A5" s="2" t="s">
        <v>2</v>
      </c>
    </row>
    <row r="7" spans="1:8" ht="18.75" x14ac:dyDescent="0.3">
      <c r="A7" s="5" t="s">
        <v>56</v>
      </c>
      <c r="D7" s="4">
        <v>105001</v>
      </c>
      <c r="E7" s="27" t="s">
        <v>31</v>
      </c>
      <c r="H7" s="4">
        <v>16765</v>
      </c>
    </row>
    <row r="8" spans="1:8" ht="18.75" x14ac:dyDescent="0.3">
      <c r="A8" s="5"/>
      <c r="D8" s="4"/>
      <c r="H8" s="4"/>
    </row>
    <row r="9" spans="1:8" ht="18.75" x14ac:dyDescent="0.3">
      <c r="A9" s="5"/>
      <c r="C9" s="3"/>
      <c r="D9" s="4"/>
      <c r="H9" s="4"/>
    </row>
    <row r="10" spans="1:8" ht="18.75" x14ac:dyDescent="0.3">
      <c r="A10" s="5"/>
      <c r="D10" s="4"/>
      <c r="H10" s="4"/>
    </row>
    <row r="11" spans="1:8" ht="18.75" x14ac:dyDescent="0.3">
      <c r="A11" s="5"/>
      <c r="D11" s="4"/>
      <c r="H11" s="4"/>
    </row>
    <row r="12" spans="1:8" ht="19.5" thickBot="1" x14ac:dyDescent="0.35">
      <c r="A12" s="5"/>
      <c r="C12" s="3"/>
      <c r="D12" s="23"/>
      <c r="H12" s="23"/>
    </row>
    <row r="13" spans="1:8" ht="18.75" customHeight="1" x14ac:dyDescent="0.3">
      <c r="D13" s="4">
        <f>SUM(D7:D12)</f>
        <v>105001</v>
      </c>
      <c r="H13" s="4">
        <f>SUM(H7:H12)</f>
        <v>16765</v>
      </c>
    </row>
    <row r="14" spans="1:8" ht="18.75" x14ac:dyDescent="0.3">
      <c r="A14" s="5"/>
      <c r="C14" s="3"/>
      <c r="D14" s="4"/>
      <c r="H14" s="4"/>
    </row>
    <row r="16" spans="1:8" ht="18.75" x14ac:dyDescent="0.3">
      <c r="A16" s="5"/>
      <c r="C16" s="3"/>
      <c r="D16" s="4"/>
      <c r="H16" s="4"/>
    </row>
    <row r="17" spans="1:8" ht="15.75" thickBot="1" x14ac:dyDescent="0.3">
      <c r="D17" s="7"/>
      <c r="H17" s="7"/>
    </row>
    <row r="19" spans="1:8" ht="18.75" x14ac:dyDescent="0.3">
      <c r="C19" t="s">
        <v>4</v>
      </c>
      <c r="D19" s="4">
        <f>D3-D13</f>
        <v>54221</v>
      </c>
      <c r="G19" t="s">
        <v>5</v>
      </c>
      <c r="H19" s="4">
        <f>H3-H13</f>
        <v>8657</v>
      </c>
    </row>
    <row r="22" spans="1:8" ht="15.75" x14ac:dyDescent="0.25">
      <c r="A22" t="s">
        <v>6</v>
      </c>
      <c r="C22" s="8">
        <f>D19</f>
        <v>54221</v>
      </c>
      <c r="E22" t="s">
        <v>10</v>
      </c>
      <c r="H22" s="6">
        <f>C31</f>
        <v>44927.112000000001</v>
      </c>
    </row>
    <row r="24" spans="1:8" ht="15.75" x14ac:dyDescent="0.25">
      <c r="A24" t="s">
        <v>5</v>
      </c>
      <c r="B24" s="9" t="s">
        <v>7</v>
      </c>
      <c r="C24" s="8">
        <f>H19</f>
        <v>8657</v>
      </c>
      <c r="E24" s="13" t="s">
        <v>11</v>
      </c>
      <c r="F24" s="9" t="s">
        <v>12</v>
      </c>
      <c r="G24" s="15" t="s">
        <v>17</v>
      </c>
      <c r="H24" s="3">
        <v>-937</v>
      </c>
    </row>
    <row r="25" spans="1:8" x14ac:dyDescent="0.25">
      <c r="F25" s="21">
        <v>133800</v>
      </c>
    </row>
    <row r="26" spans="1:8" ht="16.5" thickBot="1" x14ac:dyDescent="0.3">
      <c r="A26" t="s">
        <v>8</v>
      </c>
      <c r="B26" s="9" t="s">
        <v>7</v>
      </c>
      <c r="C26" s="8">
        <f>D3*0.004</f>
        <v>636.88800000000003</v>
      </c>
      <c r="F26" s="9" t="s">
        <v>13</v>
      </c>
      <c r="G26" s="16">
        <v>0.35</v>
      </c>
      <c r="H26" s="17">
        <v>-15504</v>
      </c>
    </row>
    <row r="27" spans="1:8" x14ac:dyDescent="0.25">
      <c r="F27" s="21">
        <v>44297</v>
      </c>
    </row>
    <row r="28" spans="1:8" ht="15.75" x14ac:dyDescent="0.25">
      <c r="A28" t="s">
        <v>9</v>
      </c>
      <c r="B28" s="9" t="s">
        <v>7</v>
      </c>
      <c r="C28" s="10"/>
      <c r="G28" s="13" t="s">
        <v>14</v>
      </c>
      <c r="H28" s="6">
        <f>H22+H24+H26</f>
        <v>28486.112000000001</v>
      </c>
    </row>
    <row r="29" spans="1:8" ht="15.75" thickBot="1" x14ac:dyDescent="0.3">
      <c r="A29" s="14"/>
      <c r="C29" s="7"/>
    </row>
    <row r="30" spans="1:8" x14ac:dyDescent="0.25">
      <c r="E30" t="s">
        <v>55</v>
      </c>
      <c r="H30" s="20">
        <f>H28*0.35</f>
        <v>9970.1391999999996</v>
      </c>
    </row>
    <row r="31" spans="1:8" ht="15.75" x14ac:dyDescent="0.25">
      <c r="A31" t="s">
        <v>10</v>
      </c>
      <c r="C31" s="10">
        <f>C22-C24-C26-C28</f>
        <v>44927.112000000001</v>
      </c>
      <c r="H31" s="18"/>
    </row>
    <row r="32" spans="1:8" x14ac:dyDescent="0.25">
      <c r="H32" s="3"/>
    </row>
    <row r="33" spans="8:8" x14ac:dyDescent="0.25">
      <c r="H33" s="18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EF1D5-F7F1-46DF-85D4-4E81A864082B}">
  <dimension ref="A1:H33"/>
  <sheetViews>
    <sheetView topLeftCell="A16" workbookViewId="0">
      <selection activeCell="F13" sqref="F13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3.28515625" bestFit="1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57</v>
      </c>
    </row>
    <row r="3" spans="1:8" ht="21" x14ac:dyDescent="0.35">
      <c r="A3" s="2" t="s">
        <v>1</v>
      </c>
      <c r="D3" s="11">
        <v>378420</v>
      </c>
      <c r="F3" s="12" t="s">
        <v>3</v>
      </c>
      <c r="H3" s="11">
        <v>60420</v>
      </c>
    </row>
    <row r="4" spans="1:8" x14ac:dyDescent="0.25">
      <c r="A4" s="13" t="s">
        <v>29</v>
      </c>
      <c r="C4" s="28">
        <v>250</v>
      </c>
    </row>
    <row r="5" spans="1:8" ht="21" x14ac:dyDescent="0.35">
      <c r="A5" s="2" t="s">
        <v>2</v>
      </c>
    </row>
    <row r="7" spans="1:8" ht="18.75" x14ac:dyDescent="0.3">
      <c r="A7" s="5" t="s">
        <v>58</v>
      </c>
      <c r="D7" s="4">
        <v>255731</v>
      </c>
      <c r="E7" s="27" t="s">
        <v>31</v>
      </c>
      <c r="H7" s="4">
        <v>40831</v>
      </c>
    </row>
    <row r="8" spans="1:8" ht="18.75" x14ac:dyDescent="0.3">
      <c r="A8" s="5"/>
      <c r="D8" s="4"/>
      <c r="H8" s="4"/>
    </row>
    <row r="9" spans="1:8" ht="18.75" x14ac:dyDescent="0.3">
      <c r="A9" s="5"/>
      <c r="C9" s="3"/>
      <c r="D9" s="4"/>
      <c r="H9" s="4"/>
    </row>
    <row r="10" spans="1:8" ht="18.75" x14ac:dyDescent="0.3">
      <c r="A10" s="5"/>
      <c r="D10" s="4"/>
      <c r="H10" s="4"/>
    </row>
    <row r="11" spans="1:8" ht="18.75" x14ac:dyDescent="0.3">
      <c r="A11" s="5"/>
      <c r="D11" s="4"/>
      <c r="H11" s="4"/>
    </row>
    <row r="12" spans="1:8" ht="19.5" thickBot="1" x14ac:dyDescent="0.35">
      <c r="A12" s="5"/>
      <c r="C12" s="3"/>
      <c r="D12" s="23"/>
      <c r="H12" s="23"/>
    </row>
    <row r="13" spans="1:8" ht="18.75" customHeight="1" x14ac:dyDescent="0.3">
      <c r="D13" s="4">
        <f>SUM(D7:D12)</f>
        <v>255731</v>
      </c>
      <c r="H13" s="4">
        <f>SUM(H7:H12)</f>
        <v>40831</v>
      </c>
    </row>
    <row r="14" spans="1:8" ht="18.75" x14ac:dyDescent="0.3">
      <c r="A14" s="5"/>
      <c r="C14" s="3"/>
      <c r="D14" s="4"/>
      <c r="H14" s="4"/>
    </row>
    <row r="16" spans="1:8" ht="18.75" x14ac:dyDescent="0.3">
      <c r="A16" s="5"/>
      <c r="C16" s="3"/>
      <c r="D16" s="4"/>
      <c r="H16" s="4"/>
    </row>
    <row r="17" spans="1:8" ht="15.75" thickBot="1" x14ac:dyDescent="0.3">
      <c r="D17" s="7"/>
      <c r="H17" s="7"/>
    </row>
    <row r="19" spans="1:8" ht="18.75" x14ac:dyDescent="0.3">
      <c r="C19" t="s">
        <v>4</v>
      </c>
      <c r="D19" s="4">
        <f>D3-D13</f>
        <v>122689</v>
      </c>
      <c r="G19" t="s">
        <v>5</v>
      </c>
      <c r="H19" s="4">
        <f>H3-H13</f>
        <v>19589</v>
      </c>
    </row>
    <row r="22" spans="1:8" ht="15.75" x14ac:dyDescent="0.25">
      <c r="A22" t="s">
        <v>6</v>
      </c>
      <c r="C22" s="8">
        <f>D19</f>
        <v>122689</v>
      </c>
      <c r="E22" t="s">
        <v>10</v>
      </c>
      <c r="H22" s="6">
        <f>C31</f>
        <v>101586.32</v>
      </c>
    </row>
    <row r="24" spans="1:8" ht="15.75" x14ac:dyDescent="0.25">
      <c r="A24" t="s">
        <v>5</v>
      </c>
      <c r="B24" s="9" t="s">
        <v>7</v>
      </c>
      <c r="C24" s="8">
        <f>H19</f>
        <v>19589</v>
      </c>
      <c r="E24" s="13" t="s">
        <v>11</v>
      </c>
      <c r="F24" s="9" t="s">
        <v>12</v>
      </c>
      <c r="G24" s="15" t="s">
        <v>17</v>
      </c>
      <c r="H24" s="3">
        <v>-2226</v>
      </c>
    </row>
    <row r="25" spans="1:8" x14ac:dyDescent="0.25">
      <c r="F25" s="21">
        <v>318000</v>
      </c>
    </row>
    <row r="26" spans="1:8" ht="16.5" thickBot="1" x14ac:dyDescent="0.3">
      <c r="A26" t="s">
        <v>8</v>
      </c>
      <c r="B26" s="9" t="s">
        <v>7</v>
      </c>
      <c r="C26" s="8">
        <f>D3*0.004</f>
        <v>1513.68</v>
      </c>
      <c r="F26" s="9" t="s">
        <v>13</v>
      </c>
      <c r="G26" s="16">
        <v>0.35</v>
      </c>
      <c r="H26" s="17">
        <v>-35555</v>
      </c>
    </row>
    <row r="27" spans="1:8" x14ac:dyDescent="0.25">
      <c r="F27" s="21">
        <v>101586</v>
      </c>
    </row>
    <row r="28" spans="1:8" ht="15.75" x14ac:dyDescent="0.25">
      <c r="A28" t="s">
        <v>9</v>
      </c>
      <c r="B28" s="9" t="s">
        <v>7</v>
      </c>
      <c r="C28" s="10"/>
      <c r="G28" s="13" t="s">
        <v>14</v>
      </c>
      <c r="H28" s="6">
        <f>H22+H24+H26</f>
        <v>63805.320000000007</v>
      </c>
    </row>
    <row r="29" spans="1:8" ht="15.75" thickBot="1" x14ac:dyDescent="0.3">
      <c r="A29" s="14"/>
      <c r="C29" s="7"/>
    </row>
    <row r="30" spans="1:8" x14ac:dyDescent="0.25">
      <c r="E30" t="s">
        <v>55</v>
      </c>
      <c r="H30" s="20">
        <f>H28*0.35</f>
        <v>22331.862000000001</v>
      </c>
    </row>
    <row r="31" spans="1:8" ht="15.75" x14ac:dyDescent="0.25">
      <c r="A31" t="s">
        <v>10</v>
      </c>
      <c r="C31" s="10">
        <f>C22-C24-C26-C28</f>
        <v>101586.32</v>
      </c>
      <c r="H31" s="18"/>
    </row>
    <row r="32" spans="1:8" x14ac:dyDescent="0.25">
      <c r="H32" s="3"/>
    </row>
    <row r="33" spans="8:8" x14ac:dyDescent="0.25">
      <c r="H33" s="18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75AEA-2979-4404-A27A-93F38359F3E5}">
  <dimension ref="A1:H33"/>
  <sheetViews>
    <sheetView topLeftCell="A16" workbookViewId="0">
      <selection activeCell="F35" sqref="F35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3.28515625" bestFit="1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59</v>
      </c>
    </row>
    <row r="3" spans="1:8" ht="21" x14ac:dyDescent="0.35">
      <c r="A3" s="2" t="s">
        <v>1</v>
      </c>
      <c r="D3" s="11">
        <v>139230</v>
      </c>
      <c r="F3" s="12" t="s">
        <v>3</v>
      </c>
      <c r="H3" s="11">
        <v>22230</v>
      </c>
    </row>
    <row r="4" spans="1:8" x14ac:dyDescent="0.25">
      <c r="A4" s="13" t="s">
        <v>29</v>
      </c>
      <c r="C4" s="28">
        <v>253</v>
      </c>
    </row>
    <row r="5" spans="1:8" ht="21" x14ac:dyDescent="0.35">
      <c r="A5" s="2" t="s">
        <v>2</v>
      </c>
    </row>
    <row r="7" spans="1:8" ht="18.75" x14ac:dyDescent="0.3">
      <c r="A7" s="5" t="s">
        <v>60</v>
      </c>
      <c r="D7" s="4">
        <v>67136</v>
      </c>
      <c r="E7" s="27" t="s">
        <v>31</v>
      </c>
      <c r="H7" s="4">
        <v>10719</v>
      </c>
    </row>
    <row r="8" spans="1:8" ht="18.75" x14ac:dyDescent="0.3">
      <c r="A8" s="5" t="s">
        <v>54</v>
      </c>
      <c r="D8" s="4">
        <v>20000</v>
      </c>
      <c r="E8" s="27" t="s">
        <v>31</v>
      </c>
      <c r="H8" s="4">
        <v>0</v>
      </c>
    </row>
    <row r="9" spans="1:8" ht="18.75" x14ac:dyDescent="0.3">
      <c r="A9" s="5" t="s">
        <v>51</v>
      </c>
      <c r="C9" s="3"/>
      <c r="D9" s="4">
        <v>12000</v>
      </c>
      <c r="E9" s="27" t="s">
        <v>31</v>
      </c>
      <c r="H9" s="4">
        <v>0</v>
      </c>
    </row>
    <row r="10" spans="1:8" ht="18.75" x14ac:dyDescent="0.3">
      <c r="A10" s="5"/>
      <c r="D10" s="4"/>
      <c r="H10" s="4"/>
    </row>
    <row r="11" spans="1:8" ht="18.75" x14ac:dyDescent="0.3">
      <c r="A11" s="5"/>
      <c r="D11" s="4"/>
      <c r="H11" s="4"/>
    </row>
    <row r="12" spans="1:8" ht="19.5" thickBot="1" x14ac:dyDescent="0.35">
      <c r="A12" s="5"/>
      <c r="C12" s="3"/>
      <c r="D12" s="23"/>
      <c r="H12" s="23"/>
    </row>
    <row r="13" spans="1:8" ht="18.75" customHeight="1" x14ac:dyDescent="0.3">
      <c r="D13" s="4">
        <f>SUM(D7:D12)</f>
        <v>99136</v>
      </c>
      <c r="H13" s="4">
        <f>SUM(H7:H12)</f>
        <v>10719</v>
      </c>
    </row>
    <row r="14" spans="1:8" ht="18.75" x14ac:dyDescent="0.3">
      <c r="A14" s="5"/>
      <c r="C14" s="3"/>
      <c r="D14" s="4"/>
      <c r="H14" s="4"/>
    </row>
    <row r="16" spans="1:8" ht="18.75" x14ac:dyDescent="0.3">
      <c r="A16" s="5"/>
      <c r="C16" s="3"/>
      <c r="D16" s="4"/>
      <c r="H16" s="4"/>
    </row>
    <row r="17" spans="1:8" ht="15.75" thickBot="1" x14ac:dyDescent="0.3">
      <c r="D17" s="7"/>
      <c r="H17" s="7"/>
    </row>
    <row r="19" spans="1:8" ht="18.75" x14ac:dyDescent="0.3">
      <c r="C19" t="s">
        <v>4</v>
      </c>
      <c r="D19" s="4">
        <f>D3-D13</f>
        <v>40094</v>
      </c>
      <c r="G19" t="s">
        <v>5</v>
      </c>
      <c r="H19" s="4">
        <f>H3-H13</f>
        <v>11511</v>
      </c>
    </row>
    <row r="22" spans="1:8" ht="15.75" x14ac:dyDescent="0.25">
      <c r="A22" t="s">
        <v>6</v>
      </c>
      <c r="C22" s="8">
        <f>D19</f>
        <v>40094</v>
      </c>
      <c r="E22" t="s">
        <v>10</v>
      </c>
      <c r="H22" s="6">
        <f>C31</f>
        <v>22126.080000000002</v>
      </c>
    </row>
    <row r="24" spans="1:8" ht="15.75" x14ac:dyDescent="0.25">
      <c r="A24" t="s">
        <v>5</v>
      </c>
      <c r="B24" s="9" t="s">
        <v>7</v>
      </c>
      <c r="C24" s="8">
        <f>H19</f>
        <v>11511</v>
      </c>
      <c r="E24" s="13" t="s">
        <v>11</v>
      </c>
      <c r="F24" s="9" t="s">
        <v>12</v>
      </c>
      <c r="G24" s="15" t="s">
        <v>17</v>
      </c>
      <c r="H24" s="3">
        <v>-819</v>
      </c>
    </row>
    <row r="25" spans="1:8" x14ac:dyDescent="0.25">
      <c r="F25" s="21">
        <v>117000</v>
      </c>
    </row>
    <row r="26" spans="1:8" ht="16.5" thickBot="1" x14ac:dyDescent="0.3">
      <c r="A26" t="s">
        <v>8</v>
      </c>
      <c r="B26" s="9" t="s">
        <v>7</v>
      </c>
      <c r="C26" s="8">
        <f>D3*0.004</f>
        <v>556.91999999999996</v>
      </c>
      <c r="F26" s="9" t="s">
        <v>13</v>
      </c>
      <c r="G26" s="16">
        <v>0.35</v>
      </c>
      <c r="H26" s="17">
        <v>-7744</v>
      </c>
    </row>
    <row r="27" spans="1:8" x14ac:dyDescent="0.25">
      <c r="F27" s="21">
        <v>22126</v>
      </c>
    </row>
    <row r="28" spans="1:8" ht="15.75" x14ac:dyDescent="0.25">
      <c r="A28" t="s">
        <v>9</v>
      </c>
      <c r="B28" s="9" t="s">
        <v>7</v>
      </c>
      <c r="C28" s="10">
        <v>5900</v>
      </c>
      <c r="G28" s="13" t="s">
        <v>14</v>
      </c>
      <c r="H28" s="6">
        <f>H22+H24+H26</f>
        <v>13563.080000000002</v>
      </c>
    </row>
    <row r="29" spans="1:8" ht="15.75" thickBot="1" x14ac:dyDescent="0.3">
      <c r="A29" s="16">
        <v>0.05</v>
      </c>
      <c r="C29" s="7"/>
    </row>
    <row r="30" spans="1:8" x14ac:dyDescent="0.25">
      <c r="E30" t="s">
        <v>55</v>
      </c>
      <c r="H30" s="20">
        <f>H28*0.35</f>
        <v>4747.0780000000004</v>
      </c>
    </row>
    <row r="31" spans="1:8" ht="15.75" x14ac:dyDescent="0.25">
      <c r="A31" t="s">
        <v>10</v>
      </c>
      <c r="C31" s="10">
        <f>C22-C24-C26-C28</f>
        <v>22126.080000000002</v>
      </c>
      <c r="H31" s="18"/>
    </row>
    <row r="32" spans="1:8" x14ac:dyDescent="0.25">
      <c r="H32" s="3"/>
    </row>
    <row r="33" spans="8:8" x14ac:dyDescent="0.25">
      <c r="H33" s="1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61951-1C0E-4E96-A233-7506A962A61F}">
  <dimension ref="A1:H33"/>
  <sheetViews>
    <sheetView topLeftCell="A13"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3.28515625" bestFit="1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61</v>
      </c>
    </row>
    <row r="3" spans="1:8" ht="21" x14ac:dyDescent="0.35">
      <c r="A3" s="2" t="s">
        <v>1</v>
      </c>
      <c r="D3" s="11">
        <v>35700</v>
      </c>
      <c r="F3" s="12" t="s">
        <v>3</v>
      </c>
      <c r="H3" s="11">
        <v>5700</v>
      </c>
    </row>
    <row r="4" spans="1:8" x14ac:dyDescent="0.25">
      <c r="A4" s="13" t="s">
        <v>29</v>
      </c>
      <c r="C4" s="28">
        <v>255</v>
      </c>
    </row>
    <row r="5" spans="1:8" ht="21" x14ac:dyDescent="0.35">
      <c r="A5" s="2" t="s">
        <v>2</v>
      </c>
    </row>
    <row r="7" spans="1:8" ht="18.75" x14ac:dyDescent="0.3">
      <c r="A7" s="5" t="s">
        <v>62</v>
      </c>
      <c r="D7" s="4">
        <v>26454</v>
      </c>
      <c r="E7" s="27" t="s">
        <v>31</v>
      </c>
      <c r="H7" s="4">
        <v>4224</v>
      </c>
    </row>
    <row r="8" spans="1:8" ht="18.75" x14ac:dyDescent="0.3">
      <c r="A8" s="5"/>
      <c r="D8" s="4"/>
      <c r="E8" s="27"/>
      <c r="H8" s="4">
        <v>0</v>
      </c>
    </row>
    <row r="9" spans="1:8" ht="18.75" x14ac:dyDescent="0.3">
      <c r="A9" s="5"/>
      <c r="C9" s="3"/>
      <c r="D9" s="4"/>
      <c r="E9" s="27"/>
      <c r="H9" s="4">
        <v>0</v>
      </c>
    </row>
    <row r="10" spans="1:8" ht="18.75" x14ac:dyDescent="0.3">
      <c r="A10" s="5"/>
      <c r="D10" s="4"/>
      <c r="E10" s="27"/>
      <c r="H10" s="4">
        <v>0</v>
      </c>
    </row>
    <row r="11" spans="1:8" ht="18.75" x14ac:dyDescent="0.3">
      <c r="A11" s="5"/>
      <c r="D11" s="4"/>
      <c r="H11" s="4"/>
    </row>
    <row r="12" spans="1:8" ht="19.5" thickBot="1" x14ac:dyDescent="0.35">
      <c r="A12" s="5"/>
      <c r="C12" s="3"/>
      <c r="D12" s="23"/>
      <c r="H12" s="23"/>
    </row>
    <row r="13" spans="1:8" ht="18.75" customHeight="1" x14ac:dyDescent="0.3">
      <c r="D13" s="4">
        <f>SUM(D7:D12)</f>
        <v>26454</v>
      </c>
      <c r="H13" s="4">
        <f>SUM(H7:H12)</f>
        <v>4224</v>
      </c>
    </row>
    <row r="14" spans="1:8" ht="18.75" x14ac:dyDescent="0.3">
      <c r="A14" s="5"/>
      <c r="C14" s="3"/>
      <c r="D14" s="4"/>
      <c r="H14" s="4"/>
    </row>
    <row r="16" spans="1:8" ht="18.75" x14ac:dyDescent="0.3">
      <c r="A16" s="5"/>
      <c r="C16" s="3"/>
      <c r="D16" s="4"/>
      <c r="H16" s="4"/>
    </row>
    <row r="17" spans="1:8" ht="15.75" thickBot="1" x14ac:dyDescent="0.3">
      <c r="D17" s="7"/>
      <c r="H17" s="7"/>
    </row>
    <row r="19" spans="1:8" ht="18.75" x14ac:dyDescent="0.3">
      <c r="C19" t="s">
        <v>4</v>
      </c>
      <c r="D19" s="4">
        <f>D3-D13</f>
        <v>9246</v>
      </c>
      <c r="G19" t="s">
        <v>5</v>
      </c>
      <c r="H19" s="4">
        <f>H3-H13</f>
        <v>1476</v>
      </c>
    </row>
    <row r="22" spans="1:8" ht="15.75" x14ac:dyDescent="0.25">
      <c r="A22" t="s">
        <v>6</v>
      </c>
      <c r="C22" s="8">
        <f>D19</f>
        <v>9246</v>
      </c>
      <c r="E22" t="s">
        <v>10</v>
      </c>
      <c r="H22" s="6">
        <f>C31</f>
        <v>7627.2</v>
      </c>
    </row>
    <row r="24" spans="1:8" ht="15.75" x14ac:dyDescent="0.25">
      <c r="A24" t="s">
        <v>5</v>
      </c>
      <c r="B24" s="9" t="s">
        <v>7</v>
      </c>
      <c r="C24" s="8">
        <f>H19</f>
        <v>1476</v>
      </c>
      <c r="E24" s="13" t="s">
        <v>11</v>
      </c>
      <c r="F24" s="9" t="s">
        <v>12</v>
      </c>
      <c r="G24" s="15" t="s">
        <v>17</v>
      </c>
      <c r="H24" s="3">
        <v>-156</v>
      </c>
    </row>
    <row r="25" spans="1:8" x14ac:dyDescent="0.25">
      <c r="F25" s="21">
        <v>22230</v>
      </c>
    </row>
    <row r="26" spans="1:8" ht="16.5" thickBot="1" x14ac:dyDescent="0.3">
      <c r="A26" t="s">
        <v>8</v>
      </c>
      <c r="B26" s="9" t="s">
        <v>7</v>
      </c>
      <c r="C26" s="8">
        <f>D3*0.004</f>
        <v>142.80000000000001</v>
      </c>
      <c r="F26" s="9" t="s">
        <v>13</v>
      </c>
      <c r="G26" s="16">
        <v>0.35</v>
      </c>
      <c r="H26" s="17">
        <v>-2543</v>
      </c>
    </row>
    <row r="27" spans="1:8" x14ac:dyDescent="0.25">
      <c r="F27" s="21">
        <v>7267</v>
      </c>
    </row>
    <row r="28" spans="1:8" ht="15.75" x14ac:dyDescent="0.25">
      <c r="A28" t="s">
        <v>9</v>
      </c>
      <c r="B28" s="9" t="s">
        <v>7</v>
      </c>
      <c r="C28" s="10"/>
      <c r="G28" s="13" t="s">
        <v>14</v>
      </c>
      <c r="H28" s="6">
        <f>H22+H24+H26</f>
        <v>4928.2</v>
      </c>
    </row>
    <row r="29" spans="1:8" ht="15.75" thickBot="1" x14ac:dyDescent="0.3">
      <c r="A29" s="14"/>
      <c r="C29" s="7"/>
    </row>
    <row r="30" spans="1:8" x14ac:dyDescent="0.25">
      <c r="E30" t="s">
        <v>55</v>
      </c>
      <c r="H30" s="20">
        <f>H28*0.35</f>
        <v>1724.87</v>
      </c>
    </row>
    <row r="31" spans="1:8" ht="15.75" x14ac:dyDescent="0.25">
      <c r="A31" t="s">
        <v>10</v>
      </c>
      <c r="C31" s="10">
        <f>C22-C24-C26-C28</f>
        <v>7627.2</v>
      </c>
      <c r="H31" s="18"/>
    </row>
    <row r="32" spans="1:8" x14ac:dyDescent="0.25">
      <c r="H32" s="3"/>
    </row>
    <row r="33" spans="8:8" x14ac:dyDescent="0.25">
      <c r="H33" s="18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208B9-1B9A-41E1-98B1-C739CAD48EE9}">
  <dimension ref="A1:H33"/>
  <sheetViews>
    <sheetView topLeftCell="A13"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3.28515625" bestFit="1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63</v>
      </c>
    </row>
    <row r="3" spans="1:8" ht="21" x14ac:dyDescent="0.35">
      <c r="A3" s="2" t="s">
        <v>1</v>
      </c>
      <c r="D3" s="11">
        <v>192780</v>
      </c>
      <c r="F3" s="12" t="s">
        <v>3</v>
      </c>
      <c r="H3" s="11">
        <v>30780</v>
      </c>
    </row>
    <row r="4" spans="1:8" x14ac:dyDescent="0.25">
      <c r="A4" s="13" t="s">
        <v>29</v>
      </c>
      <c r="C4" s="28">
        <v>256</v>
      </c>
    </row>
    <row r="5" spans="1:8" ht="21" x14ac:dyDescent="0.35">
      <c r="A5" s="2" t="s">
        <v>2</v>
      </c>
    </row>
    <row r="7" spans="1:8" ht="18.75" x14ac:dyDescent="0.3">
      <c r="A7" s="5" t="s">
        <v>64</v>
      </c>
      <c r="D7" s="4">
        <v>75134</v>
      </c>
      <c r="E7" s="27" t="s">
        <v>31</v>
      </c>
      <c r="H7" s="4">
        <v>11996</v>
      </c>
    </row>
    <row r="8" spans="1:8" ht="18.75" x14ac:dyDescent="0.3">
      <c r="A8" s="5" t="s">
        <v>65</v>
      </c>
      <c r="D8" s="4">
        <v>52000</v>
      </c>
      <c r="E8" s="27" t="s">
        <v>31</v>
      </c>
      <c r="H8" s="4">
        <v>0</v>
      </c>
    </row>
    <row r="9" spans="1:8" ht="18.75" x14ac:dyDescent="0.3">
      <c r="A9" s="5"/>
      <c r="C9" s="3"/>
      <c r="D9" s="4"/>
      <c r="E9" s="27"/>
      <c r="H9" s="4">
        <v>0</v>
      </c>
    </row>
    <row r="10" spans="1:8" ht="18.75" x14ac:dyDescent="0.3">
      <c r="A10" s="5"/>
      <c r="D10" s="4"/>
      <c r="E10" s="27"/>
      <c r="H10" s="4">
        <v>0</v>
      </c>
    </row>
    <row r="11" spans="1:8" ht="18.75" x14ac:dyDescent="0.3">
      <c r="A11" s="5"/>
      <c r="D11" s="4"/>
      <c r="H11" s="4"/>
    </row>
    <row r="12" spans="1:8" ht="19.5" thickBot="1" x14ac:dyDescent="0.35">
      <c r="A12" s="5"/>
      <c r="C12" s="3"/>
      <c r="D12" s="23"/>
      <c r="H12" s="23"/>
    </row>
    <row r="13" spans="1:8" ht="18.75" customHeight="1" x14ac:dyDescent="0.3">
      <c r="D13" s="4">
        <f>SUM(D7:D12)</f>
        <v>127134</v>
      </c>
      <c r="H13" s="4">
        <f>SUM(H7:H12)</f>
        <v>11996</v>
      </c>
    </row>
    <row r="14" spans="1:8" ht="18.75" x14ac:dyDescent="0.3">
      <c r="A14" s="5"/>
      <c r="C14" s="3"/>
      <c r="D14" s="4"/>
      <c r="H14" s="4"/>
    </row>
    <row r="16" spans="1:8" ht="18.75" x14ac:dyDescent="0.3">
      <c r="A16" s="5"/>
      <c r="C16" s="3"/>
      <c r="D16" s="4"/>
      <c r="H16" s="4"/>
    </row>
    <row r="17" spans="1:8" ht="15.75" thickBot="1" x14ac:dyDescent="0.3">
      <c r="D17" s="7"/>
      <c r="H17" s="7"/>
    </row>
    <row r="19" spans="1:8" ht="18.75" x14ac:dyDescent="0.3">
      <c r="C19" t="s">
        <v>4</v>
      </c>
      <c r="D19" s="4">
        <f>D3-D13</f>
        <v>65646</v>
      </c>
      <c r="G19" t="s">
        <v>5</v>
      </c>
      <c r="H19" s="4">
        <f>H3-H13</f>
        <v>18784</v>
      </c>
    </row>
    <row r="22" spans="1:8" ht="15.75" x14ac:dyDescent="0.25">
      <c r="A22" t="s">
        <v>6</v>
      </c>
      <c r="C22" s="8">
        <f>D19</f>
        <v>65646</v>
      </c>
      <c r="E22" t="s">
        <v>10</v>
      </c>
      <c r="H22" s="6">
        <f>C31</f>
        <v>46090.879999999997</v>
      </c>
    </row>
    <row r="24" spans="1:8" ht="15.75" x14ac:dyDescent="0.25">
      <c r="A24" t="s">
        <v>5</v>
      </c>
      <c r="B24" s="9" t="s">
        <v>7</v>
      </c>
      <c r="C24" s="8">
        <f>H19</f>
        <v>18784</v>
      </c>
      <c r="E24" s="13" t="s">
        <v>11</v>
      </c>
      <c r="F24" s="9" t="s">
        <v>12</v>
      </c>
      <c r="G24" s="15" t="s">
        <v>17</v>
      </c>
      <c r="H24" s="3">
        <v>-1134</v>
      </c>
    </row>
    <row r="25" spans="1:8" x14ac:dyDescent="0.25">
      <c r="F25" s="21">
        <v>162000</v>
      </c>
    </row>
    <row r="26" spans="1:8" ht="16.5" thickBot="1" x14ac:dyDescent="0.3">
      <c r="A26" t="s">
        <v>8</v>
      </c>
      <c r="B26" s="9" t="s">
        <v>7</v>
      </c>
      <c r="C26" s="8">
        <f>D3*0.004</f>
        <v>771.12</v>
      </c>
      <c r="F26" s="9" t="s">
        <v>13</v>
      </c>
      <c r="G26" s="16">
        <v>0.35</v>
      </c>
      <c r="H26" s="17">
        <v>-16132</v>
      </c>
    </row>
    <row r="27" spans="1:8" x14ac:dyDescent="0.25">
      <c r="F27" s="21">
        <v>46091</v>
      </c>
    </row>
    <row r="28" spans="1:8" ht="15.75" x14ac:dyDescent="0.25">
      <c r="A28" t="s">
        <v>9</v>
      </c>
      <c r="B28" s="9" t="s">
        <v>7</v>
      </c>
      <c r="C28" s="10"/>
      <c r="G28" s="13" t="s">
        <v>14</v>
      </c>
      <c r="H28" s="6">
        <f>H22+H24+H26</f>
        <v>28824.879999999997</v>
      </c>
    </row>
    <row r="29" spans="1:8" ht="15.75" thickBot="1" x14ac:dyDescent="0.3">
      <c r="A29" s="14"/>
      <c r="C29" s="7"/>
    </row>
    <row r="30" spans="1:8" x14ac:dyDescent="0.25">
      <c r="E30" t="s">
        <v>55</v>
      </c>
      <c r="H30" s="20">
        <f>H28*0.35</f>
        <v>10088.707999999999</v>
      </c>
    </row>
    <row r="31" spans="1:8" ht="15.75" x14ac:dyDescent="0.25">
      <c r="A31" t="s">
        <v>10</v>
      </c>
      <c r="C31" s="10">
        <f>C22-C24-C26-C28</f>
        <v>46090.879999999997</v>
      </c>
      <c r="H31" s="18"/>
    </row>
    <row r="32" spans="1:8" x14ac:dyDescent="0.25">
      <c r="H32" s="3"/>
    </row>
    <row r="33" spans="8:8" x14ac:dyDescent="0.25">
      <c r="H33" s="1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37E63-5A53-4120-A0DD-C846A1E6DB1C}">
  <dimension ref="A1:H33"/>
  <sheetViews>
    <sheetView topLeftCell="A20" workbookViewId="0">
      <selection activeCell="J30" sqref="J30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3.28515625" bestFit="1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66</v>
      </c>
    </row>
    <row r="3" spans="1:8" ht="21" x14ac:dyDescent="0.35">
      <c r="A3" s="2" t="s">
        <v>1</v>
      </c>
      <c r="D3" s="11">
        <v>416500</v>
      </c>
      <c r="F3" s="12" t="s">
        <v>3</v>
      </c>
      <c r="H3" s="11">
        <v>66500</v>
      </c>
    </row>
    <row r="4" spans="1:8" x14ac:dyDescent="0.25">
      <c r="A4" s="13" t="s">
        <v>29</v>
      </c>
      <c r="C4" s="28">
        <v>259</v>
      </c>
    </row>
    <row r="5" spans="1:8" ht="21" x14ac:dyDescent="0.35">
      <c r="A5" s="2" t="s">
        <v>2</v>
      </c>
    </row>
    <row r="7" spans="1:8" ht="18.75" x14ac:dyDescent="0.3">
      <c r="A7" s="5" t="s">
        <v>54</v>
      </c>
      <c r="D7" s="4">
        <v>250000</v>
      </c>
      <c r="E7" s="27" t="s">
        <v>31</v>
      </c>
      <c r="H7" s="4">
        <v>0</v>
      </c>
    </row>
    <row r="8" spans="1:8" ht="18.75" x14ac:dyDescent="0.3">
      <c r="A8" s="5"/>
      <c r="D8" s="4"/>
      <c r="E8" s="27"/>
      <c r="H8" s="4">
        <v>0</v>
      </c>
    </row>
    <row r="9" spans="1:8" ht="18.75" x14ac:dyDescent="0.3">
      <c r="A9" s="5"/>
      <c r="C9" s="3"/>
      <c r="D9" s="4"/>
      <c r="E9" s="27"/>
      <c r="H9" s="4">
        <v>0</v>
      </c>
    </row>
    <row r="10" spans="1:8" ht="18.75" x14ac:dyDescent="0.3">
      <c r="A10" s="5"/>
      <c r="D10" s="4"/>
      <c r="E10" s="27"/>
      <c r="H10" s="4">
        <v>0</v>
      </c>
    </row>
    <row r="11" spans="1:8" ht="18.75" x14ac:dyDescent="0.3">
      <c r="A11" s="5"/>
      <c r="D11" s="4"/>
      <c r="H11" s="4"/>
    </row>
    <row r="12" spans="1:8" ht="19.5" thickBot="1" x14ac:dyDescent="0.35">
      <c r="A12" s="5"/>
      <c r="C12" s="3"/>
      <c r="D12" s="23"/>
      <c r="H12" s="23"/>
    </row>
    <row r="13" spans="1:8" ht="18.75" customHeight="1" x14ac:dyDescent="0.3">
      <c r="D13" s="4">
        <f>SUM(D7:D12)</f>
        <v>250000</v>
      </c>
      <c r="H13" s="4">
        <f>SUM(H7:H12)</f>
        <v>0</v>
      </c>
    </row>
    <row r="14" spans="1:8" ht="18.75" x14ac:dyDescent="0.3">
      <c r="A14" s="5"/>
      <c r="C14" s="3"/>
      <c r="D14" s="4"/>
      <c r="H14" s="4"/>
    </row>
    <row r="16" spans="1:8" ht="18.75" x14ac:dyDescent="0.3">
      <c r="A16" s="5"/>
      <c r="C16" s="3"/>
      <c r="D16" s="4"/>
      <c r="H16" s="4"/>
    </row>
    <row r="17" spans="1:8" ht="15.75" thickBot="1" x14ac:dyDescent="0.3">
      <c r="D17" s="7"/>
      <c r="H17" s="7"/>
    </row>
    <row r="19" spans="1:8" ht="18.75" x14ac:dyDescent="0.3">
      <c r="C19" t="s">
        <v>4</v>
      </c>
      <c r="D19" s="4">
        <f>D3-D13</f>
        <v>166500</v>
      </c>
      <c r="G19" t="s">
        <v>5</v>
      </c>
      <c r="H19" s="4">
        <f>H3-H13</f>
        <v>66500</v>
      </c>
    </row>
    <row r="22" spans="1:8" ht="15.75" x14ac:dyDescent="0.25">
      <c r="A22" t="s">
        <v>6</v>
      </c>
      <c r="C22" s="8">
        <f>D19</f>
        <v>166500</v>
      </c>
      <c r="E22" t="s">
        <v>10</v>
      </c>
      <c r="H22" s="6">
        <f>C31</f>
        <v>98334</v>
      </c>
    </row>
    <row r="24" spans="1:8" ht="15.75" x14ac:dyDescent="0.25">
      <c r="A24" t="s">
        <v>5</v>
      </c>
      <c r="B24" s="9" t="s">
        <v>7</v>
      </c>
      <c r="C24" s="8">
        <f>H19</f>
        <v>66500</v>
      </c>
      <c r="E24" s="13" t="s">
        <v>11</v>
      </c>
      <c r="F24" s="9" t="s">
        <v>12</v>
      </c>
      <c r="G24" s="15" t="s">
        <v>17</v>
      </c>
      <c r="H24" s="3">
        <v>-2450</v>
      </c>
    </row>
    <row r="25" spans="1:8" x14ac:dyDescent="0.25">
      <c r="F25" s="21">
        <v>350000</v>
      </c>
    </row>
    <row r="26" spans="1:8" ht="16.5" thickBot="1" x14ac:dyDescent="0.3">
      <c r="A26" t="s">
        <v>8</v>
      </c>
      <c r="B26" s="9" t="s">
        <v>7</v>
      </c>
      <c r="C26" s="8">
        <f>D3*0.004</f>
        <v>1666</v>
      </c>
      <c r="F26" s="9" t="s">
        <v>13</v>
      </c>
      <c r="G26" s="16">
        <v>0.35</v>
      </c>
      <c r="H26" s="17">
        <v>-34417</v>
      </c>
    </row>
    <row r="27" spans="1:8" x14ac:dyDescent="0.25">
      <c r="F27" s="21">
        <v>98334</v>
      </c>
    </row>
    <row r="28" spans="1:8" ht="15.75" x14ac:dyDescent="0.25">
      <c r="A28" t="s">
        <v>9</v>
      </c>
      <c r="B28" s="9" t="s">
        <v>7</v>
      </c>
      <c r="C28" s="10"/>
      <c r="G28" s="13" t="s">
        <v>14</v>
      </c>
      <c r="H28" s="6">
        <f>H22+H24+H26</f>
        <v>61467</v>
      </c>
    </row>
    <row r="29" spans="1:8" ht="15.75" thickBot="1" x14ac:dyDescent="0.3">
      <c r="A29" s="14"/>
      <c r="C29" s="7"/>
    </row>
    <row r="30" spans="1:8" x14ac:dyDescent="0.25">
      <c r="E30" t="s">
        <v>55</v>
      </c>
      <c r="H30" s="20">
        <f>H28*0.35</f>
        <v>21513.449999999997</v>
      </c>
    </row>
    <row r="31" spans="1:8" ht="15.75" x14ac:dyDescent="0.25">
      <c r="A31" t="s">
        <v>10</v>
      </c>
      <c r="C31" s="10">
        <f>C22-C24-C26-C28</f>
        <v>98334</v>
      </c>
      <c r="H31" s="18"/>
    </row>
    <row r="32" spans="1:8" x14ac:dyDescent="0.25">
      <c r="H32" s="3"/>
    </row>
    <row r="33" spans="8:8" x14ac:dyDescent="0.25">
      <c r="H33" s="18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4CAA8-DDB0-4019-8E66-EBF0F5031496}">
  <dimension ref="A1:H33"/>
  <sheetViews>
    <sheetView topLeftCell="A19" workbookViewId="0">
      <selection activeCell="H27" sqref="H27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3.28515625" bestFit="1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67</v>
      </c>
    </row>
    <row r="3" spans="1:8" ht="21" x14ac:dyDescent="0.35">
      <c r="A3" s="2" t="s">
        <v>1</v>
      </c>
      <c r="D3" s="11">
        <v>460530</v>
      </c>
      <c r="F3" s="12" t="s">
        <v>3</v>
      </c>
      <c r="H3" s="11">
        <v>73530</v>
      </c>
    </row>
    <row r="4" spans="1:8" x14ac:dyDescent="0.25">
      <c r="A4" s="13" t="s">
        <v>29</v>
      </c>
      <c r="C4" s="28">
        <v>260</v>
      </c>
    </row>
    <row r="5" spans="1:8" ht="21" x14ac:dyDescent="0.35">
      <c r="A5" s="2" t="s">
        <v>2</v>
      </c>
    </row>
    <row r="7" spans="1:8" ht="18.75" x14ac:dyDescent="0.3">
      <c r="A7" s="5" t="s">
        <v>68</v>
      </c>
      <c r="D7" s="4">
        <v>209503</v>
      </c>
      <c r="E7" s="27" t="s">
        <v>31</v>
      </c>
      <c r="H7" s="4">
        <v>33450</v>
      </c>
    </row>
    <row r="8" spans="1:8" ht="18.75" x14ac:dyDescent="0.3">
      <c r="A8" s="5" t="s">
        <v>69</v>
      </c>
      <c r="D8" s="4">
        <v>80949</v>
      </c>
      <c r="E8" s="27" t="s">
        <v>31</v>
      </c>
      <c r="H8" s="4">
        <v>12925</v>
      </c>
    </row>
    <row r="9" spans="1:8" ht="18.75" x14ac:dyDescent="0.3">
      <c r="A9" s="5" t="s">
        <v>70</v>
      </c>
      <c r="C9" s="3"/>
      <c r="D9" s="4">
        <v>20468</v>
      </c>
      <c r="E9" s="27" t="s">
        <v>31</v>
      </c>
      <c r="H9" s="4">
        <v>0</v>
      </c>
    </row>
    <row r="10" spans="1:8" ht="18.75" x14ac:dyDescent="0.3">
      <c r="A10" s="5" t="s">
        <v>51</v>
      </c>
      <c r="D10" s="4">
        <v>15000</v>
      </c>
      <c r="E10" s="27" t="s">
        <v>31</v>
      </c>
      <c r="H10" s="4">
        <v>0</v>
      </c>
    </row>
    <row r="11" spans="1:8" ht="18.75" x14ac:dyDescent="0.3">
      <c r="A11" s="5"/>
      <c r="D11" s="4"/>
      <c r="H11" s="4"/>
    </row>
    <row r="12" spans="1:8" ht="19.5" thickBot="1" x14ac:dyDescent="0.35">
      <c r="A12" s="5"/>
      <c r="C12" s="3"/>
      <c r="D12" s="23"/>
      <c r="H12" s="23"/>
    </row>
    <row r="13" spans="1:8" ht="18.75" customHeight="1" x14ac:dyDescent="0.3">
      <c r="D13" s="4">
        <f>SUM(D7:D12)</f>
        <v>325920</v>
      </c>
      <c r="H13" s="4">
        <f>SUM(H7:H12)</f>
        <v>46375</v>
      </c>
    </row>
    <row r="14" spans="1:8" ht="18.75" x14ac:dyDescent="0.3">
      <c r="A14" s="5"/>
      <c r="C14" s="3"/>
      <c r="D14" s="4"/>
      <c r="H14" s="4"/>
    </row>
    <row r="16" spans="1:8" ht="18.75" x14ac:dyDescent="0.3">
      <c r="A16" s="5"/>
      <c r="C16" s="3"/>
      <c r="D16" s="4"/>
      <c r="H16" s="4"/>
    </row>
    <row r="17" spans="1:8" ht="15.75" thickBot="1" x14ac:dyDescent="0.3">
      <c r="D17" s="7"/>
      <c r="H17" s="7"/>
    </row>
    <row r="19" spans="1:8" ht="18.75" x14ac:dyDescent="0.3">
      <c r="C19" t="s">
        <v>4</v>
      </c>
      <c r="D19" s="4">
        <f>D3-D13</f>
        <v>134610</v>
      </c>
      <c r="G19" t="s">
        <v>5</v>
      </c>
      <c r="H19" s="4">
        <f>H3-H13</f>
        <v>27155</v>
      </c>
    </row>
    <row r="22" spans="1:8" ht="15.75" x14ac:dyDescent="0.25">
      <c r="A22" t="s">
        <v>6</v>
      </c>
      <c r="C22" s="8">
        <f>D19</f>
        <v>134610</v>
      </c>
      <c r="E22" t="s">
        <v>10</v>
      </c>
      <c r="H22" s="6">
        <f>C31</f>
        <v>86262.88</v>
      </c>
    </row>
    <row r="24" spans="1:8" ht="15.75" x14ac:dyDescent="0.25">
      <c r="A24" t="s">
        <v>5</v>
      </c>
      <c r="B24" s="9" t="s">
        <v>7</v>
      </c>
      <c r="C24" s="8">
        <f>H19</f>
        <v>27155</v>
      </c>
      <c r="E24" s="13" t="s">
        <v>11</v>
      </c>
      <c r="F24" s="9" t="s">
        <v>12</v>
      </c>
      <c r="G24" s="15" t="s">
        <v>17</v>
      </c>
      <c r="H24" s="3">
        <v>-2709</v>
      </c>
    </row>
    <row r="25" spans="1:8" x14ac:dyDescent="0.25">
      <c r="F25" s="21">
        <v>387000</v>
      </c>
    </row>
    <row r="26" spans="1:8" ht="16.5" thickBot="1" x14ac:dyDescent="0.3">
      <c r="A26" t="s">
        <v>8</v>
      </c>
      <c r="B26" s="9" t="s">
        <v>7</v>
      </c>
      <c r="C26" s="8">
        <f>D3*0.004</f>
        <v>1842.1200000000001</v>
      </c>
      <c r="F26" s="9" t="s">
        <v>13</v>
      </c>
      <c r="G26" s="16">
        <v>0.35</v>
      </c>
      <c r="H26" s="17">
        <f>-F27*0.35</f>
        <v>-30192.007999999998</v>
      </c>
    </row>
    <row r="27" spans="1:8" x14ac:dyDescent="0.25">
      <c r="F27" s="21">
        <f>H22</f>
        <v>86262.88</v>
      </c>
    </row>
    <row r="28" spans="1:8" ht="15.75" x14ac:dyDescent="0.25">
      <c r="A28" t="s">
        <v>9</v>
      </c>
      <c r="B28" s="9" t="s">
        <v>7</v>
      </c>
      <c r="C28" s="10">
        <f>F25*0.05</f>
        <v>19350</v>
      </c>
      <c r="G28" s="13" t="s">
        <v>14</v>
      </c>
      <c r="H28" s="6">
        <f>H22+H24+H26</f>
        <v>53361.872000000003</v>
      </c>
    </row>
    <row r="29" spans="1:8" ht="15.75" thickBot="1" x14ac:dyDescent="0.3">
      <c r="A29" s="16">
        <v>0.05</v>
      </c>
      <c r="C29" s="7"/>
    </row>
    <row r="30" spans="1:8" x14ac:dyDescent="0.25">
      <c r="E30" t="s">
        <v>55</v>
      </c>
      <c r="H30" s="20">
        <f>H28*0.35</f>
        <v>18676.655200000001</v>
      </c>
    </row>
    <row r="31" spans="1:8" ht="15.75" x14ac:dyDescent="0.25">
      <c r="A31" t="s">
        <v>10</v>
      </c>
      <c r="C31" s="10">
        <f>C22-C24-C26-C28</f>
        <v>86262.88</v>
      </c>
      <c r="H31" s="18"/>
    </row>
    <row r="32" spans="1:8" x14ac:dyDescent="0.25">
      <c r="H32" s="3"/>
    </row>
    <row r="33" spans="8:8" x14ac:dyDescent="0.25">
      <c r="H33" s="18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0E8D9-ABCD-4646-B45C-480CF6BB9B16}">
  <dimension ref="A1:H33"/>
  <sheetViews>
    <sheetView topLeftCell="A16" workbookViewId="0">
      <selection activeCell="H30" sqref="H30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3.28515625" bestFit="1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71</v>
      </c>
    </row>
    <row r="3" spans="1:8" ht="21" x14ac:dyDescent="0.35">
      <c r="A3" s="2" t="s">
        <v>1</v>
      </c>
      <c r="D3" s="11">
        <v>420546</v>
      </c>
      <c r="F3" s="12" t="s">
        <v>3</v>
      </c>
      <c r="H3" s="11">
        <v>67146</v>
      </c>
    </row>
    <row r="4" spans="1:8" x14ac:dyDescent="0.25">
      <c r="A4" s="13" t="s">
        <v>29</v>
      </c>
      <c r="C4" s="28">
        <v>262</v>
      </c>
    </row>
    <row r="5" spans="1:8" ht="21" x14ac:dyDescent="0.35">
      <c r="A5" s="2" t="s">
        <v>2</v>
      </c>
    </row>
    <row r="7" spans="1:8" ht="18.75" x14ac:dyDescent="0.3">
      <c r="A7" s="5"/>
      <c r="D7" s="4"/>
      <c r="E7" s="27"/>
      <c r="H7" s="4"/>
    </row>
    <row r="8" spans="1:8" ht="18.75" x14ac:dyDescent="0.3">
      <c r="A8" s="5" t="s">
        <v>72</v>
      </c>
      <c r="D8" s="4">
        <v>324870</v>
      </c>
      <c r="E8" s="27" t="s">
        <v>31</v>
      </c>
      <c r="H8" s="4">
        <v>51870</v>
      </c>
    </row>
    <row r="9" spans="1:8" ht="18.75" x14ac:dyDescent="0.3">
      <c r="A9" s="5"/>
      <c r="C9" s="3"/>
      <c r="D9" s="4"/>
      <c r="E9" s="27"/>
      <c r="H9" s="4">
        <v>0</v>
      </c>
    </row>
    <row r="10" spans="1:8" ht="18.75" x14ac:dyDescent="0.3">
      <c r="A10" s="5"/>
      <c r="D10" s="4"/>
      <c r="E10" s="27"/>
      <c r="H10" s="4">
        <v>0</v>
      </c>
    </row>
    <row r="11" spans="1:8" ht="18.75" x14ac:dyDescent="0.3">
      <c r="A11" s="5"/>
      <c r="D11" s="4"/>
      <c r="H11" s="4"/>
    </row>
    <row r="12" spans="1:8" ht="19.5" thickBot="1" x14ac:dyDescent="0.35">
      <c r="A12" s="5"/>
      <c r="C12" s="3"/>
      <c r="D12" s="23"/>
      <c r="H12" s="23"/>
    </row>
    <row r="13" spans="1:8" ht="18.75" customHeight="1" x14ac:dyDescent="0.3">
      <c r="D13" s="4">
        <f>SUM(D7:D12)</f>
        <v>324870</v>
      </c>
      <c r="H13" s="4">
        <f>SUM(H7:H12)</f>
        <v>51870</v>
      </c>
    </row>
    <row r="14" spans="1:8" ht="18.75" x14ac:dyDescent="0.3">
      <c r="A14" s="5"/>
      <c r="C14" s="3"/>
      <c r="D14" s="4"/>
      <c r="H14" s="4"/>
    </row>
    <row r="16" spans="1:8" ht="18.75" x14ac:dyDescent="0.3">
      <c r="A16" s="5"/>
      <c r="C16" s="3"/>
      <c r="D16" s="4"/>
      <c r="H16" s="4"/>
    </row>
    <row r="17" spans="1:8" ht="15.75" thickBot="1" x14ac:dyDescent="0.3">
      <c r="D17" s="7"/>
      <c r="H17" s="7"/>
    </row>
    <row r="19" spans="1:8" ht="18.75" x14ac:dyDescent="0.3">
      <c r="C19" t="s">
        <v>4</v>
      </c>
      <c r="D19" s="4">
        <f>D3-D13</f>
        <v>95676</v>
      </c>
      <c r="G19" t="s">
        <v>5</v>
      </c>
      <c r="H19" s="4">
        <f>H3-H13</f>
        <v>15276</v>
      </c>
    </row>
    <row r="22" spans="1:8" ht="15.75" x14ac:dyDescent="0.25">
      <c r="A22" t="s">
        <v>6</v>
      </c>
      <c r="C22" s="8">
        <f>D19</f>
        <v>95676</v>
      </c>
      <c r="E22" t="s">
        <v>10</v>
      </c>
      <c r="H22" s="6">
        <f>C31</f>
        <v>78717.816000000006</v>
      </c>
    </row>
    <row r="24" spans="1:8" ht="15.75" x14ac:dyDescent="0.25">
      <c r="A24" t="s">
        <v>5</v>
      </c>
      <c r="B24" s="9" t="s">
        <v>7</v>
      </c>
      <c r="C24" s="8">
        <f>H19</f>
        <v>15276</v>
      </c>
      <c r="E24" s="13" t="s">
        <v>11</v>
      </c>
      <c r="F24" s="9" t="s">
        <v>12</v>
      </c>
      <c r="G24" s="15" t="s">
        <v>17</v>
      </c>
      <c r="H24" s="3">
        <v>-2474</v>
      </c>
    </row>
    <row r="25" spans="1:8" x14ac:dyDescent="0.25">
      <c r="F25" s="21">
        <v>353400</v>
      </c>
    </row>
    <row r="26" spans="1:8" ht="16.5" thickBot="1" x14ac:dyDescent="0.3">
      <c r="A26" t="s">
        <v>8</v>
      </c>
      <c r="B26" s="9" t="s">
        <v>7</v>
      </c>
      <c r="C26" s="8">
        <f>D3*0.004</f>
        <v>1682.184</v>
      </c>
      <c r="F26" s="9" t="s">
        <v>13</v>
      </c>
      <c r="G26" s="16">
        <v>0.35</v>
      </c>
      <c r="H26" s="17">
        <v>-27551</v>
      </c>
    </row>
    <row r="27" spans="1:8" x14ac:dyDescent="0.25">
      <c r="F27" s="21">
        <f>H22</f>
        <v>78717.816000000006</v>
      </c>
    </row>
    <row r="28" spans="1:8" ht="15.75" x14ac:dyDescent="0.25">
      <c r="A28" t="s">
        <v>9</v>
      </c>
      <c r="B28" s="9" t="s">
        <v>7</v>
      </c>
      <c r="C28" s="10"/>
      <c r="G28" s="13" t="s">
        <v>14</v>
      </c>
      <c r="H28" s="6">
        <f>H22+H24+H26</f>
        <v>48692.816000000006</v>
      </c>
    </row>
    <row r="29" spans="1:8" ht="15.75" thickBot="1" x14ac:dyDescent="0.3">
      <c r="A29" s="14"/>
      <c r="C29" s="7"/>
    </row>
    <row r="30" spans="1:8" x14ac:dyDescent="0.25">
      <c r="E30" t="s">
        <v>55</v>
      </c>
      <c r="H30" s="20">
        <f>H28*0.35</f>
        <v>17042.4856</v>
      </c>
    </row>
    <row r="31" spans="1:8" ht="15.75" x14ac:dyDescent="0.25">
      <c r="A31" t="s">
        <v>10</v>
      </c>
      <c r="C31" s="10">
        <f>C22-C24-C26-C28</f>
        <v>78717.816000000006</v>
      </c>
      <c r="H31" s="18"/>
    </row>
    <row r="32" spans="1:8" x14ac:dyDescent="0.25">
      <c r="H32" s="3"/>
    </row>
    <row r="33" spans="8:8" x14ac:dyDescent="0.25">
      <c r="H33" s="18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FCA47-346C-477B-8D06-B3B2F1927D77}">
  <dimension ref="A1:H34"/>
  <sheetViews>
    <sheetView topLeftCell="A19" workbookViewId="0">
      <selection activeCell="C15" sqref="C15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3.28515625" bestFit="1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74</v>
      </c>
    </row>
    <row r="3" spans="1:8" ht="21" x14ac:dyDescent="0.35">
      <c r="A3" s="2" t="s">
        <v>1</v>
      </c>
      <c r="D3" s="11">
        <v>548590</v>
      </c>
      <c r="F3" s="12" t="s">
        <v>3</v>
      </c>
      <c r="H3" s="11">
        <v>87590</v>
      </c>
    </row>
    <row r="4" spans="1:8" x14ac:dyDescent="0.25">
      <c r="A4" s="13" t="s">
        <v>29</v>
      </c>
      <c r="C4" s="28">
        <v>268</v>
      </c>
    </row>
    <row r="5" spans="1:8" ht="21" x14ac:dyDescent="0.35">
      <c r="A5" s="2" t="s">
        <v>2</v>
      </c>
    </row>
    <row r="7" spans="1:8" ht="18.75" x14ac:dyDescent="0.3">
      <c r="A7" s="5"/>
      <c r="D7" s="4"/>
      <c r="E7" s="27"/>
      <c r="H7" s="4"/>
    </row>
    <row r="8" spans="1:8" ht="18.75" x14ac:dyDescent="0.3">
      <c r="A8" s="5" t="s">
        <v>75</v>
      </c>
      <c r="D8" s="4">
        <v>23457</v>
      </c>
      <c r="E8" s="27" t="s">
        <v>31</v>
      </c>
      <c r="H8" s="4">
        <v>3745</v>
      </c>
    </row>
    <row r="9" spans="1:8" ht="18.75" x14ac:dyDescent="0.3">
      <c r="A9" s="5" t="s">
        <v>76</v>
      </c>
      <c r="C9" s="3"/>
      <c r="D9" s="4">
        <v>238000</v>
      </c>
      <c r="E9" s="27" t="s">
        <v>31</v>
      </c>
      <c r="H9" s="4">
        <v>38000</v>
      </c>
    </row>
    <row r="10" spans="1:8" ht="18.75" x14ac:dyDescent="0.3">
      <c r="A10" s="5"/>
      <c r="D10" s="4"/>
      <c r="E10" s="27"/>
      <c r="H10" s="4"/>
    </row>
    <row r="11" spans="1:8" ht="18.75" x14ac:dyDescent="0.3">
      <c r="A11" s="5"/>
      <c r="D11" s="4"/>
      <c r="E11" s="27"/>
      <c r="H11" s="4"/>
    </row>
    <row r="12" spans="1:8" ht="18.75" x14ac:dyDescent="0.3">
      <c r="A12" s="5"/>
      <c r="C12" s="3"/>
      <c r="D12" s="30"/>
      <c r="E12" s="27"/>
      <c r="H12" s="30"/>
    </row>
    <row r="13" spans="1:8" ht="19.5" thickBot="1" x14ac:dyDescent="0.35">
      <c r="A13" s="5"/>
      <c r="C13" s="3"/>
      <c r="D13" s="23"/>
      <c r="E13" s="27"/>
      <c r="H13" s="23"/>
    </row>
    <row r="14" spans="1:8" ht="18.75" customHeight="1" x14ac:dyDescent="0.3">
      <c r="D14" s="4">
        <f>SUM(D7:D13)</f>
        <v>261457</v>
      </c>
      <c r="H14" s="4">
        <f>SUM(H7:H13)</f>
        <v>41745</v>
      </c>
    </row>
    <row r="15" spans="1:8" ht="18.75" x14ac:dyDescent="0.3">
      <c r="A15" s="5"/>
      <c r="C15" s="3"/>
      <c r="D15" s="4"/>
      <c r="H15" s="4"/>
    </row>
    <row r="17" spans="1:8" ht="18.75" x14ac:dyDescent="0.3">
      <c r="A17" s="5"/>
      <c r="C17" s="3"/>
      <c r="D17" s="4"/>
      <c r="H17" s="4"/>
    </row>
    <row r="18" spans="1:8" ht="15.75" thickBot="1" x14ac:dyDescent="0.3">
      <c r="D18" s="7"/>
      <c r="H18" s="7"/>
    </row>
    <row r="20" spans="1:8" ht="18.75" x14ac:dyDescent="0.3">
      <c r="C20" t="s">
        <v>4</v>
      </c>
      <c r="D20" s="4">
        <f>D3-D14</f>
        <v>287133</v>
      </c>
      <c r="G20" t="s">
        <v>5</v>
      </c>
      <c r="H20" s="4">
        <f>H3-H14</f>
        <v>45845</v>
      </c>
    </row>
    <row r="23" spans="1:8" ht="15.75" x14ac:dyDescent="0.25">
      <c r="A23" t="s">
        <v>6</v>
      </c>
      <c r="C23" s="8">
        <f>D20</f>
        <v>287133</v>
      </c>
      <c r="E23" t="s">
        <v>10</v>
      </c>
      <c r="H23" s="6">
        <f>C32</f>
        <v>216043.64</v>
      </c>
    </row>
    <row r="25" spans="1:8" ht="15.75" x14ac:dyDescent="0.25">
      <c r="A25" t="s">
        <v>5</v>
      </c>
      <c r="B25" s="9" t="s">
        <v>7</v>
      </c>
      <c r="C25" s="8">
        <f>H20</f>
        <v>45845</v>
      </c>
      <c r="E25" s="13" t="s">
        <v>11</v>
      </c>
      <c r="F25" s="9" t="s">
        <v>12</v>
      </c>
      <c r="G25" s="15" t="s">
        <v>17</v>
      </c>
      <c r="H25" s="3">
        <f>-(F26*0.007)</f>
        <v>-3227</v>
      </c>
    </row>
    <row r="26" spans="1:8" x14ac:dyDescent="0.25">
      <c r="F26" s="21">
        <f>D3-H3</f>
        <v>461000</v>
      </c>
    </row>
    <row r="27" spans="1:8" ht="16.5" thickBot="1" x14ac:dyDescent="0.3">
      <c r="A27" t="s">
        <v>8</v>
      </c>
      <c r="B27" s="9" t="s">
        <v>7</v>
      </c>
      <c r="C27" s="8">
        <f>D3*0.004</f>
        <v>2194.36</v>
      </c>
      <c r="F27" s="9" t="s">
        <v>13</v>
      </c>
      <c r="G27" s="16">
        <v>0.35</v>
      </c>
      <c r="H27" s="17">
        <f>-(F28*0.35)</f>
        <v>-75615.274000000005</v>
      </c>
    </row>
    <row r="28" spans="1:8" x14ac:dyDescent="0.25">
      <c r="F28" s="21">
        <f>H23</f>
        <v>216043.64</v>
      </c>
    </row>
    <row r="29" spans="1:8" ht="15.75" x14ac:dyDescent="0.25">
      <c r="A29" t="s">
        <v>9</v>
      </c>
      <c r="B29" s="9" t="s">
        <v>7</v>
      </c>
      <c r="C29" s="10">
        <f>F26*0.05</f>
        <v>23050</v>
      </c>
      <c r="G29" s="13" t="s">
        <v>14</v>
      </c>
      <c r="H29" s="6">
        <f>H23+H25+H27</f>
        <v>137201.36600000001</v>
      </c>
    </row>
    <row r="30" spans="1:8" ht="15.75" thickBot="1" x14ac:dyDescent="0.3">
      <c r="A30" s="16">
        <v>0.05</v>
      </c>
      <c r="C30" s="7"/>
    </row>
    <row r="31" spans="1:8" x14ac:dyDescent="0.25">
      <c r="E31" t="s">
        <v>55</v>
      </c>
      <c r="H31" s="20">
        <f>H29*0.35</f>
        <v>48020.4781</v>
      </c>
    </row>
    <row r="32" spans="1:8" ht="15.75" x14ac:dyDescent="0.25">
      <c r="A32" t="s">
        <v>10</v>
      </c>
      <c r="C32" s="10">
        <f>C23-C25-C27-C29</f>
        <v>216043.64</v>
      </c>
      <c r="H32" s="18"/>
    </row>
    <row r="33" spans="8:8" x14ac:dyDescent="0.25">
      <c r="H33" s="3"/>
    </row>
    <row r="34" spans="8:8" x14ac:dyDescent="0.25">
      <c r="H34" s="18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41A50-48B9-4CD4-AFAC-141FDDBC61E1}">
  <dimension ref="A1:H34"/>
  <sheetViews>
    <sheetView topLeftCell="A16"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3.28515625" bestFit="1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77</v>
      </c>
    </row>
    <row r="3" spans="1:8" ht="21" x14ac:dyDescent="0.35">
      <c r="A3" s="2" t="s">
        <v>1</v>
      </c>
      <c r="D3" s="11">
        <v>330225</v>
      </c>
      <c r="F3" s="12" t="s">
        <v>3</v>
      </c>
      <c r="H3" s="11">
        <v>52725</v>
      </c>
    </row>
    <row r="4" spans="1:8" x14ac:dyDescent="0.25">
      <c r="A4" s="13" t="s">
        <v>29</v>
      </c>
      <c r="C4" s="28">
        <v>269</v>
      </c>
    </row>
    <row r="5" spans="1:8" ht="21" x14ac:dyDescent="0.35">
      <c r="A5" s="2" t="s">
        <v>2</v>
      </c>
    </row>
    <row r="7" spans="1:8" ht="18.75" x14ac:dyDescent="0.3">
      <c r="A7" s="5"/>
      <c r="D7" s="4"/>
      <c r="E7" s="27"/>
      <c r="H7" s="4"/>
    </row>
    <row r="8" spans="1:8" ht="18.75" x14ac:dyDescent="0.3">
      <c r="A8" s="5" t="s">
        <v>78</v>
      </c>
      <c r="D8" s="4">
        <v>17660</v>
      </c>
      <c r="E8" s="27" t="s">
        <v>31</v>
      </c>
      <c r="H8" s="4">
        <v>2820</v>
      </c>
    </row>
    <row r="9" spans="1:8" ht="18.75" x14ac:dyDescent="0.3">
      <c r="A9" s="5" t="s">
        <v>79</v>
      </c>
      <c r="C9" s="3"/>
      <c r="D9" s="4">
        <v>104125</v>
      </c>
      <c r="E9" s="27" t="s">
        <v>31</v>
      </c>
      <c r="H9" s="4">
        <v>16625</v>
      </c>
    </row>
    <row r="10" spans="1:8" ht="18.75" x14ac:dyDescent="0.3">
      <c r="A10" s="5" t="s">
        <v>73</v>
      </c>
      <c r="D10" s="4">
        <v>100412</v>
      </c>
      <c r="E10" s="27" t="s">
        <v>31</v>
      </c>
      <c r="H10" s="4">
        <v>16032</v>
      </c>
    </row>
    <row r="11" spans="1:8" ht="18.75" x14ac:dyDescent="0.3">
      <c r="A11" s="5"/>
      <c r="D11" s="4"/>
      <c r="E11" s="27"/>
      <c r="H11" s="4"/>
    </row>
    <row r="12" spans="1:8" ht="18.75" x14ac:dyDescent="0.3">
      <c r="A12" s="5"/>
      <c r="C12" s="3"/>
      <c r="D12" s="30"/>
      <c r="E12" s="27"/>
      <c r="H12" s="30"/>
    </row>
    <row r="13" spans="1:8" ht="19.5" thickBot="1" x14ac:dyDescent="0.35">
      <c r="A13" s="5"/>
      <c r="C13" s="3"/>
      <c r="D13" s="23"/>
      <c r="E13" s="27"/>
      <c r="H13" s="23"/>
    </row>
    <row r="14" spans="1:8" ht="18.75" customHeight="1" x14ac:dyDescent="0.3">
      <c r="D14" s="4">
        <f>SUM(D7:D13)</f>
        <v>222197</v>
      </c>
      <c r="H14" s="4">
        <f>SUM(H7:H13)</f>
        <v>35477</v>
      </c>
    </row>
    <row r="15" spans="1:8" ht="18.75" x14ac:dyDescent="0.3">
      <c r="A15" s="5"/>
      <c r="C15" s="3"/>
      <c r="D15" s="4"/>
      <c r="H15" s="4"/>
    </row>
    <row r="17" spans="1:8" ht="18.75" x14ac:dyDescent="0.3">
      <c r="A17" s="5"/>
      <c r="C17" s="3"/>
      <c r="D17" s="4"/>
      <c r="H17" s="4"/>
    </row>
    <row r="18" spans="1:8" ht="15.75" thickBot="1" x14ac:dyDescent="0.3">
      <c r="D18" s="7"/>
      <c r="H18" s="7"/>
    </row>
    <row r="20" spans="1:8" ht="18.75" x14ac:dyDescent="0.3">
      <c r="C20" t="s">
        <v>4</v>
      </c>
      <c r="D20" s="4">
        <f>D3-D14</f>
        <v>108028</v>
      </c>
      <c r="G20" t="s">
        <v>5</v>
      </c>
      <c r="H20" s="4">
        <f>H3-H14</f>
        <v>17248</v>
      </c>
    </row>
    <row r="23" spans="1:8" ht="15.75" x14ac:dyDescent="0.25">
      <c r="A23" t="s">
        <v>6</v>
      </c>
      <c r="C23" s="8">
        <f>D20</f>
        <v>108028</v>
      </c>
      <c r="E23" t="s">
        <v>10</v>
      </c>
      <c r="H23" s="6">
        <f>C32</f>
        <v>75584.100000000006</v>
      </c>
    </row>
    <row r="25" spans="1:8" ht="15.75" x14ac:dyDescent="0.25">
      <c r="A25" t="s">
        <v>5</v>
      </c>
      <c r="B25" s="9" t="s">
        <v>7</v>
      </c>
      <c r="C25" s="8">
        <f>H20</f>
        <v>17248</v>
      </c>
      <c r="E25" s="13" t="s">
        <v>11</v>
      </c>
      <c r="F25" s="9" t="s">
        <v>12</v>
      </c>
      <c r="G25" s="15" t="s">
        <v>17</v>
      </c>
      <c r="H25" s="3">
        <f>-(F26*0.007)</f>
        <v>-1942.5</v>
      </c>
    </row>
    <row r="26" spans="1:8" x14ac:dyDescent="0.25">
      <c r="F26" s="21">
        <f>D3-H3</f>
        <v>277500</v>
      </c>
    </row>
    <row r="27" spans="1:8" ht="16.5" thickBot="1" x14ac:dyDescent="0.3">
      <c r="A27" t="s">
        <v>8</v>
      </c>
      <c r="B27" s="9" t="s">
        <v>7</v>
      </c>
      <c r="C27" s="8">
        <f>D3*0.004</f>
        <v>1320.9</v>
      </c>
      <c r="F27" s="9" t="s">
        <v>13</v>
      </c>
      <c r="G27" s="16">
        <v>0.35</v>
      </c>
      <c r="H27" s="17">
        <f>-(F28*0.35)</f>
        <v>-26454.435000000001</v>
      </c>
    </row>
    <row r="28" spans="1:8" x14ac:dyDescent="0.25">
      <c r="F28" s="21">
        <f>H23</f>
        <v>75584.100000000006</v>
      </c>
    </row>
    <row r="29" spans="1:8" ht="15.75" x14ac:dyDescent="0.25">
      <c r="A29" t="s">
        <v>9</v>
      </c>
      <c r="B29" s="9" t="s">
        <v>7</v>
      </c>
      <c r="C29" s="10">
        <f>F26*0.05</f>
        <v>13875</v>
      </c>
      <c r="G29" s="13" t="s">
        <v>14</v>
      </c>
      <c r="H29" s="6">
        <f>H23+H25+H27</f>
        <v>47187.165000000008</v>
      </c>
    </row>
    <row r="30" spans="1:8" ht="15.75" thickBot="1" x14ac:dyDescent="0.3">
      <c r="A30" s="16">
        <v>0.05</v>
      </c>
      <c r="C30" s="7"/>
    </row>
    <row r="31" spans="1:8" x14ac:dyDescent="0.25">
      <c r="E31" t="s">
        <v>55</v>
      </c>
      <c r="H31" s="20">
        <f>H29*0.35</f>
        <v>16515.507750000001</v>
      </c>
    </row>
    <row r="32" spans="1:8" ht="15.75" x14ac:dyDescent="0.25">
      <c r="A32" t="s">
        <v>10</v>
      </c>
      <c r="C32" s="10">
        <f>C23-C25-C27-C29</f>
        <v>75584.100000000006</v>
      </c>
      <c r="H32" s="18"/>
    </row>
    <row r="33" spans="8:8" x14ac:dyDescent="0.25">
      <c r="H33" s="3"/>
    </row>
    <row r="34" spans="8:8" x14ac:dyDescent="0.25">
      <c r="H34" s="18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2EA3E-2B3C-41CB-8313-465DB2D73330}">
  <dimension ref="A1:H34"/>
  <sheetViews>
    <sheetView topLeftCell="A19" workbookViewId="0">
      <selection activeCell="C4" sqref="C4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3.28515625" bestFit="1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80</v>
      </c>
    </row>
    <row r="3" spans="1:8" ht="21" x14ac:dyDescent="0.35">
      <c r="A3" s="2" t="s">
        <v>1</v>
      </c>
      <c r="D3" s="11">
        <v>2220956</v>
      </c>
      <c r="F3" s="12" t="s">
        <v>3</v>
      </c>
      <c r="H3" s="11">
        <v>362216</v>
      </c>
    </row>
    <row r="4" spans="1:8" x14ac:dyDescent="0.25">
      <c r="A4" s="13" t="s">
        <v>29</v>
      </c>
      <c r="C4" s="28">
        <v>272</v>
      </c>
    </row>
    <row r="5" spans="1:8" ht="21" x14ac:dyDescent="0.35">
      <c r="A5" s="2" t="s">
        <v>2</v>
      </c>
    </row>
    <row r="7" spans="1:8" ht="18.75" x14ac:dyDescent="0.3">
      <c r="A7" s="5"/>
      <c r="D7" s="4"/>
      <c r="E7" s="27"/>
      <c r="H7" s="4"/>
    </row>
    <row r="8" spans="1:8" ht="18.75" x14ac:dyDescent="0.3">
      <c r="A8" s="5" t="s">
        <v>81</v>
      </c>
      <c r="D8" s="4">
        <v>1478788</v>
      </c>
      <c r="E8" s="27" t="s">
        <v>31</v>
      </c>
      <c r="H8" s="4">
        <v>236109</v>
      </c>
    </row>
    <row r="9" spans="1:8" ht="18.75" x14ac:dyDescent="0.3">
      <c r="A9" s="5" t="s">
        <v>82</v>
      </c>
      <c r="C9" s="3"/>
      <c r="D9" s="4">
        <v>50000</v>
      </c>
      <c r="E9" s="27"/>
      <c r="H9" s="4">
        <v>0</v>
      </c>
    </row>
    <row r="10" spans="1:8" ht="18.75" x14ac:dyDescent="0.3">
      <c r="A10" s="5"/>
      <c r="D10" s="4"/>
      <c r="E10" s="27"/>
      <c r="H10" s="4"/>
    </row>
    <row r="11" spans="1:8" ht="18.75" x14ac:dyDescent="0.3">
      <c r="A11" s="5"/>
      <c r="D11" s="4"/>
      <c r="E11" s="27"/>
      <c r="H11" s="4"/>
    </row>
    <row r="12" spans="1:8" ht="18.75" x14ac:dyDescent="0.3">
      <c r="A12" s="5"/>
      <c r="C12" s="3"/>
      <c r="D12" s="30"/>
      <c r="E12" s="27"/>
      <c r="H12" s="30"/>
    </row>
    <row r="13" spans="1:8" ht="19.5" thickBot="1" x14ac:dyDescent="0.35">
      <c r="A13" s="5"/>
      <c r="C13" s="3"/>
      <c r="D13" s="23"/>
      <c r="E13" s="27"/>
      <c r="H13" s="23"/>
    </row>
    <row r="14" spans="1:8" ht="18.75" customHeight="1" x14ac:dyDescent="0.3">
      <c r="D14" s="4">
        <f>SUM(D7:D13)</f>
        <v>1528788</v>
      </c>
      <c r="H14" s="4">
        <f>SUM(H7:H13)</f>
        <v>236109</v>
      </c>
    </row>
    <row r="15" spans="1:8" ht="18.75" x14ac:dyDescent="0.3">
      <c r="A15" s="5"/>
      <c r="C15" s="3"/>
      <c r="D15" s="4"/>
      <c r="H15" s="4"/>
    </row>
    <row r="17" spans="1:8" ht="18.75" x14ac:dyDescent="0.3">
      <c r="A17" s="5"/>
      <c r="C17" s="3"/>
      <c r="D17" s="4"/>
      <c r="H17" s="4"/>
    </row>
    <row r="18" spans="1:8" ht="15.75" thickBot="1" x14ac:dyDescent="0.3">
      <c r="D18" s="7"/>
      <c r="H18" s="7"/>
    </row>
    <row r="20" spans="1:8" ht="18.75" x14ac:dyDescent="0.3">
      <c r="C20" t="s">
        <v>4</v>
      </c>
      <c r="D20" s="4">
        <f>D3-D14</f>
        <v>692168</v>
      </c>
      <c r="G20" t="s">
        <v>5</v>
      </c>
      <c r="H20" s="4">
        <f>H3-H14</f>
        <v>126107</v>
      </c>
    </row>
    <row r="23" spans="1:8" ht="15.75" x14ac:dyDescent="0.25">
      <c r="A23" t="s">
        <v>6</v>
      </c>
      <c r="C23" s="8">
        <f>D20</f>
        <v>692168</v>
      </c>
      <c r="E23" t="s">
        <v>10</v>
      </c>
      <c r="H23" s="6">
        <f>C32</f>
        <v>557177.17599999998</v>
      </c>
    </row>
    <row r="25" spans="1:8" ht="15.75" x14ac:dyDescent="0.25">
      <c r="A25" t="s">
        <v>5</v>
      </c>
      <c r="B25" s="9" t="s">
        <v>7</v>
      </c>
      <c r="C25" s="8">
        <f>H20</f>
        <v>126107</v>
      </c>
      <c r="E25" s="13" t="s">
        <v>11</v>
      </c>
      <c r="F25" s="9" t="s">
        <v>12</v>
      </c>
      <c r="G25" s="15" t="s">
        <v>17</v>
      </c>
      <c r="H25" s="3">
        <f>-(F26*0.007)</f>
        <v>-13011.18</v>
      </c>
    </row>
    <row r="26" spans="1:8" x14ac:dyDescent="0.25">
      <c r="F26" s="21">
        <f>D3-H3</f>
        <v>1858740</v>
      </c>
    </row>
    <row r="27" spans="1:8" ht="16.5" thickBot="1" x14ac:dyDescent="0.3">
      <c r="A27" t="s">
        <v>8</v>
      </c>
      <c r="B27" s="9" t="s">
        <v>7</v>
      </c>
      <c r="C27" s="8">
        <f>D3*0.004</f>
        <v>8883.8240000000005</v>
      </c>
      <c r="F27" s="9" t="s">
        <v>13</v>
      </c>
      <c r="G27" s="16">
        <v>0.35</v>
      </c>
      <c r="H27" s="17">
        <f>-(F28*0.35)</f>
        <v>-195012.01159999997</v>
      </c>
    </row>
    <row r="28" spans="1:8" x14ac:dyDescent="0.25">
      <c r="F28" s="21">
        <f>H23</f>
        <v>557177.17599999998</v>
      </c>
    </row>
    <row r="29" spans="1:8" ht="15.75" x14ac:dyDescent="0.25">
      <c r="A29" t="s">
        <v>9</v>
      </c>
      <c r="B29" s="9" t="s">
        <v>7</v>
      </c>
      <c r="C29" s="10"/>
      <c r="G29" s="13" t="s">
        <v>14</v>
      </c>
      <c r="H29" s="6">
        <f>H23+H25+H27</f>
        <v>349153.98439999996</v>
      </c>
    </row>
    <row r="30" spans="1:8" ht="15.75" thickBot="1" x14ac:dyDescent="0.3">
      <c r="A30" s="16"/>
      <c r="B30" s="14"/>
      <c r="C30" s="7"/>
    </row>
    <row r="31" spans="1:8" x14ac:dyDescent="0.25">
      <c r="E31" t="s">
        <v>55</v>
      </c>
      <c r="H31" s="20">
        <f>H29*0.35</f>
        <v>122203.89453999998</v>
      </c>
    </row>
    <row r="32" spans="1:8" ht="15.75" x14ac:dyDescent="0.25">
      <c r="A32" t="s">
        <v>10</v>
      </c>
      <c r="C32" s="10">
        <f>C23-C25-C27-C29</f>
        <v>557177.17599999998</v>
      </c>
      <c r="H32" s="18"/>
    </row>
    <row r="33" spans="8:8" x14ac:dyDescent="0.25">
      <c r="H33" s="3"/>
    </row>
    <row r="34" spans="8:8" x14ac:dyDescent="0.25">
      <c r="H34" s="18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8764A-8DBF-46AC-B5F6-47722DAA8CD5}">
  <dimension ref="A1:H34"/>
  <sheetViews>
    <sheetView topLeftCell="A19" workbookViewId="0">
      <selection activeCell="C4" sqref="C4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3.28515625" bestFit="1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63</v>
      </c>
    </row>
    <row r="3" spans="1:8" ht="21" x14ac:dyDescent="0.35">
      <c r="A3" s="2" t="s">
        <v>1</v>
      </c>
      <c r="D3" s="11">
        <v>246449</v>
      </c>
      <c r="F3" s="12" t="s">
        <v>3</v>
      </c>
      <c r="H3" s="11">
        <v>39349</v>
      </c>
    </row>
    <row r="4" spans="1:8" x14ac:dyDescent="0.25">
      <c r="A4" s="13" t="s">
        <v>29</v>
      </c>
      <c r="C4" s="28">
        <v>273</v>
      </c>
    </row>
    <row r="5" spans="1:8" ht="21" x14ac:dyDescent="0.35">
      <c r="A5" s="2" t="s">
        <v>2</v>
      </c>
    </row>
    <row r="7" spans="1:8" ht="18.75" x14ac:dyDescent="0.3">
      <c r="A7" s="5"/>
      <c r="D7" s="4"/>
      <c r="E7" s="27"/>
      <c r="H7" s="4"/>
    </row>
    <row r="8" spans="1:8" ht="18.75" x14ac:dyDescent="0.3">
      <c r="A8" s="5" t="s">
        <v>83</v>
      </c>
      <c r="D8" s="4">
        <v>83324</v>
      </c>
      <c r="E8" s="27" t="s">
        <v>31</v>
      </c>
      <c r="H8" s="4">
        <v>13304</v>
      </c>
    </row>
    <row r="9" spans="1:8" ht="18.75" x14ac:dyDescent="0.3">
      <c r="A9" s="5" t="s">
        <v>84</v>
      </c>
      <c r="C9" s="3"/>
      <c r="D9" s="4">
        <v>50000</v>
      </c>
      <c r="E9" s="27" t="s">
        <v>31</v>
      </c>
      <c r="H9" s="4">
        <v>14778</v>
      </c>
    </row>
    <row r="10" spans="1:8" ht="18.75" x14ac:dyDescent="0.3">
      <c r="A10" s="5"/>
      <c r="D10" s="4"/>
      <c r="E10" s="27"/>
      <c r="H10" s="4"/>
    </row>
    <row r="11" spans="1:8" ht="18.75" x14ac:dyDescent="0.3">
      <c r="A11" s="5"/>
      <c r="D11" s="4"/>
      <c r="E11" s="27"/>
      <c r="H11" s="4"/>
    </row>
    <row r="12" spans="1:8" ht="18.75" x14ac:dyDescent="0.3">
      <c r="A12" s="5"/>
      <c r="C12" s="3"/>
      <c r="D12" s="30"/>
      <c r="E12" s="27"/>
      <c r="H12" s="30"/>
    </row>
    <row r="13" spans="1:8" ht="19.5" thickBot="1" x14ac:dyDescent="0.35">
      <c r="A13" s="5"/>
      <c r="C13" s="3"/>
      <c r="D13" s="23"/>
      <c r="E13" s="27"/>
      <c r="H13" s="23"/>
    </row>
    <row r="14" spans="1:8" ht="18.75" customHeight="1" x14ac:dyDescent="0.3">
      <c r="D14" s="4">
        <f>SUM(D7:D13)</f>
        <v>133324</v>
      </c>
      <c r="H14" s="4">
        <f>SUM(H7:H13)</f>
        <v>28082</v>
      </c>
    </row>
    <row r="15" spans="1:8" ht="18.75" x14ac:dyDescent="0.3">
      <c r="A15" s="5"/>
      <c r="C15" s="3"/>
      <c r="D15" s="4"/>
      <c r="H15" s="4"/>
    </row>
    <row r="17" spans="1:8" ht="18.75" x14ac:dyDescent="0.3">
      <c r="A17" s="5"/>
      <c r="C17" s="3"/>
      <c r="D17" s="4"/>
      <c r="H17" s="4"/>
    </row>
    <row r="18" spans="1:8" ht="15.75" thickBot="1" x14ac:dyDescent="0.3">
      <c r="D18" s="7"/>
      <c r="H18" s="7"/>
    </row>
    <row r="20" spans="1:8" ht="18.75" x14ac:dyDescent="0.3">
      <c r="C20" t="s">
        <v>4</v>
      </c>
      <c r="D20" s="4">
        <f>D3-D14</f>
        <v>113125</v>
      </c>
      <c r="G20" t="s">
        <v>5</v>
      </c>
      <c r="H20" s="4">
        <f>H3-H14</f>
        <v>11267</v>
      </c>
    </row>
    <row r="23" spans="1:8" ht="15.75" x14ac:dyDescent="0.25">
      <c r="A23" t="s">
        <v>6</v>
      </c>
      <c r="C23" s="8">
        <f>D20</f>
        <v>113125</v>
      </c>
      <c r="E23" t="s">
        <v>10</v>
      </c>
      <c r="H23" s="6">
        <f>C32</f>
        <v>100872.204</v>
      </c>
    </row>
    <row r="25" spans="1:8" ht="15.75" x14ac:dyDescent="0.25">
      <c r="A25" t="s">
        <v>5</v>
      </c>
      <c r="B25" s="9" t="s">
        <v>7</v>
      </c>
      <c r="C25" s="8">
        <f>H20</f>
        <v>11267</v>
      </c>
      <c r="E25" s="13" t="s">
        <v>11</v>
      </c>
      <c r="F25" s="9" t="s">
        <v>12</v>
      </c>
      <c r="G25" s="15" t="s">
        <v>17</v>
      </c>
      <c r="H25" s="3">
        <f>-(F26*0.007)</f>
        <v>-1449.7</v>
      </c>
    </row>
    <row r="26" spans="1:8" x14ac:dyDescent="0.25">
      <c r="F26" s="21">
        <f>D3-H3</f>
        <v>207100</v>
      </c>
    </row>
    <row r="27" spans="1:8" ht="16.5" thickBot="1" x14ac:dyDescent="0.3">
      <c r="A27" t="s">
        <v>8</v>
      </c>
      <c r="B27" s="9" t="s">
        <v>7</v>
      </c>
      <c r="C27" s="8">
        <f>D3*0.004</f>
        <v>985.79600000000005</v>
      </c>
      <c r="F27" s="9" t="s">
        <v>13</v>
      </c>
      <c r="G27" s="16">
        <v>0.35</v>
      </c>
      <c r="H27" s="17">
        <f>-(F28*0.35)</f>
        <v>-35305.271399999998</v>
      </c>
    </row>
    <row r="28" spans="1:8" x14ac:dyDescent="0.25">
      <c r="F28" s="21">
        <f>H23</f>
        <v>100872.204</v>
      </c>
    </row>
    <row r="29" spans="1:8" ht="15.75" x14ac:dyDescent="0.25">
      <c r="A29" t="s">
        <v>9</v>
      </c>
      <c r="B29" s="9" t="s">
        <v>7</v>
      </c>
      <c r="C29" s="10"/>
      <c r="G29" s="13" t="s">
        <v>14</v>
      </c>
      <c r="H29" s="6">
        <f>H23+H25+H27</f>
        <v>64117.232600000003</v>
      </c>
    </row>
    <row r="30" spans="1:8" ht="15.75" thickBot="1" x14ac:dyDescent="0.3">
      <c r="A30" s="16"/>
      <c r="B30" s="14"/>
      <c r="C30" s="7"/>
    </row>
    <row r="31" spans="1:8" x14ac:dyDescent="0.25">
      <c r="E31" t="s">
        <v>55</v>
      </c>
      <c r="H31" s="20">
        <f>H29*0.35</f>
        <v>22441.03141</v>
      </c>
    </row>
    <row r="32" spans="1:8" ht="15.75" x14ac:dyDescent="0.25">
      <c r="A32" t="s">
        <v>10</v>
      </c>
      <c r="C32" s="10">
        <f>C23-C25-C27-C29</f>
        <v>100872.204</v>
      </c>
      <c r="H32" s="18"/>
    </row>
    <row r="33" spans="8:8" x14ac:dyDescent="0.25">
      <c r="H33" s="3"/>
    </row>
    <row r="34" spans="8:8" x14ac:dyDescent="0.25">
      <c r="H34" s="18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1853E-7E7E-41F0-8FB2-317740A6CD00}">
  <dimension ref="A1:H35"/>
  <sheetViews>
    <sheetView topLeftCell="A19"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3.28515625" bestFit="1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85</v>
      </c>
    </row>
    <row r="3" spans="1:8" ht="21" x14ac:dyDescent="0.35">
      <c r="A3" s="2" t="s">
        <v>1</v>
      </c>
      <c r="D3" s="11">
        <v>318563</v>
      </c>
      <c r="F3" s="12" t="s">
        <v>3</v>
      </c>
      <c r="H3" s="11">
        <v>50863</v>
      </c>
    </row>
    <row r="4" spans="1:8" x14ac:dyDescent="0.25">
      <c r="A4" s="13" t="s">
        <v>29</v>
      </c>
      <c r="C4" s="28">
        <v>277</v>
      </c>
    </row>
    <row r="5" spans="1:8" ht="21" x14ac:dyDescent="0.35">
      <c r="A5" s="2" t="s">
        <v>2</v>
      </c>
    </row>
    <row r="7" spans="1:8" ht="18.75" x14ac:dyDescent="0.3">
      <c r="A7" s="5"/>
      <c r="D7" s="4"/>
      <c r="E7" s="27"/>
      <c r="H7" s="4"/>
    </row>
    <row r="8" spans="1:8" ht="18.75" x14ac:dyDescent="0.3">
      <c r="A8" s="5" t="s">
        <v>86</v>
      </c>
      <c r="D8" s="4">
        <v>196360</v>
      </c>
      <c r="E8" s="27" t="s">
        <v>31</v>
      </c>
      <c r="H8" s="4">
        <v>31352</v>
      </c>
    </row>
    <row r="9" spans="1:8" ht="18.75" x14ac:dyDescent="0.3">
      <c r="A9" s="5"/>
      <c r="C9" s="3"/>
      <c r="D9" s="4"/>
      <c r="E9" s="27"/>
      <c r="H9" s="4"/>
    </row>
    <row r="10" spans="1:8" ht="18.75" x14ac:dyDescent="0.3">
      <c r="A10" s="5"/>
      <c r="D10" s="4"/>
      <c r="E10" s="27"/>
      <c r="H10" s="4"/>
    </row>
    <row r="11" spans="1:8" ht="18.75" x14ac:dyDescent="0.3">
      <c r="A11" s="5"/>
      <c r="D11" s="4"/>
      <c r="E11" s="27"/>
      <c r="H11" s="4"/>
    </row>
    <row r="12" spans="1:8" ht="18.75" x14ac:dyDescent="0.3">
      <c r="A12" s="5"/>
      <c r="C12" s="3"/>
      <c r="D12" s="30"/>
      <c r="E12" s="27"/>
      <c r="H12" s="30"/>
    </row>
    <row r="13" spans="1:8" ht="18.75" x14ac:dyDescent="0.3">
      <c r="A13" s="5"/>
      <c r="C13" s="3"/>
      <c r="D13" s="31"/>
      <c r="E13" s="27"/>
      <c r="H13" s="31"/>
    </row>
    <row r="14" spans="1:8" ht="19.5" thickBot="1" x14ac:dyDescent="0.35">
      <c r="A14" s="5"/>
      <c r="C14" s="3"/>
      <c r="D14" s="23"/>
      <c r="E14" s="27"/>
      <c r="H14" s="23"/>
    </row>
    <row r="15" spans="1:8" ht="18.75" customHeight="1" x14ac:dyDescent="0.3">
      <c r="D15" s="4">
        <f>SUM(D7:D14)</f>
        <v>196360</v>
      </c>
      <c r="H15" s="4">
        <f>SUM(H7:H14)</f>
        <v>31352</v>
      </c>
    </row>
    <row r="16" spans="1:8" ht="18.75" x14ac:dyDescent="0.3">
      <c r="A16" s="5"/>
      <c r="C16" s="3"/>
      <c r="D16" s="4"/>
      <c r="H16" s="4"/>
    </row>
    <row r="18" spans="1:8" ht="18.75" x14ac:dyDescent="0.3">
      <c r="A18" s="5"/>
      <c r="C18" s="3"/>
      <c r="D18" s="4"/>
      <c r="H18" s="4"/>
    </row>
    <row r="19" spans="1:8" ht="15.75" thickBot="1" x14ac:dyDescent="0.3">
      <c r="D19" s="7"/>
      <c r="H19" s="7"/>
    </row>
    <row r="21" spans="1:8" ht="18.75" x14ac:dyDescent="0.3">
      <c r="C21" t="s">
        <v>4</v>
      </c>
      <c r="D21" s="4">
        <f>D3-D15</f>
        <v>122203</v>
      </c>
      <c r="G21" t="s">
        <v>5</v>
      </c>
      <c r="H21" s="4">
        <f>H3-H15</f>
        <v>19511</v>
      </c>
    </row>
    <row r="24" spans="1:8" ht="15.75" x14ac:dyDescent="0.25">
      <c r="A24" t="s">
        <v>6</v>
      </c>
      <c r="C24" s="8">
        <f>D21</f>
        <v>122203</v>
      </c>
      <c r="E24" t="s">
        <v>10</v>
      </c>
      <c r="H24" s="6">
        <f>C33</f>
        <v>101417.74800000001</v>
      </c>
    </row>
    <row r="26" spans="1:8" ht="15.75" x14ac:dyDescent="0.25">
      <c r="A26" t="s">
        <v>5</v>
      </c>
      <c r="B26" s="9" t="s">
        <v>7</v>
      </c>
      <c r="C26" s="8">
        <f>H21</f>
        <v>19511</v>
      </c>
      <c r="E26" s="13" t="s">
        <v>11</v>
      </c>
      <c r="F26" s="9" t="s">
        <v>12</v>
      </c>
      <c r="G26" s="15" t="s">
        <v>17</v>
      </c>
      <c r="H26" s="3">
        <f>-(F27*0.007)</f>
        <v>-1873.9</v>
      </c>
    </row>
    <row r="27" spans="1:8" x14ac:dyDescent="0.25">
      <c r="F27" s="21">
        <f>D3-H3</f>
        <v>267700</v>
      </c>
    </row>
    <row r="28" spans="1:8" ht="16.5" thickBot="1" x14ac:dyDescent="0.3">
      <c r="A28" t="s">
        <v>8</v>
      </c>
      <c r="B28" s="9" t="s">
        <v>7</v>
      </c>
      <c r="C28" s="8">
        <f>D3*0.004</f>
        <v>1274.252</v>
      </c>
      <c r="F28" s="9" t="s">
        <v>13</v>
      </c>
      <c r="G28" s="16">
        <v>0.35</v>
      </c>
      <c r="H28" s="17">
        <f>-(F29*0.35)</f>
        <v>-35496.211799999997</v>
      </c>
    </row>
    <row r="29" spans="1:8" x14ac:dyDescent="0.25">
      <c r="F29" s="21">
        <f>H24</f>
        <v>101417.74800000001</v>
      </c>
    </row>
    <row r="30" spans="1:8" ht="15.75" x14ac:dyDescent="0.25">
      <c r="A30" t="s">
        <v>9</v>
      </c>
      <c r="B30" s="9" t="s">
        <v>7</v>
      </c>
      <c r="C30" s="10"/>
      <c r="G30" s="13" t="s">
        <v>14</v>
      </c>
      <c r="H30" s="6">
        <f>H24+H26+H28</f>
        <v>64047.636200000015</v>
      </c>
    </row>
    <row r="31" spans="1:8" ht="15.75" thickBot="1" x14ac:dyDescent="0.3">
      <c r="A31" s="16"/>
      <c r="B31" s="14"/>
      <c r="C31" s="7"/>
    </row>
    <row r="32" spans="1:8" x14ac:dyDescent="0.25">
      <c r="E32" t="s">
        <v>55</v>
      </c>
      <c r="H32" s="20">
        <f>H30*0.35</f>
        <v>22416.672670000004</v>
      </c>
    </row>
    <row r="33" spans="1:8" ht="15.75" x14ac:dyDescent="0.25">
      <c r="A33" t="s">
        <v>10</v>
      </c>
      <c r="C33" s="10">
        <f>C24-C26-C28-C30</f>
        <v>101417.74800000001</v>
      </c>
      <c r="H33" s="18"/>
    </row>
    <row r="34" spans="1:8" x14ac:dyDescent="0.25">
      <c r="H34" s="3"/>
    </row>
    <row r="35" spans="1:8" x14ac:dyDescent="0.25">
      <c r="H35" s="18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4287D-7069-43D2-8229-1F0C41195BE9}">
  <dimension ref="A1:H35"/>
  <sheetViews>
    <sheetView topLeftCell="A19"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3.28515625" bestFit="1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80</v>
      </c>
    </row>
    <row r="3" spans="1:8" ht="21" x14ac:dyDescent="0.35">
      <c r="A3" s="2" t="s">
        <v>1</v>
      </c>
      <c r="D3" s="11">
        <v>820505</v>
      </c>
      <c r="F3" s="12" t="s">
        <v>3</v>
      </c>
      <c r="H3" s="11">
        <v>131005</v>
      </c>
    </row>
    <row r="4" spans="1:8" x14ac:dyDescent="0.25">
      <c r="A4" s="13" t="s">
        <v>29</v>
      </c>
      <c r="C4" s="28">
        <v>278</v>
      </c>
    </row>
    <row r="5" spans="1:8" ht="21" x14ac:dyDescent="0.35">
      <c r="A5" s="2" t="s">
        <v>2</v>
      </c>
    </row>
    <row r="7" spans="1:8" ht="18.75" x14ac:dyDescent="0.3">
      <c r="A7" s="5"/>
      <c r="D7" s="4"/>
      <c r="E7" s="27"/>
      <c r="H7" s="4"/>
    </row>
    <row r="8" spans="1:8" ht="18.75" x14ac:dyDescent="0.3">
      <c r="A8" s="5" t="s">
        <v>87</v>
      </c>
      <c r="D8" s="4">
        <v>491982</v>
      </c>
      <c r="E8" s="27" t="s">
        <v>31</v>
      </c>
      <c r="H8" s="4">
        <v>78552</v>
      </c>
    </row>
    <row r="9" spans="1:8" ht="18.75" x14ac:dyDescent="0.3">
      <c r="A9" s="5" t="s">
        <v>88</v>
      </c>
      <c r="C9" s="3"/>
      <c r="D9" s="4">
        <v>15000</v>
      </c>
      <c r="E9" s="27"/>
      <c r="H9" s="4">
        <v>0</v>
      </c>
    </row>
    <row r="10" spans="1:8" ht="18.75" x14ac:dyDescent="0.3">
      <c r="A10" s="5"/>
      <c r="D10" s="4"/>
      <c r="E10" s="27"/>
      <c r="H10" s="4"/>
    </row>
    <row r="11" spans="1:8" ht="18.75" x14ac:dyDescent="0.3">
      <c r="A11" s="5"/>
      <c r="D11" s="4"/>
      <c r="E11" s="27"/>
      <c r="H11" s="4"/>
    </row>
    <row r="12" spans="1:8" ht="18.75" x14ac:dyDescent="0.3">
      <c r="A12" s="5"/>
      <c r="C12" s="3"/>
      <c r="D12" s="30"/>
      <c r="E12" s="27"/>
      <c r="H12" s="30"/>
    </row>
    <row r="13" spans="1:8" ht="18.75" x14ac:dyDescent="0.3">
      <c r="A13" s="5"/>
      <c r="C13" s="3"/>
      <c r="D13" s="31"/>
      <c r="E13" s="27"/>
      <c r="H13" s="31"/>
    </row>
    <row r="14" spans="1:8" ht="19.5" thickBot="1" x14ac:dyDescent="0.35">
      <c r="A14" s="5"/>
      <c r="C14" s="3"/>
      <c r="D14" s="23"/>
      <c r="E14" s="27"/>
      <c r="H14" s="23"/>
    </row>
    <row r="15" spans="1:8" ht="18.75" customHeight="1" x14ac:dyDescent="0.3">
      <c r="D15" s="4">
        <f>SUM(D7:D14)</f>
        <v>506982</v>
      </c>
      <c r="H15" s="4">
        <f>SUM(H7:H14)</f>
        <v>78552</v>
      </c>
    </row>
    <row r="16" spans="1:8" ht="18.75" x14ac:dyDescent="0.3">
      <c r="A16" s="5"/>
      <c r="C16" s="3"/>
      <c r="D16" s="4"/>
      <c r="H16" s="4"/>
    </row>
    <row r="18" spans="1:8" ht="18.75" x14ac:dyDescent="0.3">
      <c r="A18" s="5"/>
      <c r="C18" s="3"/>
      <c r="D18" s="4"/>
      <c r="H18" s="4"/>
    </row>
    <row r="19" spans="1:8" ht="15.75" thickBot="1" x14ac:dyDescent="0.3">
      <c r="D19" s="7"/>
      <c r="H19" s="7"/>
    </row>
    <row r="21" spans="1:8" ht="18.75" x14ac:dyDescent="0.3">
      <c r="C21" t="s">
        <v>4</v>
      </c>
      <c r="D21" s="4">
        <f>D3-D15</f>
        <v>313523</v>
      </c>
      <c r="G21" t="s">
        <v>5</v>
      </c>
      <c r="H21" s="4">
        <f>H3-H15</f>
        <v>52453</v>
      </c>
    </row>
    <row r="24" spans="1:8" ht="15.75" x14ac:dyDescent="0.25">
      <c r="A24" t="s">
        <v>6</v>
      </c>
      <c r="C24" s="8">
        <f>D21</f>
        <v>313523</v>
      </c>
      <c r="E24" t="s">
        <v>10</v>
      </c>
      <c r="H24" s="6">
        <f>C33</f>
        <v>257787.98</v>
      </c>
    </row>
    <row r="26" spans="1:8" ht="15.75" x14ac:dyDescent="0.25">
      <c r="A26" t="s">
        <v>5</v>
      </c>
      <c r="B26" s="9" t="s">
        <v>7</v>
      </c>
      <c r="C26" s="8">
        <f>H21</f>
        <v>52453</v>
      </c>
      <c r="E26" s="13" t="s">
        <v>11</v>
      </c>
      <c r="F26" s="9" t="s">
        <v>12</v>
      </c>
      <c r="G26" s="15" t="s">
        <v>17</v>
      </c>
      <c r="H26" s="3">
        <f>-(F27*0.007)</f>
        <v>-4826.5</v>
      </c>
    </row>
    <row r="27" spans="1:8" x14ac:dyDescent="0.25">
      <c r="F27" s="21">
        <f>D3-H3</f>
        <v>689500</v>
      </c>
    </row>
    <row r="28" spans="1:8" ht="16.5" thickBot="1" x14ac:dyDescent="0.3">
      <c r="A28" t="s">
        <v>8</v>
      </c>
      <c r="B28" s="9" t="s">
        <v>7</v>
      </c>
      <c r="C28" s="8">
        <f>D3*0.004</f>
        <v>3282.02</v>
      </c>
      <c r="F28" s="9" t="s">
        <v>13</v>
      </c>
      <c r="G28" s="16">
        <v>0.35</v>
      </c>
      <c r="H28" s="17">
        <f>-(F29*0.35)</f>
        <v>-90225.793000000005</v>
      </c>
    </row>
    <row r="29" spans="1:8" x14ac:dyDescent="0.25">
      <c r="F29" s="21">
        <f>H24</f>
        <v>257787.98</v>
      </c>
    </row>
    <row r="30" spans="1:8" ht="15.75" x14ac:dyDescent="0.25">
      <c r="A30" t="s">
        <v>9</v>
      </c>
      <c r="B30" s="9" t="s">
        <v>7</v>
      </c>
      <c r="C30" s="10"/>
      <c r="G30" s="13" t="s">
        <v>14</v>
      </c>
      <c r="H30" s="6">
        <f>H24+H26+H28</f>
        <v>162735.68700000001</v>
      </c>
    </row>
    <row r="31" spans="1:8" ht="15.75" thickBot="1" x14ac:dyDescent="0.3">
      <c r="A31" s="16"/>
      <c r="B31" s="14"/>
      <c r="C31" s="7"/>
    </row>
    <row r="32" spans="1:8" x14ac:dyDescent="0.25">
      <c r="E32" t="s">
        <v>55</v>
      </c>
      <c r="H32" s="20">
        <f>H30*0.35</f>
        <v>56957.490449999998</v>
      </c>
    </row>
    <row r="33" spans="1:8" ht="15.75" x14ac:dyDescent="0.25">
      <c r="A33" t="s">
        <v>10</v>
      </c>
      <c r="C33" s="10">
        <f>C24-C26-C28-C30</f>
        <v>257787.98</v>
      </c>
      <c r="H33" s="18"/>
    </row>
    <row r="34" spans="1:8" x14ac:dyDescent="0.25">
      <c r="H34" s="3"/>
    </row>
    <row r="35" spans="1:8" x14ac:dyDescent="0.25">
      <c r="H35" s="18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B2B02-4662-43CB-994F-FBAFCEB35350}">
  <dimension ref="A1:H35"/>
  <sheetViews>
    <sheetView topLeftCell="A19"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3.28515625" bestFit="1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89</v>
      </c>
    </row>
    <row r="3" spans="1:8" ht="21" x14ac:dyDescent="0.35">
      <c r="A3" s="2" t="s">
        <v>1</v>
      </c>
      <c r="D3" s="11">
        <v>193494</v>
      </c>
      <c r="F3" s="12" t="s">
        <v>3</v>
      </c>
      <c r="H3" s="11">
        <v>30894</v>
      </c>
    </row>
    <row r="4" spans="1:8" x14ac:dyDescent="0.25">
      <c r="A4" s="13" t="s">
        <v>29</v>
      </c>
      <c r="C4" s="28">
        <v>279</v>
      </c>
    </row>
    <row r="5" spans="1:8" ht="21" x14ac:dyDescent="0.35">
      <c r="A5" s="2" t="s">
        <v>2</v>
      </c>
    </row>
    <row r="7" spans="1:8" ht="18.75" x14ac:dyDescent="0.3">
      <c r="A7" s="5"/>
      <c r="D7" s="4"/>
      <c r="E7" s="27"/>
      <c r="H7" s="4"/>
    </row>
    <row r="8" spans="1:8" ht="18.75" x14ac:dyDescent="0.3">
      <c r="A8" s="5" t="s">
        <v>90</v>
      </c>
      <c r="D8" s="4">
        <v>135203</v>
      </c>
      <c r="E8" s="27" t="s">
        <v>31</v>
      </c>
      <c r="H8" s="4">
        <v>21587</v>
      </c>
    </row>
    <row r="9" spans="1:8" ht="18.75" x14ac:dyDescent="0.3">
      <c r="A9" s="5"/>
      <c r="C9" s="3"/>
      <c r="D9" s="4"/>
      <c r="E9" s="27"/>
      <c r="H9" s="4">
        <v>0</v>
      </c>
    </row>
    <row r="10" spans="1:8" ht="18.75" x14ac:dyDescent="0.3">
      <c r="A10" s="5"/>
      <c r="D10" s="4"/>
      <c r="E10" s="27"/>
      <c r="H10" s="4"/>
    </row>
    <row r="11" spans="1:8" ht="18.75" x14ac:dyDescent="0.3">
      <c r="A11" s="5"/>
      <c r="D11" s="4"/>
      <c r="E11" s="27"/>
      <c r="H11" s="4"/>
    </row>
    <row r="12" spans="1:8" ht="18.75" x14ac:dyDescent="0.3">
      <c r="A12" s="5"/>
      <c r="C12" s="3"/>
      <c r="D12" s="30"/>
      <c r="E12" s="27"/>
      <c r="H12" s="30"/>
    </row>
    <row r="13" spans="1:8" ht="18.75" x14ac:dyDescent="0.3">
      <c r="A13" s="5"/>
      <c r="C13" s="3"/>
      <c r="D13" s="31"/>
      <c r="E13" s="27"/>
      <c r="H13" s="31"/>
    </row>
    <row r="14" spans="1:8" ht="19.5" thickBot="1" x14ac:dyDescent="0.35">
      <c r="A14" s="5"/>
      <c r="C14" s="3"/>
      <c r="D14" s="23"/>
      <c r="E14" s="27"/>
      <c r="H14" s="23"/>
    </row>
    <row r="15" spans="1:8" ht="18.75" customHeight="1" x14ac:dyDescent="0.3">
      <c r="D15" s="4">
        <f>SUM(D7:D14)</f>
        <v>135203</v>
      </c>
      <c r="H15" s="4">
        <f>SUM(H7:H14)</f>
        <v>21587</v>
      </c>
    </row>
    <row r="16" spans="1:8" ht="18.75" x14ac:dyDescent="0.3">
      <c r="A16" s="5"/>
      <c r="C16" s="3"/>
      <c r="D16" s="4"/>
      <c r="H16" s="4"/>
    </row>
    <row r="18" spans="1:8" ht="18.75" x14ac:dyDescent="0.3">
      <c r="A18" s="5"/>
      <c r="C18" s="3"/>
      <c r="D18" s="4"/>
      <c r="H18" s="4"/>
    </row>
    <row r="19" spans="1:8" ht="15.75" thickBot="1" x14ac:dyDescent="0.3">
      <c r="D19" s="7"/>
      <c r="H19" s="7"/>
    </row>
    <row r="21" spans="1:8" ht="18.75" x14ac:dyDescent="0.3">
      <c r="C21" t="s">
        <v>4</v>
      </c>
      <c r="D21" s="4">
        <f>D3-D15</f>
        <v>58291</v>
      </c>
      <c r="G21" t="s">
        <v>5</v>
      </c>
      <c r="H21" s="4">
        <f>H3-H15</f>
        <v>9307</v>
      </c>
    </row>
    <row r="24" spans="1:8" ht="15.75" x14ac:dyDescent="0.25">
      <c r="A24" t="s">
        <v>6</v>
      </c>
      <c r="C24" s="8">
        <f>D21</f>
        <v>58291</v>
      </c>
      <c r="E24" t="s">
        <v>10</v>
      </c>
      <c r="H24" s="6">
        <f>C33</f>
        <v>48210.023999999998</v>
      </c>
    </row>
    <row r="26" spans="1:8" ht="15.75" x14ac:dyDescent="0.25">
      <c r="A26" t="s">
        <v>5</v>
      </c>
      <c r="B26" s="9" t="s">
        <v>7</v>
      </c>
      <c r="C26" s="8">
        <f>H21</f>
        <v>9307</v>
      </c>
      <c r="E26" s="13" t="s">
        <v>11</v>
      </c>
      <c r="F26" s="9" t="s">
        <v>12</v>
      </c>
      <c r="G26" s="15" t="s">
        <v>17</v>
      </c>
      <c r="H26" s="3">
        <f>-(F27*0.007)</f>
        <v>-1138.2</v>
      </c>
    </row>
    <row r="27" spans="1:8" x14ac:dyDescent="0.25">
      <c r="F27" s="21">
        <f>D3-H3</f>
        <v>162600</v>
      </c>
    </row>
    <row r="28" spans="1:8" ht="16.5" thickBot="1" x14ac:dyDescent="0.3">
      <c r="A28" t="s">
        <v>8</v>
      </c>
      <c r="B28" s="9" t="s">
        <v>7</v>
      </c>
      <c r="C28" s="8">
        <f>D3*0.004</f>
        <v>773.976</v>
      </c>
      <c r="F28" s="9" t="s">
        <v>13</v>
      </c>
      <c r="G28" s="16">
        <v>0.35</v>
      </c>
      <c r="H28" s="17">
        <f>-(F29*0.35)</f>
        <v>-16873.508399999999</v>
      </c>
    </row>
    <row r="29" spans="1:8" x14ac:dyDescent="0.25">
      <c r="F29" s="21">
        <f>H24</f>
        <v>48210.023999999998</v>
      </c>
    </row>
    <row r="30" spans="1:8" ht="15.75" x14ac:dyDescent="0.25">
      <c r="A30" t="s">
        <v>9</v>
      </c>
      <c r="B30" s="9" t="s">
        <v>7</v>
      </c>
      <c r="C30" s="10"/>
      <c r="G30" s="13" t="s">
        <v>14</v>
      </c>
      <c r="H30" s="6">
        <f>H24+H26+H28</f>
        <v>30198.315600000002</v>
      </c>
    </row>
    <row r="31" spans="1:8" ht="15.75" thickBot="1" x14ac:dyDescent="0.3">
      <c r="A31" s="16"/>
      <c r="B31" s="14"/>
      <c r="C31" s="7"/>
    </row>
    <row r="32" spans="1:8" x14ac:dyDescent="0.25">
      <c r="E32" t="s">
        <v>55</v>
      </c>
      <c r="H32" s="20">
        <f>H30*0.35</f>
        <v>10569.410459999999</v>
      </c>
    </row>
    <row r="33" spans="1:8" ht="15.75" x14ac:dyDescent="0.25">
      <c r="A33" t="s">
        <v>10</v>
      </c>
      <c r="C33" s="10">
        <f>C24-C26-C28-C30</f>
        <v>48210.023999999998</v>
      </c>
      <c r="H33" s="18"/>
    </row>
    <row r="34" spans="1:8" x14ac:dyDescent="0.25">
      <c r="H34" s="3"/>
    </row>
    <row r="35" spans="1:8" x14ac:dyDescent="0.25">
      <c r="H35" s="18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74518-90B9-48F5-B316-F8B66453D360}">
  <dimension ref="A1:H35"/>
  <sheetViews>
    <sheetView topLeftCell="A19"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3.28515625" bestFit="1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91</v>
      </c>
    </row>
    <row r="3" spans="1:8" ht="21" x14ac:dyDescent="0.35">
      <c r="A3" s="2" t="s">
        <v>1</v>
      </c>
      <c r="D3" s="11">
        <v>235144</v>
      </c>
      <c r="F3" s="12" t="s">
        <v>3</v>
      </c>
      <c r="H3" s="11">
        <v>37544</v>
      </c>
    </row>
    <row r="4" spans="1:8" x14ac:dyDescent="0.25">
      <c r="A4" s="13" t="s">
        <v>29</v>
      </c>
      <c r="C4" s="28">
        <v>283</v>
      </c>
    </row>
    <row r="5" spans="1:8" ht="21" x14ac:dyDescent="0.35">
      <c r="A5" s="2" t="s">
        <v>2</v>
      </c>
    </row>
    <row r="7" spans="1:8" ht="18.75" x14ac:dyDescent="0.3">
      <c r="A7" s="5"/>
      <c r="D7" s="4"/>
      <c r="E7" s="27"/>
      <c r="H7" s="4"/>
    </row>
    <row r="8" spans="1:8" ht="18.75" x14ac:dyDescent="0.3">
      <c r="A8" s="5" t="s">
        <v>93</v>
      </c>
      <c r="D8" s="4">
        <v>177000</v>
      </c>
      <c r="E8" s="27" t="s">
        <v>31</v>
      </c>
      <c r="H8" s="4">
        <v>28260</v>
      </c>
    </row>
    <row r="9" spans="1:8" ht="18.75" x14ac:dyDescent="0.3">
      <c r="A9" s="5" t="s">
        <v>92</v>
      </c>
      <c r="C9" s="3"/>
      <c r="D9" s="4">
        <v>30000</v>
      </c>
      <c r="E9" s="27"/>
      <c r="H9" s="4"/>
    </row>
    <row r="10" spans="1:8" ht="18.75" x14ac:dyDescent="0.3">
      <c r="A10" s="5"/>
      <c r="D10" s="4"/>
      <c r="E10" s="27"/>
      <c r="H10" s="4"/>
    </row>
    <row r="11" spans="1:8" ht="18.75" x14ac:dyDescent="0.3">
      <c r="A11" s="5"/>
      <c r="D11" s="4"/>
      <c r="E11" s="27"/>
      <c r="H11" s="4"/>
    </row>
    <row r="12" spans="1:8" ht="18.75" x14ac:dyDescent="0.3">
      <c r="A12" s="5"/>
      <c r="C12" s="3"/>
      <c r="D12" s="30"/>
      <c r="E12" s="27"/>
      <c r="H12" s="30"/>
    </row>
    <row r="13" spans="1:8" ht="18.75" x14ac:dyDescent="0.3">
      <c r="A13" s="5"/>
      <c r="C13" s="3"/>
      <c r="D13" s="31"/>
      <c r="E13" s="27"/>
      <c r="H13" s="31"/>
    </row>
    <row r="14" spans="1:8" ht="19.5" thickBot="1" x14ac:dyDescent="0.35">
      <c r="A14" s="5"/>
      <c r="C14" s="3"/>
      <c r="D14" s="23"/>
      <c r="E14" s="27"/>
      <c r="H14" s="23"/>
    </row>
    <row r="15" spans="1:8" ht="18.75" customHeight="1" x14ac:dyDescent="0.3">
      <c r="D15" s="4">
        <f>SUM(D7:D14)</f>
        <v>207000</v>
      </c>
      <c r="H15" s="4">
        <f>SUM(H7:H14)</f>
        <v>28260</v>
      </c>
    </row>
    <row r="16" spans="1:8" ht="18.75" x14ac:dyDescent="0.3">
      <c r="A16" s="5"/>
      <c r="C16" s="3"/>
      <c r="D16" s="4"/>
      <c r="H16" s="4"/>
    </row>
    <row r="18" spans="1:8" ht="18.75" x14ac:dyDescent="0.3">
      <c r="A18" s="5"/>
      <c r="C18" s="3"/>
      <c r="D18" s="4"/>
      <c r="H18" s="4"/>
    </row>
    <row r="19" spans="1:8" ht="15.75" thickBot="1" x14ac:dyDescent="0.3">
      <c r="D19" s="7"/>
      <c r="H19" s="7"/>
    </row>
    <row r="21" spans="1:8" ht="18.75" x14ac:dyDescent="0.3">
      <c r="C21" t="s">
        <v>4</v>
      </c>
      <c r="D21" s="4">
        <f>D3-D15</f>
        <v>28144</v>
      </c>
      <c r="G21" t="s">
        <v>5</v>
      </c>
      <c r="H21" s="4">
        <f>H3-H15</f>
        <v>9284</v>
      </c>
    </row>
    <row r="24" spans="1:8" ht="15.75" x14ac:dyDescent="0.25">
      <c r="A24" t="s">
        <v>6</v>
      </c>
      <c r="C24" s="8">
        <f>D21</f>
        <v>28144</v>
      </c>
      <c r="E24" t="s">
        <v>10</v>
      </c>
      <c r="H24" s="6">
        <f>C33</f>
        <v>17919.423999999999</v>
      </c>
    </row>
    <row r="26" spans="1:8" ht="15.75" x14ac:dyDescent="0.25">
      <c r="A26" t="s">
        <v>5</v>
      </c>
      <c r="B26" s="9" t="s">
        <v>7</v>
      </c>
      <c r="C26" s="8">
        <f>H21</f>
        <v>9284</v>
      </c>
      <c r="E26" s="13" t="s">
        <v>11</v>
      </c>
      <c r="F26" s="9" t="s">
        <v>12</v>
      </c>
      <c r="G26" s="15" t="s">
        <v>17</v>
      </c>
      <c r="H26" s="3">
        <f>-(F27*0.007)</f>
        <v>-1383.2</v>
      </c>
    </row>
    <row r="27" spans="1:8" x14ac:dyDescent="0.25">
      <c r="F27" s="21">
        <f>D3-H3</f>
        <v>197600</v>
      </c>
    </row>
    <row r="28" spans="1:8" ht="16.5" thickBot="1" x14ac:dyDescent="0.3">
      <c r="A28" t="s">
        <v>8</v>
      </c>
      <c r="B28" s="9" t="s">
        <v>7</v>
      </c>
      <c r="C28" s="8">
        <f>D3*0.004</f>
        <v>940.57600000000002</v>
      </c>
      <c r="F28" s="9" t="s">
        <v>13</v>
      </c>
      <c r="G28" s="16">
        <v>0.35</v>
      </c>
      <c r="H28" s="17">
        <f>-(F29*0.35)</f>
        <v>-6271.7983999999997</v>
      </c>
    </row>
    <row r="29" spans="1:8" x14ac:dyDescent="0.25">
      <c r="F29" s="21">
        <f>H24</f>
        <v>17919.423999999999</v>
      </c>
    </row>
    <row r="30" spans="1:8" ht="15.75" x14ac:dyDescent="0.25">
      <c r="A30" t="s">
        <v>9</v>
      </c>
      <c r="B30" s="9" t="s">
        <v>7</v>
      </c>
      <c r="C30" s="10"/>
      <c r="G30" s="13" t="s">
        <v>14</v>
      </c>
      <c r="H30" s="6">
        <f>H24+H26+H28</f>
        <v>10264.425599999999</v>
      </c>
    </row>
    <row r="31" spans="1:8" ht="15.75" thickBot="1" x14ac:dyDescent="0.3">
      <c r="A31" s="16"/>
      <c r="B31" s="14"/>
      <c r="C31" s="7"/>
    </row>
    <row r="32" spans="1:8" x14ac:dyDescent="0.25">
      <c r="E32" t="s">
        <v>55</v>
      </c>
      <c r="H32" s="20">
        <f>H30*0.35</f>
        <v>3592.5489599999992</v>
      </c>
    </row>
    <row r="33" spans="1:8" ht="15.75" x14ac:dyDescent="0.25">
      <c r="A33" t="s">
        <v>10</v>
      </c>
      <c r="C33" s="10">
        <f>C24-C26-C28-C30</f>
        <v>17919.423999999999</v>
      </c>
      <c r="H33" s="18"/>
    </row>
    <row r="34" spans="1:8" x14ac:dyDescent="0.25">
      <c r="H34" s="3"/>
    </row>
    <row r="35" spans="1:8" x14ac:dyDescent="0.25">
      <c r="H35" s="18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516D7-58E9-459F-8EA0-181FF59D63F4}">
  <dimension ref="A1:H35"/>
  <sheetViews>
    <sheetView topLeftCell="A16" workbookViewId="0">
      <selection activeCell="C5" sqref="C5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3.28515625" bestFit="1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94</v>
      </c>
    </row>
    <row r="3" spans="1:8" ht="21" x14ac:dyDescent="0.35">
      <c r="A3" s="2" t="s">
        <v>1</v>
      </c>
      <c r="D3" s="11">
        <v>314160</v>
      </c>
      <c r="F3" s="12" t="s">
        <v>3</v>
      </c>
      <c r="H3" s="11">
        <v>50160</v>
      </c>
    </row>
    <row r="4" spans="1:8" x14ac:dyDescent="0.25">
      <c r="A4" s="13" t="s">
        <v>29</v>
      </c>
      <c r="C4" s="28">
        <v>285</v>
      </c>
    </row>
    <row r="5" spans="1:8" ht="21" x14ac:dyDescent="0.35">
      <c r="A5" s="2" t="s">
        <v>2</v>
      </c>
    </row>
    <row r="7" spans="1:8" ht="18.75" x14ac:dyDescent="0.3">
      <c r="A7" s="5"/>
      <c r="D7" s="4"/>
      <c r="E7" s="27"/>
      <c r="H7" s="4"/>
    </row>
    <row r="8" spans="1:8" ht="18.75" x14ac:dyDescent="0.3">
      <c r="A8" s="5" t="s">
        <v>95</v>
      </c>
      <c r="D8" s="4">
        <v>164934</v>
      </c>
      <c r="E8" s="27" t="s">
        <v>31</v>
      </c>
      <c r="H8" s="4">
        <v>26334</v>
      </c>
    </row>
    <row r="9" spans="1:8" ht="18.75" x14ac:dyDescent="0.3">
      <c r="A9" s="5"/>
      <c r="C9" s="3"/>
      <c r="D9" s="4"/>
      <c r="E9" s="27"/>
      <c r="H9" s="4"/>
    </row>
    <row r="10" spans="1:8" ht="18.75" x14ac:dyDescent="0.3">
      <c r="A10" s="5"/>
      <c r="D10" s="4"/>
      <c r="E10" s="27"/>
      <c r="H10" s="4"/>
    </row>
    <row r="11" spans="1:8" ht="18.75" x14ac:dyDescent="0.3">
      <c r="A11" s="5"/>
      <c r="D11" s="4"/>
      <c r="E11" s="27"/>
      <c r="H11" s="4"/>
    </row>
    <row r="12" spans="1:8" ht="18.75" x14ac:dyDescent="0.3">
      <c r="A12" s="5"/>
      <c r="C12" s="3"/>
      <c r="D12" s="30"/>
      <c r="E12" s="27"/>
      <c r="H12" s="30"/>
    </row>
    <row r="13" spans="1:8" ht="18.75" x14ac:dyDescent="0.3">
      <c r="A13" s="5"/>
      <c r="C13" s="3"/>
      <c r="D13" s="31"/>
      <c r="E13" s="27"/>
      <c r="H13" s="31"/>
    </row>
    <row r="14" spans="1:8" ht="19.5" thickBot="1" x14ac:dyDescent="0.35">
      <c r="A14" s="5"/>
      <c r="C14" s="3"/>
      <c r="D14" s="23"/>
      <c r="E14" s="27"/>
      <c r="H14" s="23"/>
    </row>
    <row r="15" spans="1:8" ht="18.75" customHeight="1" x14ac:dyDescent="0.3">
      <c r="D15" s="4">
        <f>SUM(D7:D14)</f>
        <v>164934</v>
      </c>
      <c r="H15" s="4">
        <f>SUM(H7:H14)</f>
        <v>26334</v>
      </c>
    </row>
    <row r="16" spans="1:8" ht="18.75" x14ac:dyDescent="0.3">
      <c r="A16" s="5"/>
      <c r="C16" s="3"/>
      <c r="D16" s="4"/>
      <c r="H16" s="4"/>
    </row>
    <row r="18" spans="1:8" ht="18.75" x14ac:dyDescent="0.3">
      <c r="A18" s="5"/>
      <c r="C18" s="3"/>
      <c r="D18" s="4"/>
      <c r="H18" s="4"/>
    </row>
    <row r="19" spans="1:8" ht="15.75" thickBot="1" x14ac:dyDescent="0.3">
      <c r="D19" s="7"/>
      <c r="H19" s="7"/>
    </row>
    <row r="21" spans="1:8" ht="18.75" x14ac:dyDescent="0.3">
      <c r="C21" t="s">
        <v>4</v>
      </c>
      <c r="D21" s="4">
        <f>D3-D15</f>
        <v>149226</v>
      </c>
      <c r="G21" t="s">
        <v>5</v>
      </c>
      <c r="H21" s="4">
        <f>H3-H15</f>
        <v>23826</v>
      </c>
    </row>
    <row r="24" spans="1:8" ht="15.75" x14ac:dyDescent="0.25">
      <c r="A24" t="s">
        <v>6</v>
      </c>
      <c r="C24" s="8">
        <f>D21</f>
        <v>149226</v>
      </c>
      <c r="E24" t="s">
        <v>10</v>
      </c>
      <c r="H24" s="6">
        <f>C33</f>
        <v>124143.36</v>
      </c>
    </row>
    <row r="26" spans="1:8" ht="15.75" x14ac:dyDescent="0.25">
      <c r="A26" t="s">
        <v>5</v>
      </c>
      <c r="B26" s="9" t="s">
        <v>7</v>
      </c>
      <c r="C26" s="8">
        <f>H21</f>
        <v>23826</v>
      </c>
      <c r="E26" s="13" t="s">
        <v>11</v>
      </c>
      <c r="F26" s="9" t="s">
        <v>12</v>
      </c>
      <c r="G26" s="15" t="s">
        <v>17</v>
      </c>
      <c r="H26" s="3">
        <f>-(F27*0.007)</f>
        <v>-1848</v>
      </c>
    </row>
    <row r="27" spans="1:8" x14ac:dyDescent="0.25">
      <c r="F27" s="21">
        <f>D3-H3</f>
        <v>264000</v>
      </c>
    </row>
    <row r="28" spans="1:8" ht="16.5" thickBot="1" x14ac:dyDescent="0.3">
      <c r="A28" t="s">
        <v>8</v>
      </c>
      <c r="B28" s="9" t="s">
        <v>7</v>
      </c>
      <c r="C28" s="8">
        <f>D3*0.004</f>
        <v>1256.6400000000001</v>
      </c>
      <c r="F28" s="9" t="s">
        <v>13</v>
      </c>
      <c r="G28" s="16">
        <v>0.35</v>
      </c>
      <c r="H28" s="17">
        <f>-(F29*0.35)</f>
        <v>-43450.175999999999</v>
      </c>
    </row>
    <row r="29" spans="1:8" x14ac:dyDescent="0.25">
      <c r="F29" s="21">
        <f>H24</f>
        <v>124143.36</v>
      </c>
    </row>
    <row r="30" spans="1:8" ht="15.75" x14ac:dyDescent="0.25">
      <c r="A30" t="s">
        <v>9</v>
      </c>
      <c r="B30" s="9" t="s">
        <v>7</v>
      </c>
      <c r="C30" s="10"/>
      <c r="G30" s="13" t="s">
        <v>14</v>
      </c>
      <c r="H30" s="6">
        <f>H24+H26+H28</f>
        <v>78845.184000000008</v>
      </c>
    </row>
    <row r="31" spans="1:8" ht="15.75" thickBot="1" x14ac:dyDescent="0.3">
      <c r="A31" s="16"/>
      <c r="B31" s="14"/>
      <c r="C31" s="7"/>
    </row>
    <row r="32" spans="1:8" x14ac:dyDescent="0.25">
      <c r="E32" t="s">
        <v>55</v>
      </c>
      <c r="H32" s="20">
        <f>H30*0.35</f>
        <v>27595.814400000003</v>
      </c>
    </row>
    <row r="33" spans="1:8" ht="15.75" x14ac:dyDescent="0.25">
      <c r="A33" t="s">
        <v>10</v>
      </c>
      <c r="C33" s="10">
        <f>C24-C26-C28-C30</f>
        <v>124143.36</v>
      </c>
      <c r="H33" s="18"/>
    </row>
    <row r="34" spans="1:8" x14ac:dyDescent="0.25">
      <c r="H34" s="3"/>
    </row>
    <row r="35" spans="1:8" x14ac:dyDescent="0.25">
      <c r="H35" s="18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724AC-16B0-4D42-8C5D-873B38B5C5E3}">
  <dimension ref="A1:H35"/>
  <sheetViews>
    <sheetView topLeftCell="A22"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3.28515625" bestFit="1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96</v>
      </c>
    </row>
    <row r="3" spans="1:8" ht="21" x14ac:dyDescent="0.35">
      <c r="A3" s="2" t="s">
        <v>1</v>
      </c>
      <c r="D3" s="11">
        <v>232050</v>
      </c>
      <c r="F3" s="12" t="s">
        <v>3</v>
      </c>
      <c r="H3" s="11">
        <v>37050</v>
      </c>
    </row>
    <row r="4" spans="1:8" x14ac:dyDescent="0.25">
      <c r="A4" s="13" t="s">
        <v>29</v>
      </c>
      <c r="C4" s="28" t="s">
        <v>97</v>
      </c>
      <c r="D4" t="s">
        <v>98</v>
      </c>
    </row>
    <row r="5" spans="1:8" ht="21" x14ac:dyDescent="0.35">
      <c r="A5" s="2" t="s">
        <v>2</v>
      </c>
    </row>
    <row r="7" spans="1:8" ht="18.75" x14ac:dyDescent="0.3">
      <c r="A7" s="5"/>
      <c r="D7" s="4"/>
      <c r="E7" s="27"/>
      <c r="H7" s="4"/>
    </row>
    <row r="8" spans="1:8" ht="18.75" x14ac:dyDescent="0.3">
      <c r="A8" s="5" t="s">
        <v>99</v>
      </c>
      <c r="D8" s="4">
        <v>144853</v>
      </c>
      <c r="E8" s="27" t="s">
        <v>31</v>
      </c>
      <c r="H8" s="4">
        <v>23128</v>
      </c>
    </row>
    <row r="9" spans="1:8" ht="18.75" x14ac:dyDescent="0.3">
      <c r="A9" s="5"/>
      <c r="C9" s="3"/>
      <c r="D9" s="4"/>
      <c r="E9" s="27"/>
      <c r="H9" s="4"/>
    </row>
    <row r="10" spans="1:8" ht="18.75" x14ac:dyDescent="0.3">
      <c r="A10" s="5"/>
      <c r="D10" s="4"/>
      <c r="E10" s="27"/>
      <c r="H10" s="4"/>
    </row>
    <row r="11" spans="1:8" ht="18.75" x14ac:dyDescent="0.3">
      <c r="A11" s="5"/>
      <c r="D11" s="4"/>
      <c r="E11" s="27"/>
      <c r="H11" s="4"/>
    </row>
    <row r="12" spans="1:8" ht="18.75" x14ac:dyDescent="0.3">
      <c r="A12" s="5"/>
      <c r="C12" s="3"/>
      <c r="D12" s="30"/>
      <c r="E12" s="27"/>
      <c r="H12" s="30"/>
    </row>
    <row r="13" spans="1:8" ht="18.75" x14ac:dyDescent="0.3">
      <c r="A13" s="5"/>
      <c r="C13" s="3"/>
      <c r="D13" s="31"/>
      <c r="E13" s="27"/>
      <c r="H13" s="31"/>
    </row>
    <row r="14" spans="1:8" ht="19.5" thickBot="1" x14ac:dyDescent="0.35">
      <c r="A14" s="5"/>
      <c r="C14" s="3"/>
      <c r="D14" s="23"/>
      <c r="E14" s="27"/>
      <c r="H14" s="23"/>
    </row>
    <row r="15" spans="1:8" ht="18.75" customHeight="1" x14ac:dyDescent="0.3">
      <c r="D15" s="4">
        <f>SUM(D7:D14)</f>
        <v>144853</v>
      </c>
      <c r="H15" s="4">
        <f>SUM(H7:H14)</f>
        <v>23128</v>
      </c>
    </row>
    <row r="16" spans="1:8" ht="18.75" x14ac:dyDescent="0.3">
      <c r="A16" s="5"/>
      <c r="C16" s="3"/>
      <c r="D16" s="4"/>
      <c r="H16" s="4"/>
    </row>
    <row r="18" spans="1:8" ht="18.75" x14ac:dyDescent="0.3">
      <c r="A18" s="5"/>
      <c r="C18" s="3"/>
      <c r="D18" s="4"/>
      <c r="H18" s="4"/>
    </row>
    <row r="19" spans="1:8" ht="15.75" thickBot="1" x14ac:dyDescent="0.3">
      <c r="D19" s="7"/>
      <c r="H19" s="7"/>
    </row>
    <row r="21" spans="1:8" ht="18.75" x14ac:dyDescent="0.3">
      <c r="C21" t="s">
        <v>4</v>
      </c>
      <c r="D21" s="4">
        <f>D3-D15</f>
        <v>87197</v>
      </c>
      <c r="G21" t="s">
        <v>5</v>
      </c>
      <c r="H21" s="4">
        <f>H3-H15</f>
        <v>13922</v>
      </c>
    </row>
    <row r="24" spans="1:8" ht="15.75" x14ac:dyDescent="0.25">
      <c r="A24" t="s">
        <v>6</v>
      </c>
      <c r="C24" s="8">
        <f>D21</f>
        <v>87197</v>
      </c>
      <c r="E24" t="s">
        <v>10</v>
      </c>
      <c r="H24" s="6">
        <f>C33</f>
        <v>72346.8</v>
      </c>
    </row>
    <row r="26" spans="1:8" ht="15.75" x14ac:dyDescent="0.25">
      <c r="A26" t="s">
        <v>5</v>
      </c>
      <c r="B26" s="9" t="s">
        <v>7</v>
      </c>
      <c r="C26" s="8">
        <f>H21</f>
        <v>13922</v>
      </c>
      <c r="E26" s="13" t="s">
        <v>11</v>
      </c>
      <c r="F26" s="9" t="s">
        <v>12</v>
      </c>
      <c r="G26" s="15" t="s">
        <v>17</v>
      </c>
      <c r="H26" s="3">
        <f>-(F27*0.007)</f>
        <v>-1365</v>
      </c>
    </row>
    <row r="27" spans="1:8" x14ac:dyDescent="0.25">
      <c r="F27" s="21">
        <f>D3-H3</f>
        <v>195000</v>
      </c>
    </row>
    <row r="28" spans="1:8" ht="16.5" thickBot="1" x14ac:dyDescent="0.3">
      <c r="A28" t="s">
        <v>8</v>
      </c>
      <c r="B28" s="9" t="s">
        <v>7</v>
      </c>
      <c r="C28" s="8">
        <f>D3*0.004</f>
        <v>928.2</v>
      </c>
      <c r="F28" s="9" t="s">
        <v>13</v>
      </c>
      <c r="G28" s="16">
        <v>0.35</v>
      </c>
      <c r="H28" s="17">
        <f>-(F29*0.35)</f>
        <v>-25321.38</v>
      </c>
    </row>
    <row r="29" spans="1:8" x14ac:dyDescent="0.25">
      <c r="F29" s="21">
        <f>H24</f>
        <v>72346.8</v>
      </c>
    </row>
    <row r="30" spans="1:8" ht="15.75" x14ac:dyDescent="0.25">
      <c r="A30" t="s">
        <v>9</v>
      </c>
      <c r="B30" s="9" t="s">
        <v>7</v>
      </c>
      <c r="C30" s="10"/>
      <c r="G30" s="13" t="s">
        <v>14</v>
      </c>
      <c r="H30" s="6">
        <f>H24+H26+H28</f>
        <v>45660.42</v>
      </c>
    </row>
    <row r="31" spans="1:8" ht="15.75" thickBot="1" x14ac:dyDescent="0.3">
      <c r="A31" s="16"/>
      <c r="B31" s="14"/>
      <c r="C31" s="7"/>
    </row>
    <row r="32" spans="1:8" x14ac:dyDescent="0.25">
      <c r="E32" t="s">
        <v>100</v>
      </c>
      <c r="H32" s="20">
        <f>H30*0.35</f>
        <v>15981.146999999999</v>
      </c>
    </row>
    <row r="33" spans="1:8" ht="15.75" x14ac:dyDescent="0.25">
      <c r="A33" t="s">
        <v>10</v>
      </c>
      <c r="C33" s="10">
        <f>C24-C26-C28-C30</f>
        <v>72346.8</v>
      </c>
      <c r="H33" s="18"/>
    </row>
    <row r="34" spans="1:8" x14ac:dyDescent="0.25">
      <c r="H34" s="3"/>
    </row>
    <row r="35" spans="1:8" x14ac:dyDescent="0.25">
      <c r="H35" s="18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F5D87-DE18-4170-89F0-EFCB26D93710}">
  <dimension ref="A1:H35"/>
  <sheetViews>
    <sheetView topLeftCell="A19"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3.28515625" bestFit="1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108</v>
      </c>
    </row>
    <row r="3" spans="1:8" ht="21" x14ac:dyDescent="0.35">
      <c r="A3" s="2" t="s">
        <v>1</v>
      </c>
      <c r="D3" s="11">
        <v>16660</v>
      </c>
      <c r="F3" s="12" t="s">
        <v>3</v>
      </c>
      <c r="H3" s="11">
        <v>2660</v>
      </c>
    </row>
    <row r="4" spans="1:8" x14ac:dyDescent="0.25">
      <c r="A4" s="13" t="s">
        <v>29</v>
      </c>
      <c r="C4" s="28">
        <v>296</v>
      </c>
    </row>
    <row r="5" spans="1:8" ht="21" x14ac:dyDescent="0.35">
      <c r="A5" s="2" t="s">
        <v>2</v>
      </c>
    </row>
    <row r="7" spans="1:8" ht="18.75" x14ac:dyDescent="0.3">
      <c r="A7" s="5"/>
      <c r="D7" s="4"/>
      <c r="E7" s="27"/>
      <c r="H7" s="4"/>
    </row>
    <row r="8" spans="1:8" ht="18.75" x14ac:dyDescent="0.3">
      <c r="A8" s="5" t="s">
        <v>109</v>
      </c>
      <c r="D8" s="4">
        <v>10103</v>
      </c>
      <c r="E8" s="27" t="s">
        <v>31</v>
      </c>
      <c r="H8" s="4">
        <v>1613</v>
      </c>
    </row>
    <row r="9" spans="1:8" ht="18.75" x14ac:dyDescent="0.3">
      <c r="A9" s="5"/>
      <c r="D9" s="4"/>
      <c r="E9" s="27"/>
      <c r="H9" s="4"/>
    </row>
    <row r="10" spans="1:8" ht="18.75" x14ac:dyDescent="0.3">
      <c r="E10" s="27"/>
      <c r="H10" s="4"/>
    </row>
    <row r="11" spans="1:8" ht="18.75" x14ac:dyDescent="0.3">
      <c r="A11" s="5"/>
      <c r="D11" s="4"/>
      <c r="E11" s="27"/>
      <c r="H11" s="4"/>
    </row>
    <row r="12" spans="1:8" ht="18.75" x14ac:dyDescent="0.3">
      <c r="A12" s="5"/>
      <c r="C12" s="3"/>
      <c r="D12" s="30"/>
      <c r="E12" s="27"/>
      <c r="H12" s="30"/>
    </row>
    <row r="13" spans="1:8" ht="18.75" x14ac:dyDescent="0.3">
      <c r="A13" s="5"/>
      <c r="C13" s="3"/>
      <c r="D13" s="31"/>
      <c r="E13" s="27"/>
      <c r="H13" s="31"/>
    </row>
    <row r="14" spans="1:8" ht="19.5" thickBot="1" x14ac:dyDescent="0.35">
      <c r="A14" s="5"/>
      <c r="C14" s="3"/>
      <c r="D14" s="23"/>
      <c r="E14" s="27"/>
      <c r="H14" s="23"/>
    </row>
    <row r="15" spans="1:8" ht="18.75" customHeight="1" x14ac:dyDescent="0.3">
      <c r="D15" s="4">
        <f>SUM(D7:D14)</f>
        <v>10103</v>
      </c>
      <c r="H15" s="4">
        <f>SUM(H7:H14)</f>
        <v>1613</v>
      </c>
    </row>
    <row r="16" spans="1:8" ht="18.75" x14ac:dyDescent="0.3">
      <c r="A16" s="5"/>
      <c r="C16" s="3"/>
      <c r="D16" s="4"/>
      <c r="H16" s="4"/>
    </row>
    <row r="18" spans="1:8" ht="18.75" x14ac:dyDescent="0.3">
      <c r="A18" s="5"/>
      <c r="C18" s="3"/>
      <c r="D18" s="4"/>
      <c r="H18" s="4"/>
    </row>
    <row r="19" spans="1:8" ht="15.75" thickBot="1" x14ac:dyDescent="0.3">
      <c r="D19" s="7"/>
      <c r="H19" s="7"/>
    </row>
    <row r="21" spans="1:8" ht="18.75" x14ac:dyDescent="0.3">
      <c r="C21" t="s">
        <v>4</v>
      </c>
      <c r="D21" s="4">
        <f>D3-D15</f>
        <v>6557</v>
      </c>
      <c r="G21" t="s">
        <v>5</v>
      </c>
      <c r="H21" s="4">
        <f>H3-H15</f>
        <v>1047</v>
      </c>
    </row>
    <row r="24" spans="1:8" ht="15.75" x14ac:dyDescent="0.25">
      <c r="A24" t="s">
        <v>6</v>
      </c>
      <c r="C24" s="8">
        <f>D21</f>
        <v>6557</v>
      </c>
      <c r="E24" t="s">
        <v>10</v>
      </c>
      <c r="H24" s="6">
        <f>C33</f>
        <v>5443.36</v>
      </c>
    </row>
    <row r="26" spans="1:8" ht="15.75" x14ac:dyDescent="0.25">
      <c r="A26" t="s">
        <v>5</v>
      </c>
      <c r="B26" s="9" t="s">
        <v>7</v>
      </c>
      <c r="C26" s="8">
        <f>H21</f>
        <v>1047</v>
      </c>
      <c r="E26" s="13" t="s">
        <v>11</v>
      </c>
      <c r="F26" s="9" t="s">
        <v>12</v>
      </c>
      <c r="G26" s="15" t="s">
        <v>17</v>
      </c>
      <c r="H26" s="3">
        <f>-(F27*0.007)</f>
        <v>-98</v>
      </c>
    </row>
    <row r="27" spans="1:8" x14ac:dyDescent="0.25">
      <c r="F27" s="21">
        <f>D3-H3</f>
        <v>14000</v>
      </c>
    </row>
    <row r="28" spans="1:8" ht="16.5" thickBot="1" x14ac:dyDescent="0.3">
      <c r="A28" t="s">
        <v>8</v>
      </c>
      <c r="B28" s="9" t="s">
        <v>7</v>
      </c>
      <c r="C28" s="8">
        <f>D3*0.004</f>
        <v>66.64</v>
      </c>
      <c r="F28" s="9" t="s">
        <v>13</v>
      </c>
      <c r="G28" s="16">
        <v>0.35</v>
      </c>
      <c r="H28" s="17">
        <f>-(F29*0.35)</f>
        <v>-1905.1759999999997</v>
      </c>
    </row>
    <row r="29" spans="1:8" x14ac:dyDescent="0.25">
      <c r="F29" s="21">
        <f>H24</f>
        <v>5443.36</v>
      </c>
    </row>
    <row r="30" spans="1:8" ht="15.75" x14ac:dyDescent="0.25">
      <c r="A30" t="s">
        <v>9</v>
      </c>
      <c r="B30" s="9" t="s">
        <v>7</v>
      </c>
      <c r="C30" s="10"/>
      <c r="G30" s="13" t="s">
        <v>14</v>
      </c>
      <c r="H30" s="6">
        <f>H24+H26+H28</f>
        <v>3440.1840000000002</v>
      </c>
    </row>
    <row r="31" spans="1:8" ht="15.75" thickBot="1" x14ac:dyDescent="0.3">
      <c r="A31" s="16"/>
      <c r="B31" s="14"/>
      <c r="C31" s="7"/>
    </row>
    <row r="32" spans="1:8" x14ac:dyDescent="0.25">
      <c r="E32" t="s">
        <v>100</v>
      </c>
      <c r="H32" s="20">
        <f>H30*0.35</f>
        <v>1204.0644</v>
      </c>
    </row>
    <row r="33" spans="1:8" ht="15.75" x14ac:dyDescent="0.25">
      <c r="A33" t="s">
        <v>10</v>
      </c>
      <c r="C33" s="10">
        <f>C24-C26-C28-C30</f>
        <v>5443.36</v>
      </c>
      <c r="H33" s="18"/>
    </row>
    <row r="34" spans="1:8" x14ac:dyDescent="0.25">
      <c r="H34" s="3"/>
    </row>
    <row r="35" spans="1:8" x14ac:dyDescent="0.25">
      <c r="H35" s="18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17C50-2988-4B43-A7E2-C5A9E4516D0A}">
  <dimension ref="A1:H35"/>
  <sheetViews>
    <sheetView topLeftCell="A19"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3.28515625" bestFit="1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110</v>
      </c>
    </row>
    <row r="3" spans="1:8" ht="21" x14ac:dyDescent="0.35">
      <c r="A3" s="2" t="s">
        <v>1</v>
      </c>
      <c r="D3" s="11">
        <v>184093</v>
      </c>
      <c r="F3" s="12" t="s">
        <v>3</v>
      </c>
      <c r="H3" s="11">
        <v>29393</v>
      </c>
    </row>
    <row r="4" spans="1:8" x14ac:dyDescent="0.25">
      <c r="A4" s="13" t="s">
        <v>29</v>
      </c>
      <c r="C4" s="28" t="s">
        <v>111</v>
      </c>
    </row>
    <row r="5" spans="1:8" ht="21" x14ac:dyDescent="0.35">
      <c r="A5" s="2" t="s">
        <v>2</v>
      </c>
    </row>
    <row r="7" spans="1:8" ht="18.75" x14ac:dyDescent="0.3">
      <c r="A7" s="5"/>
      <c r="D7" s="4"/>
      <c r="E7" s="27"/>
      <c r="H7" s="4"/>
    </row>
    <row r="8" spans="1:8" ht="18.75" x14ac:dyDescent="0.3">
      <c r="A8" s="5" t="s">
        <v>112</v>
      </c>
      <c r="D8" s="4">
        <v>132691</v>
      </c>
      <c r="E8" s="27" t="s">
        <v>31</v>
      </c>
      <c r="H8" s="4">
        <v>21186</v>
      </c>
    </row>
    <row r="9" spans="1:8" ht="18.75" x14ac:dyDescent="0.3">
      <c r="A9" s="5"/>
      <c r="D9" s="4"/>
      <c r="E9" s="27"/>
      <c r="H9" s="4"/>
    </row>
    <row r="10" spans="1:8" ht="18.75" x14ac:dyDescent="0.3">
      <c r="E10" s="27"/>
      <c r="H10" s="4"/>
    </row>
    <row r="11" spans="1:8" ht="18.75" x14ac:dyDescent="0.3">
      <c r="A11" s="5"/>
      <c r="D11" s="4"/>
      <c r="E11" s="27"/>
      <c r="H11" s="4"/>
    </row>
    <row r="12" spans="1:8" ht="18.75" x14ac:dyDescent="0.3">
      <c r="A12" s="5"/>
      <c r="C12" s="3"/>
      <c r="D12" s="30"/>
      <c r="E12" s="27"/>
      <c r="H12" s="30"/>
    </row>
    <row r="13" spans="1:8" ht="18.75" x14ac:dyDescent="0.3">
      <c r="A13" s="5"/>
      <c r="C13" s="3"/>
      <c r="D13" s="31"/>
      <c r="E13" s="27"/>
      <c r="H13" s="31"/>
    </row>
    <row r="14" spans="1:8" ht="19.5" thickBot="1" x14ac:dyDescent="0.35">
      <c r="A14" s="5"/>
      <c r="C14" s="3"/>
      <c r="D14" s="23"/>
      <c r="E14" s="27"/>
      <c r="H14" s="23"/>
    </row>
    <row r="15" spans="1:8" ht="18.75" customHeight="1" x14ac:dyDescent="0.3">
      <c r="D15" s="4">
        <f>SUM(D7:D14)</f>
        <v>132691</v>
      </c>
      <c r="H15" s="4">
        <f>SUM(H7:H14)</f>
        <v>21186</v>
      </c>
    </row>
    <row r="16" spans="1:8" ht="18.75" x14ac:dyDescent="0.3">
      <c r="A16" s="5"/>
      <c r="C16" s="3"/>
      <c r="D16" s="4"/>
      <c r="H16" s="4"/>
    </row>
    <row r="18" spans="1:8" ht="18.75" x14ac:dyDescent="0.3">
      <c r="A18" s="5"/>
      <c r="C18" s="3"/>
      <c r="D18" s="4"/>
      <c r="H18" s="4"/>
    </row>
    <row r="19" spans="1:8" ht="15.75" thickBot="1" x14ac:dyDescent="0.3">
      <c r="D19" s="7"/>
      <c r="H19" s="7"/>
    </row>
    <row r="21" spans="1:8" ht="18.75" x14ac:dyDescent="0.3">
      <c r="C21" t="s">
        <v>4</v>
      </c>
      <c r="D21" s="4">
        <f>D3-D15</f>
        <v>51402</v>
      </c>
      <c r="G21" t="s">
        <v>5</v>
      </c>
      <c r="H21" s="4">
        <f>H3-H15</f>
        <v>8207</v>
      </c>
    </row>
    <row r="24" spans="1:8" ht="15.75" x14ac:dyDescent="0.25">
      <c r="A24" t="s">
        <v>6</v>
      </c>
      <c r="C24" s="8">
        <f>D21</f>
        <v>51402</v>
      </c>
      <c r="E24" t="s">
        <v>10</v>
      </c>
      <c r="H24" s="6">
        <f>C33</f>
        <v>42458.627999999997</v>
      </c>
    </row>
    <row r="26" spans="1:8" ht="15.75" x14ac:dyDescent="0.25">
      <c r="A26" t="s">
        <v>5</v>
      </c>
      <c r="B26" s="9" t="s">
        <v>7</v>
      </c>
      <c r="C26" s="8">
        <f>H21</f>
        <v>8207</v>
      </c>
      <c r="E26" s="13" t="s">
        <v>11</v>
      </c>
      <c r="F26" s="9" t="s">
        <v>12</v>
      </c>
      <c r="G26" s="15" t="s">
        <v>17</v>
      </c>
      <c r="H26" s="3">
        <f>-(F27*0.007)</f>
        <v>-1082.9000000000001</v>
      </c>
    </row>
    <row r="27" spans="1:8" x14ac:dyDescent="0.25">
      <c r="F27" s="21">
        <f>D3-H3</f>
        <v>154700</v>
      </c>
    </row>
    <row r="28" spans="1:8" ht="16.5" thickBot="1" x14ac:dyDescent="0.3">
      <c r="A28" t="s">
        <v>8</v>
      </c>
      <c r="B28" s="9" t="s">
        <v>7</v>
      </c>
      <c r="C28" s="8">
        <f>D3*0.004</f>
        <v>736.37200000000007</v>
      </c>
      <c r="F28" s="9" t="s">
        <v>13</v>
      </c>
      <c r="G28" s="16">
        <v>0.35</v>
      </c>
      <c r="H28" s="17">
        <f>-(F29*0.35)</f>
        <v>-14860.519799999998</v>
      </c>
    </row>
    <row r="29" spans="1:8" x14ac:dyDescent="0.25">
      <c r="F29" s="21">
        <f>H24</f>
        <v>42458.627999999997</v>
      </c>
    </row>
    <row r="30" spans="1:8" ht="15.75" x14ac:dyDescent="0.25">
      <c r="A30" t="s">
        <v>9</v>
      </c>
      <c r="B30" s="9" t="s">
        <v>7</v>
      </c>
      <c r="C30" s="10"/>
      <c r="G30" s="13" t="s">
        <v>14</v>
      </c>
      <c r="H30" s="6">
        <f>H24+H26+H28</f>
        <v>26515.208199999997</v>
      </c>
    </row>
    <row r="31" spans="1:8" ht="15.75" thickBot="1" x14ac:dyDescent="0.3">
      <c r="A31" s="16"/>
      <c r="B31" s="14"/>
      <c r="C31" s="7"/>
    </row>
    <row r="32" spans="1:8" x14ac:dyDescent="0.25">
      <c r="E32" t="s">
        <v>100</v>
      </c>
      <c r="H32" s="20">
        <f>H30*0.35</f>
        <v>9280.3228699999981</v>
      </c>
    </row>
    <row r="33" spans="1:8" ht="15.75" x14ac:dyDescent="0.25">
      <c r="A33" t="s">
        <v>10</v>
      </c>
      <c r="C33" s="10">
        <f>C24-C26-C28-C30</f>
        <v>42458.627999999997</v>
      </c>
      <c r="H33" s="18"/>
    </row>
    <row r="34" spans="1:8" x14ac:dyDescent="0.25">
      <c r="H34" s="3"/>
    </row>
    <row r="35" spans="1:8" x14ac:dyDescent="0.25">
      <c r="H35" s="18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E6ABB-5079-4D2C-8922-A45D94D42B2F}">
  <dimension ref="A1:H35"/>
  <sheetViews>
    <sheetView topLeftCell="A19"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3.28515625" bestFit="1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113</v>
      </c>
    </row>
    <row r="3" spans="1:8" ht="21" x14ac:dyDescent="0.35">
      <c r="A3" s="2" t="s">
        <v>1</v>
      </c>
      <c r="D3" s="11">
        <v>35700</v>
      </c>
      <c r="F3" s="12" t="s">
        <v>3</v>
      </c>
      <c r="H3" s="11">
        <v>5700</v>
      </c>
    </row>
    <row r="4" spans="1:8" x14ac:dyDescent="0.25">
      <c r="A4" s="13" t="s">
        <v>29</v>
      </c>
      <c r="C4" s="28">
        <v>300</v>
      </c>
    </row>
    <row r="5" spans="1:8" ht="21" x14ac:dyDescent="0.35">
      <c r="A5" s="2" t="s">
        <v>2</v>
      </c>
    </row>
    <row r="7" spans="1:8" ht="18.75" x14ac:dyDescent="0.3">
      <c r="A7" s="5"/>
      <c r="D7" s="4"/>
      <c r="E7" s="27"/>
      <c r="H7" s="4"/>
    </row>
    <row r="8" spans="1:8" ht="18.75" x14ac:dyDescent="0.3">
      <c r="A8" s="5" t="s">
        <v>114</v>
      </c>
      <c r="D8" s="4">
        <v>23086</v>
      </c>
      <c r="E8" s="27" t="s">
        <v>31</v>
      </c>
      <c r="H8" s="4">
        <v>3686</v>
      </c>
    </row>
    <row r="9" spans="1:8" ht="18.75" x14ac:dyDescent="0.3">
      <c r="A9" s="5"/>
      <c r="D9" s="4"/>
      <c r="E9" s="27"/>
      <c r="H9" s="4"/>
    </row>
    <row r="10" spans="1:8" ht="18.75" x14ac:dyDescent="0.3">
      <c r="E10" s="27"/>
      <c r="H10" s="4"/>
    </row>
    <row r="11" spans="1:8" ht="18.75" x14ac:dyDescent="0.3">
      <c r="A11" s="5"/>
      <c r="D11" s="4"/>
      <c r="E11" s="27"/>
      <c r="H11" s="4"/>
    </row>
    <row r="12" spans="1:8" ht="18.75" x14ac:dyDescent="0.3">
      <c r="A12" s="5"/>
      <c r="C12" s="3"/>
      <c r="D12" s="30"/>
      <c r="E12" s="27"/>
      <c r="H12" s="30"/>
    </row>
    <row r="13" spans="1:8" ht="18.75" x14ac:dyDescent="0.3">
      <c r="A13" s="5"/>
      <c r="C13" s="3"/>
      <c r="D13" s="31"/>
      <c r="E13" s="27"/>
      <c r="H13" s="31"/>
    </row>
    <row r="14" spans="1:8" ht="19.5" thickBot="1" x14ac:dyDescent="0.35">
      <c r="A14" s="5"/>
      <c r="C14" s="3"/>
      <c r="D14" s="23"/>
      <c r="E14" s="27"/>
      <c r="H14" s="23"/>
    </row>
    <row r="15" spans="1:8" ht="18.75" customHeight="1" x14ac:dyDescent="0.3">
      <c r="D15" s="4">
        <f>SUM(D7:D14)</f>
        <v>23086</v>
      </c>
      <c r="H15" s="4">
        <f>SUM(H7:H14)</f>
        <v>3686</v>
      </c>
    </row>
    <row r="16" spans="1:8" ht="18.75" x14ac:dyDescent="0.3">
      <c r="A16" s="5"/>
      <c r="C16" s="3"/>
      <c r="D16" s="4"/>
      <c r="H16" s="4"/>
    </row>
    <row r="18" spans="1:8" ht="18.75" x14ac:dyDescent="0.3">
      <c r="A18" s="5"/>
      <c r="C18" s="3"/>
      <c r="D18" s="4"/>
      <c r="H18" s="4"/>
    </row>
    <row r="19" spans="1:8" ht="15.75" thickBot="1" x14ac:dyDescent="0.3">
      <c r="D19" s="7"/>
      <c r="H19" s="7"/>
    </row>
    <row r="21" spans="1:8" ht="18.75" x14ac:dyDescent="0.3">
      <c r="C21" t="s">
        <v>4</v>
      </c>
      <c r="D21" s="4">
        <f>D3-D15</f>
        <v>12614</v>
      </c>
      <c r="G21" t="s">
        <v>5</v>
      </c>
      <c r="H21" s="4">
        <f>H3-H15</f>
        <v>2014</v>
      </c>
    </row>
    <row r="24" spans="1:8" ht="15.75" x14ac:dyDescent="0.25">
      <c r="A24" t="s">
        <v>6</v>
      </c>
      <c r="C24" s="8">
        <f>D21</f>
        <v>12614</v>
      </c>
      <c r="E24" t="s">
        <v>10</v>
      </c>
      <c r="H24" s="6">
        <f>C33</f>
        <v>10457.200000000001</v>
      </c>
    </row>
    <row r="26" spans="1:8" ht="15.75" x14ac:dyDescent="0.25">
      <c r="A26" t="s">
        <v>5</v>
      </c>
      <c r="B26" s="9" t="s">
        <v>7</v>
      </c>
      <c r="C26" s="8">
        <f>H21</f>
        <v>2014</v>
      </c>
      <c r="E26" s="13" t="s">
        <v>11</v>
      </c>
      <c r="F26" s="9" t="s">
        <v>12</v>
      </c>
      <c r="G26" s="15" t="s">
        <v>17</v>
      </c>
      <c r="H26" s="3">
        <f>-(F27*0.007)</f>
        <v>-210</v>
      </c>
    </row>
    <row r="27" spans="1:8" x14ac:dyDescent="0.25">
      <c r="F27" s="21">
        <f>D3-H3</f>
        <v>30000</v>
      </c>
    </row>
    <row r="28" spans="1:8" ht="16.5" thickBot="1" x14ac:dyDescent="0.3">
      <c r="A28" t="s">
        <v>8</v>
      </c>
      <c r="B28" s="9" t="s">
        <v>7</v>
      </c>
      <c r="C28" s="8">
        <f>D3*0.004</f>
        <v>142.80000000000001</v>
      </c>
      <c r="F28" s="9" t="s">
        <v>13</v>
      </c>
      <c r="G28" s="16">
        <v>0.35</v>
      </c>
      <c r="H28" s="17">
        <f>-(F29*0.35)</f>
        <v>-3660.02</v>
      </c>
    </row>
    <row r="29" spans="1:8" x14ac:dyDescent="0.25">
      <c r="F29" s="21">
        <f>H24</f>
        <v>10457.200000000001</v>
      </c>
    </row>
    <row r="30" spans="1:8" ht="15.75" x14ac:dyDescent="0.25">
      <c r="A30" t="s">
        <v>9</v>
      </c>
      <c r="B30" s="9" t="s">
        <v>7</v>
      </c>
      <c r="C30" s="10"/>
      <c r="G30" s="13" t="s">
        <v>14</v>
      </c>
      <c r="H30" s="6">
        <f>H24+H26+H28</f>
        <v>6587.18</v>
      </c>
    </row>
    <row r="31" spans="1:8" ht="15.75" thickBot="1" x14ac:dyDescent="0.3">
      <c r="A31" s="16"/>
      <c r="B31" s="14"/>
      <c r="C31" s="7"/>
    </row>
    <row r="32" spans="1:8" x14ac:dyDescent="0.25">
      <c r="E32" t="s">
        <v>100</v>
      </c>
      <c r="H32" s="20">
        <f>H30*0.35</f>
        <v>2305.5129999999999</v>
      </c>
    </row>
    <row r="33" spans="1:8" ht="15.75" x14ac:dyDescent="0.25">
      <c r="A33" t="s">
        <v>10</v>
      </c>
      <c r="C33" s="10">
        <f>C24-C26-C28-C30</f>
        <v>10457.200000000001</v>
      </c>
      <c r="H33" s="18"/>
    </row>
    <row r="34" spans="1:8" x14ac:dyDescent="0.25">
      <c r="H34" s="3"/>
    </row>
    <row r="35" spans="1:8" x14ac:dyDescent="0.25">
      <c r="H35" s="18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F6110-EEE2-404F-A64A-C43E0A100D72}">
  <dimension ref="A1:H35"/>
  <sheetViews>
    <sheetView topLeftCell="A19" workbookViewId="0">
      <selection activeCell="H9" sqref="H9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3.28515625" bestFit="1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115</v>
      </c>
    </row>
    <row r="3" spans="1:8" ht="21" x14ac:dyDescent="0.35">
      <c r="A3" s="2" t="s">
        <v>1</v>
      </c>
      <c r="D3" s="11">
        <v>92820</v>
      </c>
      <c r="F3" s="12" t="s">
        <v>3</v>
      </c>
      <c r="H3" s="11">
        <v>14820</v>
      </c>
    </row>
    <row r="4" spans="1:8" x14ac:dyDescent="0.25">
      <c r="A4" s="13" t="s">
        <v>29</v>
      </c>
      <c r="C4" s="28">
        <v>301</v>
      </c>
    </row>
    <row r="5" spans="1:8" ht="21" x14ac:dyDescent="0.35">
      <c r="A5" s="2" t="s">
        <v>2</v>
      </c>
    </row>
    <row r="7" spans="1:8" ht="18.75" x14ac:dyDescent="0.3">
      <c r="A7" s="5"/>
      <c r="D7" s="4"/>
      <c r="E7" s="27"/>
      <c r="H7" s="4"/>
    </row>
    <row r="8" spans="1:8" ht="18.75" x14ac:dyDescent="0.3">
      <c r="A8" s="5" t="s">
        <v>142</v>
      </c>
      <c r="D8" s="4">
        <v>67592</v>
      </c>
      <c r="E8" s="27" t="s">
        <v>31</v>
      </c>
      <c r="H8" s="4">
        <v>10792</v>
      </c>
    </row>
    <row r="9" spans="1:8" ht="18.75" x14ac:dyDescent="0.3">
      <c r="A9" s="5"/>
      <c r="D9" s="4"/>
      <c r="E9" s="27"/>
      <c r="H9" s="4"/>
    </row>
    <row r="10" spans="1:8" ht="18.75" x14ac:dyDescent="0.3">
      <c r="E10" s="27"/>
      <c r="H10" s="4"/>
    </row>
    <row r="11" spans="1:8" ht="18.75" x14ac:dyDescent="0.3">
      <c r="A11" s="5"/>
      <c r="D11" s="4"/>
      <c r="E11" s="27"/>
      <c r="H11" s="4"/>
    </row>
    <row r="12" spans="1:8" ht="18.75" x14ac:dyDescent="0.3">
      <c r="A12" s="5"/>
      <c r="C12" s="3"/>
      <c r="D12" s="30"/>
      <c r="E12" s="27"/>
      <c r="H12" s="30"/>
    </row>
    <row r="13" spans="1:8" ht="18.75" x14ac:dyDescent="0.3">
      <c r="A13" s="5"/>
      <c r="C13" s="3"/>
      <c r="D13" s="31"/>
      <c r="E13" s="27"/>
      <c r="H13" s="31"/>
    </row>
    <row r="14" spans="1:8" ht="19.5" thickBot="1" x14ac:dyDescent="0.35">
      <c r="A14" s="5"/>
      <c r="C14" s="3"/>
      <c r="D14" s="23"/>
      <c r="E14" s="27"/>
      <c r="H14" s="23"/>
    </row>
    <row r="15" spans="1:8" ht="18.75" customHeight="1" x14ac:dyDescent="0.3">
      <c r="D15" s="4">
        <f>SUM(D7:D14)</f>
        <v>67592</v>
      </c>
      <c r="H15" s="4">
        <f>SUM(H7:H14)</f>
        <v>10792</v>
      </c>
    </row>
    <row r="16" spans="1:8" ht="18.75" x14ac:dyDescent="0.3">
      <c r="A16" s="5"/>
      <c r="C16" s="3"/>
      <c r="D16" s="4"/>
      <c r="H16" s="4"/>
    </row>
    <row r="18" spans="1:8" ht="18.75" x14ac:dyDescent="0.3">
      <c r="A18" s="5"/>
      <c r="C18" s="3"/>
      <c r="D18" s="4"/>
      <c r="H18" s="4"/>
    </row>
    <row r="19" spans="1:8" ht="15.75" thickBot="1" x14ac:dyDescent="0.3">
      <c r="D19" s="7"/>
      <c r="H19" s="7"/>
    </row>
    <row r="21" spans="1:8" ht="18.75" x14ac:dyDescent="0.3">
      <c r="C21" t="s">
        <v>4</v>
      </c>
      <c r="D21" s="4">
        <f>D3-D15</f>
        <v>25228</v>
      </c>
      <c r="G21" t="s">
        <v>5</v>
      </c>
      <c r="H21" s="4">
        <f>H3-H15</f>
        <v>4028</v>
      </c>
    </row>
    <row r="24" spans="1:8" ht="15.75" x14ac:dyDescent="0.25">
      <c r="A24" t="s">
        <v>6</v>
      </c>
      <c r="C24" s="8">
        <f>D21</f>
        <v>25228</v>
      </c>
      <c r="E24" t="s">
        <v>10</v>
      </c>
      <c r="H24" s="6">
        <f>C33</f>
        <v>20828.72</v>
      </c>
    </row>
    <row r="26" spans="1:8" ht="15.75" x14ac:dyDescent="0.25">
      <c r="A26" t="s">
        <v>5</v>
      </c>
      <c r="B26" s="9" t="s">
        <v>7</v>
      </c>
      <c r="C26" s="8">
        <f>H21</f>
        <v>4028</v>
      </c>
      <c r="E26" s="13" t="s">
        <v>11</v>
      </c>
      <c r="F26" s="9" t="s">
        <v>12</v>
      </c>
      <c r="G26" s="15" t="s">
        <v>17</v>
      </c>
      <c r="H26" s="3">
        <f>-(F27*0.007)</f>
        <v>-546</v>
      </c>
    </row>
    <row r="27" spans="1:8" x14ac:dyDescent="0.25">
      <c r="F27" s="21">
        <f>D3-H3</f>
        <v>78000</v>
      </c>
    </row>
    <row r="28" spans="1:8" ht="16.5" thickBot="1" x14ac:dyDescent="0.3">
      <c r="A28" t="s">
        <v>8</v>
      </c>
      <c r="B28" s="9" t="s">
        <v>7</v>
      </c>
      <c r="C28" s="8">
        <f>D3*0.004</f>
        <v>371.28000000000003</v>
      </c>
      <c r="F28" s="9" t="s">
        <v>13</v>
      </c>
      <c r="G28" s="16">
        <v>0.35</v>
      </c>
      <c r="H28" s="17">
        <f>-(F29*0.35)</f>
        <v>-7290.0519999999997</v>
      </c>
    </row>
    <row r="29" spans="1:8" x14ac:dyDescent="0.25">
      <c r="F29" s="21">
        <f>H24</f>
        <v>20828.72</v>
      </c>
    </row>
    <row r="30" spans="1:8" ht="15.75" x14ac:dyDescent="0.25">
      <c r="A30" t="s">
        <v>9</v>
      </c>
      <c r="B30" s="9" t="s">
        <v>7</v>
      </c>
      <c r="C30" s="10"/>
      <c r="G30" s="13" t="s">
        <v>14</v>
      </c>
      <c r="H30" s="6">
        <f>H24+H26+H28</f>
        <v>12992.668000000001</v>
      </c>
    </row>
    <row r="31" spans="1:8" ht="15.75" thickBot="1" x14ac:dyDescent="0.3">
      <c r="A31" s="16"/>
      <c r="B31" s="14"/>
      <c r="C31" s="7"/>
    </row>
    <row r="32" spans="1:8" x14ac:dyDescent="0.25">
      <c r="E32" t="s">
        <v>100</v>
      </c>
      <c r="H32" s="20">
        <f>H30*0.35</f>
        <v>4547.4337999999998</v>
      </c>
    </row>
    <row r="33" spans="1:8" ht="15.75" x14ac:dyDescent="0.25">
      <c r="A33" t="s">
        <v>10</v>
      </c>
      <c r="C33" s="10">
        <f>C24-C26-C28-C30</f>
        <v>20828.72</v>
      </c>
      <c r="H33" s="18"/>
    </row>
    <row r="34" spans="1:8" x14ac:dyDescent="0.25">
      <c r="H34" s="3"/>
    </row>
    <row r="35" spans="1:8" x14ac:dyDescent="0.25">
      <c r="H35" s="18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8DF51-9BEB-4AEB-B5C6-F08332888456}">
  <dimension ref="A1:H35"/>
  <sheetViews>
    <sheetView topLeftCell="A22" workbookViewId="0">
      <selection activeCell="F8" sqref="F8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3.28515625" bestFit="1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116</v>
      </c>
    </row>
    <row r="3" spans="1:8" ht="21" x14ac:dyDescent="0.35">
      <c r="A3" s="2" t="s">
        <v>1</v>
      </c>
      <c r="D3" s="11">
        <v>3433837</v>
      </c>
      <c r="F3" s="12" t="s">
        <v>3</v>
      </c>
      <c r="H3" s="11">
        <v>560025</v>
      </c>
    </row>
    <row r="4" spans="1:8" x14ac:dyDescent="0.25">
      <c r="A4" s="13" t="s">
        <v>29</v>
      </c>
      <c r="C4" s="28">
        <v>305</v>
      </c>
    </row>
    <row r="5" spans="1:8" ht="21" x14ac:dyDescent="0.35">
      <c r="A5" s="2" t="s">
        <v>2</v>
      </c>
    </row>
    <row r="7" spans="1:8" ht="18.75" x14ac:dyDescent="0.3">
      <c r="A7" s="5"/>
      <c r="D7" s="4"/>
      <c r="E7" s="27"/>
      <c r="H7" s="4"/>
    </row>
    <row r="8" spans="1:8" ht="18.75" x14ac:dyDescent="0.3">
      <c r="A8" s="5" t="s">
        <v>117</v>
      </c>
      <c r="D8" s="4">
        <v>2419496</v>
      </c>
      <c r="E8" s="27" t="s">
        <v>31</v>
      </c>
      <c r="H8" s="4">
        <v>386306</v>
      </c>
    </row>
    <row r="9" spans="1:8" ht="18.75" x14ac:dyDescent="0.3">
      <c r="A9" s="5" t="s">
        <v>118</v>
      </c>
      <c r="D9" s="4">
        <v>195160</v>
      </c>
      <c r="E9" s="27"/>
      <c r="H9" s="4">
        <v>31160</v>
      </c>
    </row>
    <row r="10" spans="1:8" ht="18.75" x14ac:dyDescent="0.3">
      <c r="A10" s="5" t="s">
        <v>119</v>
      </c>
      <c r="D10" s="4">
        <v>80220</v>
      </c>
      <c r="E10" s="27"/>
      <c r="H10" s="4">
        <v>12808</v>
      </c>
    </row>
    <row r="11" spans="1:8" ht="18.75" x14ac:dyDescent="0.3">
      <c r="A11" s="5"/>
      <c r="D11" s="4"/>
      <c r="E11" s="27"/>
      <c r="H11" s="4"/>
    </row>
    <row r="12" spans="1:8" ht="18.75" x14ac:dyDescent="0.3">
      <c r="A12" s="5"/>
      <c r="C12" s="3"/>
      <c r="D12" s="30"/>
      <c r="E12" s="27"/>
      <c r="H12" s="30"/>
    </row>
    <row r="13" spans="1:8" ht="18.75" x14ac:dyDescent="0.3">
      <c r="A13" s="5"/>
      <c r="C13" s="3"/>
      <c r="D13" s="31"/>
      <c r="E13" s="27"/>
      <c r="H13" s="31"/>
    </row>
    <row r="14" spans="1:8" ht="19.5" thickBot="1" x14ac:dyDescent="0.35">
      <c r="A14" s="5"/>
      <c r="C14" s="3"/>
      <c r="D14" s="23"/>
      <c r="E14" s="27"/>
      <c r="H14" s="23"/>
    </row>
    <row r="15" spans="1:8" ht="18.75" customHeight="1" x14ac:dyDescent="0.3">
      <c r="D15" s="4">
        <f>SUM(D7:D14)</f>
        <v>2694876</v>
      </c>
      <c r="H15" s="4">
        <f>SUM(H7:H14)</f>
        <v>430274</v>
      </c>
    </row>
    <row r="16" spans="1:8" ht="18.75" x14ac:dyDescent="0.3">
      <c r="A16" s="5"/>
      <c r="C16" s="3"/>
      <c r="D16" s="4"/>
      <c r="H16" s="4"/>
    </row>
    <row r="18" spans="1:8" ht="18.75" x14ac:dyDescent="0.3">
      <c r="A18" s="5"/>
      <c r="C18" s="3"/>
      <c r="D18" s="4"/>
      <c r="H18" s="4"/>
    </row>
    <row r="19" spans="1:8" ht="15.75" thickBot="1" x14ac:dyDescent="0.3">
      <c r="D19" s="7"/>
      <c r="H19" s="7"/>
    </row>
    <row r="21" spans="1:8" ht="18.75" x14ac:dyDescent="0.3">
      <c r="C21" t="s">
        <v>4</v>
      </c>
      <c r="D21" s="4">
        <f>D3-D15</f>
        <v>738961</v>
      </c>
      <c r="G21" t="s">
        <v>5</v>
      </c>
      <c r="H21" s="4">
        <f>H3-H15</f>
        <v>129751</v>
      </c>
    </row>
    <row r="24" spans="1:8" ht="15.75" x14ac:dyDescent="0.25">
      <c r="A24" t="s">
        <v>6</v>
      </c>
      <c r="C24" s="8">
        <f>D21</f>
        <v>738961</v>
      </c>
      <c r="E24" t="s">
        <v>10</v>
      </c>
      <c r="H24" s="6">
        <f>C33</f>
        <v>595474.652</v>
      </c>
    </row>
    <row r="26" spans="1:8" ht="15.75" x14ac:dyDescent="0.25">
      <c r="A26" t="s">
        <v>5</v>
      </c>
      <c r="B26" s="9" t="s">
        <v>7</v>
      </c>
      <c r="C26" s="8">
        <f>H21</f>
        <v>129751</v>
      </c>
      <c r="E26" s="13" t="s">
        <v>11</v>
      </c>
      <c r="F26" s="9" t="s">
        <v>12</v>
      </c>
      <c r="G26" s="15" t="s">
        <v>17</v>
      </c>
      <c r="H26" s="3">
        <f>-(F27*0.007)</f>
        <v>-20116.684000000001</v>
      </c>
    </row>
    <row r="27" spans="1:8" x14ac:dyDescent="0.25">
      <c r="F27" s="21">
        <f>D3-H3</f>
        <v>2873812</v>
      </c>
    </row>
    <row r="28" spans="1:8" ht="16.5" thickBot="1" x14ac:dyDescent="0.3">
      <c r="A28" t="s">
        <v>8</v>
      </c>
      <c r="B28" s="9" t="s">
        <v>7</v>
      </c>
      <c r="C28" s="8">
        <f>D3*0.004</f>
        <v>13735.348</v>
      </c>
      <c r="F28" s="9" t="s">
        <v>13</v>
      </c>
      <c r="G28" s="16">
        <v>0.35</v>
      </c>
      <c r="H28" s="17">
        <f>-(F29*0.35)</f>
        <v>-208416.12819999998</v>
      </c>
    </row>
    <row r="29" spans="1:8" x14ac:dyDescent="0.25">
      <c r="F29" s="21">
        <f>H24</f>
        <v>595474.652</v>
      </c>
    </row>
    <row r="30" spans="1:8" ht="15.75" x14ac:dyDescent="0.25">
      <c r="A30" t="s">
        <v>9</v>
      </c>
      <c r="B30" s="9" t="s">
        <v>7</v>
      </c>
      <c r="C30" s="10"/>
      <c r="G30" s="13" t="s">
        <v>14</v>
      </c>
      <c r="H30" s="6">
        <f>H24+H26+H28</f>
        <v>366941.83980000002</v>
      </c>
    </row>
    <row r="31" spans="1:8" ht="15.75" thickBot="1" x14ac:dyDescent="0.3">
      <c r="A31" s="16"/>
      <c r="B31" s="14"/>
      <c r="C31" s="7"/>
    </row>
    <row r="32" spans="1:8" x14ac:dyDescent="0.25">
      <c r="E32" t="s">
        <v>100</v>
      </c>
      <c r="H32" s="20">
        <f>H30*0.35</f>
        <v>128429.64392999999</v>
      </c>
    </row>
    <row r="33" spans="1:8" ht="15.75" x14ac:dyDescent="0.25">
      <c r="A33" t="s">
        <v>10</v>
      </c>
      <c r="C33" s="10">
        <f>C24-C26-C28-C30</f>
        <v>595474.652</v>
      </c>
      <c r="H33" s="18"/>
    </row>
    <row r="34" spans="1:8" x14ac:dyDescent="0.25">
      <c r="H34" s="3"/>
    </row>
    <row r="35" spans="1:8" x14ac:dyDescent="0.25">
      <c r="H35" s="18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EE2A2-4F47-4CDD-BD25-1A06F28ADE10}">
  <dimension ref="A1:H35"/>
  <sheetViews>
    <sheetView topLeftCell="A16"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3.28515625" bestFit="1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120</v>
      </c>
    </row>
    <row r="3" spans="1:8" ht="21" x14ac:dyDescent="0.35">
      <c r="A3" s="2" t="s">
        <v>1</v>
      </c>
      <c r="D3" s="11">
        <v>800632</v>
      </c>
      <c r="F3" s="12" t="s">
        <v>3</v>
      </c>
      <c r="H3" s="11">
        <v>127832</v>
      </c>
    </row>
    <row r="4" spans="1:8" x14ac:dyDescent="0.25">
      <c r="A4" s="13" t="s">
        <v>29</v>
      </c>
      <c r="C4" s="28">
        <v>307</v>
      </c>
    </row>
    <row r="5" spans="1:8" ht="21" x14ac:dyDescent="0.35">
      <c r="A5" s="2" t="s">
        <v>2</v>
      </c>
    </row>
    <row r="7" spans="1:8" ht="18.75" x14ac:dyDescent="0.3">
      <c r="A7" s="5"/>
      <c r="D7" s="4"/>
      <c r="E7" s="27"/>
      <c r="H7" s="4"/>
    </row>
    <row r="8" spans="1:8" ht="18.75" x14ac:dyDescent="0.3">
      <c r="A8" s="5" t="s">
        <v>121</v>
      </c>
      <c r="D8" s="4">
        <v>636710</v>
      </c>
      <c r="E8" s="27" t="s">
        <v>31</v>
      </c>
      <c r="H8" s="4">
        <v>101660</v>
      </c>
    </row>
    <row r="9" spans="1:8" ht="18.75" x14ac:dyDescent="0.3">
      <c r="A9" s="5"/>
      <c r="D9" s="4"/>
      <c r="E9" s="27"/>
      <c r="H9" s="4"/>
    </row>
    <row r="10" spans="1:8" ht="18.75" x14ac:dyDescent="0.3">
      <c r="A10" s="5"/>
      <c r="D10" s="4"/>
      <c r="E10" s="27"/>
      <c r="H10" s="4"/>
    </row>
    <row r="11" spans="1:8" ht="18.75" x14ac:dyDescent="0.3">
      <c r="A11" s="5"/>
      <c r="D11" s="4"/>
      <c r="E11" s="27"/>
      <c r="H11" s="4"/>
    </row>
    <row r="12" spans="1:8" ht="18.75" x14ac:dyDescent="0.3">
      <c r="A12" s="5"/>
      <c r="C12" s="3"/>
      <c r="D12" s="30"/>
      <c r="E12" s="27"/>
      <c r="H12" s="30"/>
    </row>
    <row r="13" spans="1:8" ht="18.75" x14ac:dyDescent="0.3">
      <c r="A13" s="5"/>
      <c r="C13" s="3"/>
      <c r="D13" s="31"/>
      <c r="E13" s="27"/>
      <c r="H13" s="31"/>
    </row>
    <row r="14" spans="1:8" ht="19.5" thickBot="1" x14ac:dyDescent="0.35">
      <c r="A14" s="5"/>
      <c r="C14" s="3"/>
      <c r="D14" s="23"/>
      <c r="E14" s="27"/>
      <c r="H14" s="23"/>
    </row>
    <row r="15" spans="1:8" ht="18.75" customHeight="1" x14ac:dyDescent="0.3">
      <c r="D15" s="4">
        <f>SUM(D7:D14)</f>
        <v>636710</v>
      </c>
      <c r="H15" s="4">
        <f>SUM(H7:H14)</f>
        <v>101660</v>
      </c>
    </row>
    <row r="16" spans="1:8" ht="18.75" x14ac:dyDescent="0.3">
      <c r="A16" s="5"/>
      <c r="C16" s="3"/>
      <c r="D16" s="4"/>
      <c r="H16" s="4"/>
    </row>
    <row r="18" spans="1:8" ht="18.75" x14ac:dyDescent="0.3">
      <c r="A18" s="5"/>
      <c r="C18" s="3"/>
      <c r="D18" s="4"/>
      <c r="H18" s="4"/>
    </row>
    <row r="19" spans="1:8" ht="15.75" thickBot="1" x14ac:dyDescent="0.3">
      <c r="D19" s="7"/>
      <c r="H19" s="7"/>
    </row>
    <row r="21" spans="1:8" ht="18.75" x14ac:dyDescent="0.3">
      <c r="C21" t="s">
        <v>4</v>
      </c>
      <c r="D21" s="4">
        <f>D3-D15</f>
        <v>163922</v>
      </c>
      <c r="G21" t="s">
        <v>5</v>
      </c>
      <c r="H21" s="4">
        <f>H3-H15</f>
        <v>26172</v>
      </c>
    </row>
    <row r="24" spans="1:8" ht="15.75" x14ac:dyDescent="0.25">
      <c r="A24" t="s">
        <v>6</v>
      </c>
      <c r="C24" s="8">
        <f>D21</f>
        <v>163922</v>
      </c>
      <c r="E24" t="s">
        <v>10</v>
      </c>
      <c r="H24" s="6">
        <f>C33</f>
        <v>134547.47200000001</v>
      </c>
    </row>
    <row r="26" spans="1:8" ht="15.75" x14ac:dyDescent="0.25">
      <c r="A26" t="s">
        <v>5</v>
      </c>
      <c r="B26" s="9" t="s">
        <v>7</v>
      </c>
      <c r="C26" s="8">
        <f>H21</f>
        <v>26172</v>
      </c>
      <c r="E26" s="13" t="s">
        <v>11</v>
      </c>
      <c r="F26" s="9" t="s">
        <v>12</v>
      </c>
      <c r="G26" s="15" t="s">
        <v>17</v>
      </c>
      <c r="H26" s="3">
        <f>-(F27*0.007)</f>
        <v>-4709.6000000000004</v>
      </c>
    </row>
    <row r="27" spans="1:8" x14ac:dyDescent="0.25">
      <c r="F27" s="21">
        <f>D3-H3</f>
        <v>672800</v>
      </c>
    </row>
    <row r="28" spans="1:8" ht="16.5" thickBot="1" x14ac:dyDescent="0.3">
      <c r="A28" t="s">
        <v>8</v>
      </c>
      <c r="B28" s="9" t="s">
        <v>7</v>
      </c>
      <c r="C28" s="8">
        <f>D3*0.004</f>
        <v>3202.5280000000002</v>
      </c>
      <c r="F28" s="9" t="s">
        <v>13</v>
      </c>
      <c r="G28" s="16">
        <v>0.35</v>
      </c>
      <c r="H28" s="17">
        <f>-(F29*0.35)</f>
        <v>-47091.6152</v>
      </c>
    </row>
    <row r="29" spans="1:8" x14ac:dyDescent="0.25">
      <c r="F29" s="21">
        <f>H24</f>
        <v>134547.47200000001</v>
      </c>
    </row>
    <row r="30" spans="1:8" ht="15.75" x14ac:dyDescent="0.25">
      <c r="A30" t="s">
        <v>9</v>
      </c>
      <c r="B30" s="9" t="s">
        <v>7</v>
      </c>
      <c r="C30" s="10"/>
      <c r="G30" s="13" t="s">
        <v>14</v>
      </c>
      <c r="H30" s="6">
        <f>H24+H26+H28</f>
        <v>82746.256800000003</v>
      </c>
    </row>
    <row r="31" spans="1:8" ht="15.75" thickBot="1" x14ac:dyDescent="0.3">
      <c r="A31" s="16"/>
      <c r="B31" s="14"/>
      <c r="C31" s="7"/>
    </row>
    <row r="32" spans="1:8" x14ac:dyDescent="0.25">
      <c r="E32" t="s">
        <v>100</v>
      </c>
      <c r="H32" s="20">
        <f>H30*0.35</f>
        <v>28961.189879999998</v>
      </c>
    </row>
    <row r="33" spans="1:8" ht="15.75" x14ac:dyDescent="0.25">
      <c r="A33" t="s">
        <v>10</v>
      </c>
      <c r="C33" s="10">
        <f>C24-C26-C28-C30</f>
        <v>134547.47200000001</v>
      </c>
      <c r="H33" s="18"/>
    </row>
    <row r="34" spans="1:8" x14ac:dyDescent="0.25">
      <c r="H34" s="3"/>
    </row>
    <row r="35" spans="1:8" x14ac:dyDescent="0.25">
      <c r="H35" s="18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28CC4-93CF-4BAB-8B63-9C8E72493791}">
  <dimension ref="A1:H35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3.28515625" bestFit="1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140</v>
      </c>
    </row>
    <row r="3" spans="1:8" ht="21" x14ac:dyDescent="0.35">
      <c r="A3" s="2" t="s">
        <v>1</v>
      </c>
      <c r="D3" s="11">
        <v>42661</v>
      </c>
      <c r="F3" s="12" t="s">
        <v>3</v>
      </c>
      <c r="H3" s="11">
        <v>6811</v>
      </c>
    </row>
    <row r="4" spans="1:8" x14ac:dyDescent="0.25">
      <c r="A4" s="13" t="s">
        <v>29</v>
      </c>
      <c r="C4" s="28">
        <v>307</v>
      </c>
    </row>
    <row r="5" spans="1:8" ht="21" x14ac:dyDescent="0.35">
      <c r="A5" s="2" t="s">
        <v>2</v>
      </c>
    </row>
    <row r="7" spans="1:8" ht="18.75" x14ac:dyDescent="0.3">
      <c r="A7" s="5"/>
      <c r="D7" s="4"/>
      <c r="E7" s="27"/>
      <c r="H7" s="4"/>
    </row>
    <row r="8" spans="1:8" ht="18.75" x14ac:dyDescent="0.3">
      <c r="A8" s="5" t="s">
        <v>141</v>
      </c>
      <c r="D8" s="4">
        <v>32808</v>
      </c>
      <c r="E8" s="27" t="s">
        <v>31</v>
      </c>
      <c r="H8" s="4">
        <v>5238</v>
      </c>
    </row>
    <row r="9" spans="1:8" ht="18.75" x14ac:dyDescent="0.3">
      <c r="A9" s="5"/>
      <c r="D9" s="4"/>
      <c r="E9" s="27"/>
      <c r="H9" s="4"/>
    </row>
    <row r="10" spans="1:8" ht="18.75" x14ac:dyDescent="0.3">
      <c r="A10" s="5"/>
      <c r="D10" s="4"/>
      <c r="E10" s="27"/>
      <c r="H10" s="4"/>
    </row>
    <row r="11" spans="1:8" ht="18.75" x14ac:dyDescent="0.3">
      <c r="A11" s="5"/>
      <c r="D11" s="4"/>
      <c r="E11" s="27"/>
      <c r="H11" s="4"/>
    </row>
    <row r="12" spans="1:8" ht="18.75" x14ac:dyDescent="0.3">
      <c r="A12" s="5"/>
      <c r="C12" s="3"/>
      <c r="D12" s="30"/>
      <c r="E12" s="27"/>
      <c r="H12" s="30"/>
    </row>
    <row r="13" spans="1:8" ht="18.75" x14ac:dyDescent="0.3">
      <c r="A13" s="5"/>
      <c r="C13" s="3"/>
      <c r="D13" s="31"/>
      <c r="E13" s="27"/>
      <c r="H13" s="31"/>
    </row>
    <row r="14" spans="1:8" ht="19.5" thickBot="1" x14ac:dyDescent="0.35">
      <c r="A14" s="5"/>
      <c r="C14" s="3"/>
      <c r="D14" s="23"/>
      <c r="E14" s="27"/>
      <c r="H14" s="23"/>
    </row>
    <row r="15" spans="1:8" ht="18.75" customHeight="1" x14ac:dyDescent="0.3">
      <c r="D15" s="4">
        <f>SUM(D7:D14)</f>
        <v>32808</v>
      </c>
      <c r="H15" s="4">
        <f>SUM(H7:H14)</f>
        <v>5238</v>
      </c>
    </row>
    <row r="16" spans="1:8" ht="18.75" x14ac:dyDescent="0.3">
      <c r="A16" s="5"/>
      <c r="C16" s="3"/>
      <c r="D16" s="4"/>
      <c r="H16" s="4"/>
    </row>
    <row r="18" spans="1:8" ht="18.75" x14ac:dyDescent="0.3">
      <c r="A18" s="5"/>
      <c r="C18" s="3"/>
      <c r="D18" s="4"/>
      <c r="H18" s="4"/>
    </row>
    <row r="19" spans="1:8" ht="15.75" thickBot="1" x14ac:dyDescent="0.3">
      <c r="D19" s="7"/>
      <c r="H19" s="7"/>
    </row>
    <row r="21" spans="1:8" ht="18.75" x14ac:dyDescent="0.3">
      <c r="C21" t="s">
        <v>4</v>
      </c>
      <c r="D21" s="4">
        <f>D3-D15</f>
        <v>9853</v>
      </c>
      <c r="G21" t="s">
        <v>5</v>
      </c>
      <c r="H21" s="4">
        <f>H3-H15</f>
        <v>1573</v>
      </c>
    </row>
    <row r="24" spans="1:8" ht="15.75" x14ac:dyDescent="0.25">
      <c r="A24" t="s">
        <v>6</v>
      </c>
      <c r="C24" s="8">
        <f>D21</f>
        <v>9853</v>
      </c>
      <c r="E24" t="s">
        <v>10</v>
      </c>
      <c r="H24" s="6">
        <f>C33</f>
        <v>8109.3559999999998</v>
      </c>
    </row>
    <row r="26" spans="1:8" ht="15.75" x14ac:dyDescent="0.25">
      <c r="A26" t="s">
        <v>5</v>
      </c>
      <c r="B26" s="9" t="s">
        <v>7</v>
      </c>
      <c r="C26" s="8">
        <f>H21</f>
        <v>1573</v>
      </c>
      <c r="E26" s="13" t="s">
        <v>11</v>
      </c>
      <c r="F26" s="9" t="s">
        <v>12</v>
      </c>
      <c r="G26" s="15" t="s">
        <v>17</v>
      </c>
      <c r="H26" s="3">
        <f>-(F27*0.007)</f>
        <v>-250.95000000000002</v>
      </c>
    </row>
    <row r="27" spans="1:8" x14ac:dyDescent="0.25">
      <c r="F27" s="21">
        <f>D3-H3</f>
        <v>35850</v>
      </c>
    </row>
    <row r="28" spans="1:8" ht="16.5" thickBot="1" x14ac:dyDescent="0.3">
      <c r="A28" t="s">
        <v>8</v>
      </c>
      <c r="B28" s="9" t="s">
        <v>7</v>
      </c>
      <c r="C28" s="8">
        <f>D3*0.004</f>
        <v>170.64400000000001</v>
      </c>
      <c r="F28" s="9" t="s">
        <v>13</v>
      </c>
      <c r="G28" s="16">
        <v>0.35</v>
      </c>
      <c r="H28" s="17">
        <f>-(F29*0.35)</f>
        <v>-2838.2745999999997</v>
      </c>
    </row>
    <row r="29" spans="1:8" x14ac:dyDescent="0.25">
      <c r="F29" s="21">
        <f>H24</f>
        <v>8109.3559999999998</v>
      </c>
    </row>
    <row r="30" spans="1:8" ht="15.75" x14ac:dyDescent="0.25">
      <c r="A30" t="s">
        <v>9</v>
      </c>
      <c r="B30" s="9" t="s">
        <v>7</v>
      </c>
      <c r="C30" s="10"/>
      <c r="G30" s="13" t="s">
        <v>14</v>
      </c>
      <c r="H30" s="6">
        <f>H24+H26+H28</f>
        <v>5020.1314000000002</v>
      </c>
    </row>
    <row r="31" spans="1:8" ht="15.75" thickBot="1" x14ac:dyDescent="0.3">
      <c r="A31" s="16"/>
      <c r="B31" s="14"/>
      <c r="C31" s="7"/>
    </row>
    <row r="32" spans="1:8" x14ac:dyDescent="0.25">
      <c r="E32" t="s">
        <v>100</v>
      </c>
      <c r="H32" s="20">
        <f>H30*0.35</f>
        <v>1757.0459900000001</v>
      </c>
    </row>
    <row r="33" spans="1:8" ht="15.75" x14ac:dyDescent="0.25">
      <c r="A33" t="s">
        <v>10</v>
      </c>
      <c r="C33" s="10">
        <f>C24-C26-C28-C30</f>
        <v>8109.3559999999998</v>
      </c>
      <c r="H33" s="18"/>
    </row>
    <row r="34" spans="1:8" x14ac:dyDescent="0.25">
      <c r="H34" s="3"/>
    </row>
    <row r="35" spans="1:8" x14ac:dyDescent="0.25">
      <c r="H35" s="18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E46A9-CCC1-44BD-AF88-BA8CD5BB01D7}">
  <dimension ref="A1:H35"/>
  <sheetViews>
    <sheetView topLeftCell="A19" workbookViewId="0">
      <selection activeCell="H26" sqref="H2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3.28515625" bestFit="1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101</v>
      </c>
    </row>
    <row r="3" spans="1:8" ht="21" x14ac:dyDescent="0.35">
      <c r="A3" s="2" t="s">
        <v>1</v>
      </c>
      <c r="D3" s="11">
        <v>1640000</v>
      </c>
      <c r="F3" s="12" t="s">
        <v>3</v>
      </c>
      <c r="H3" s="11">
        <v>0</v>
      </c>
    </row>
    <row r="4" spans="1:8" x14ac:dyDescent="0.25">
      <c r="A4" s="13" t="s">
        <v>102</v>
      </c>
      <c r="C4" s="28">
        <v>120724001</v>
      </c>
    </row>
    <row r="5" spans="1:8" ht="21" x14ac:dyDescent="0.35">
      <c r="A5" s="2" t="s">
        <v>2</v>
      </c>
    </row>
    <row r="7" spans="1:8" ht="18.75" x14ac:dyDescent="0.3">
      <c r="A7" s="5"/>
      <c r="D7" s="4"/>
      <c r="E7" s="27"/>
      <c r="H7" s="4"/>
    </row>
    <row r="8" spans="1:8" ht="18.75" x14ac:dyDescent="0.3">
      <c r="A8" s="5" t="s">
        <v>105</v>
      </c>
      <c r="D8" s="4">
        <v>14280</v>
      </c>
      <c r="E8" s="27" t="s">
        <v>31</v>
      </c>
      <c r="H8" s="4">
        <v>2280</v>
      </c>
    </row>
    <row r="9" spans="1:8" ht="18.75" x14ac:dyDescent="0.3">
      <c r="A9" s="5" t="s">
        <v>103</v>
      </c>
      <c r="C9" s="3"/>
      <c r="D9" s="4">
        <v>80000</v>
      </c>
      <c r="E9" s="27"/>
      <c r="H9" s="4"/>
    </row>
    <row r="10" spans="1:8" ht="18.75" x14ac:dyDescent="0.3">
      <c r="A10" s="5" t="s">
        <v>104</v>
      </c>
      <c r="D10" s="4">
        <v>84000</v>
      </c>
      <c r="E10" s="27"/>
      <c r="H10" s="4"/>
    </row>
    <row r="11" spans="1:8" ht="18.75" x14ac:dyDescent="0.3">
      <c r="A11" s="5" t="s">
        <v>106</v>
      </c>
      <c r="D11" s="4">
        <v>6000</v>
      </c>
      <c r="E11" s="27"/>
      <c r="H11" s="4"/>
    </row>
    <row r="12" spans="1:8" ht="18.75" x14ac:dyDescent="0.3">
      <c r="A12" s="5" t="s">
        <v>107</v>
      </c>
      <c r="C12" s="3"/>
      <c r="D12" s="30">
        <v>200000</v>
      </c>
      <c r="E12" s="27"/>
      <c r="H12" s="30"/>
    </row>
    <row r="13" spans="1:8" ht="18.75" x14ac:dyDescent="0.3">
      <c r="A13" s="5"/>
      <c r="C13" s="3"/>
      <c r="D13" s="31"/>
      <c r="E13" s="27"/>
      <c r="H13" s="31"/>
    </row>
    <row r="14" spans="1:8" ht="19.5" thickBot="1" x14ac:dyDescent="0.35">
      <c r="A14" s="5"/>
      <c r="C14" s="3"/>
      <c r="D14" s="23"/>
      <c r="E14" s="27"/>
      <c r="H14" s="23"/>
    </row>
    <row r="15" spans="1:8" ht="18.75" customHeight="1" x14ac:dyDescent="0.3">
      <c r="D15" s="4">
        <f>SUM(D7:D14)</f>
        <v>384280</v>
      </c>
      <c r="H15" s="4">
        <f>SUM(H7:H14)</f>
        <v>2280</v>
      </c>
    </row>
    <row r="16" spans="1:8" ht="18.75" x14ac:dyDescent="0.3">
      <c r="A16" s="5"/>
      <c r="C16" s="3"/>
      <c r="D16" s="4"/>
      <c r="H16" s="4"/>
    </row>
    <row r="18" spans="1:8" ht="18.75" x14ac:dyDescent="0.3">
      <c r="A18" s="5"/>
      <c r="C18" s="3"/>
      <c r="D18" s="4"/>
      <c r="H18" s="4"/>
    </row>
    <row r="19" spans="1:8" ht="15.75" thickBot="1" x14ac:dyDescent="0.3">
      <c r="D19" s="7"/>
      <c r="H19" s="7"/>
    </row>
    <row r="21" spans="1:8" ht="18.75" x14ac:dyDescent="0.3">
      <c r="C21" t="s">
        <v>4</v>
      </c>
      <c r="D21" s="4">
        <f>D3-D15</f>
        <v>1255720</v>
      </c>
      <c r="G21" t="s">
        <v>5</v>
      </c>
      <c r="H21" s="4">
        <f>H3-H15</f>
        <v>-2280</v>
      </c>
    </row>
    <row r="24" spans="1:8" ht="15.75" x14ac:dyDescent="0.25">
      <c r="A24" t="s">
        <v>6</v>
      </c>
      <c r="C24" s="8">
        <f>D21</f>
        <v>1255720</v>
      </c>
      <c r="E24" t="s">
        <v>10</v>
      </c>
      <c r="H24" s="6">
        <f>C33</f>
        <v>1251440</v>
      </c>
    </row>
    <row r="26" spans="1:8" ht="15.75" x14ac:dyDescent="0.25">
      <c r="A26" t="s">
        <v>5</v>
      </c>
      <c r="B26" s="9" t="s">
        <v>7</v>
      </c>
      <c r="C26" s="8">
        <f>H21</f>
        <v>-2280</v>
      </c>
      <c r="E26" s="13" t="s">
        <v>11</v>
      </c>
      <c r="F26" s="9" t="s">
        <v>12</v>
      </c>
      <c r="G26" s="15" t="s">
        <v>17</v>
      </c>
      <c r="H26" s="3">
        <f>-(F27*0.007)</f>
        <v>-11480</v>
      </c>
    </row>
    <row r="27" spans="1:8" x14ac:dyDescent="0.25">
      <c r="F27" s="21">
        <f>D3-H3</f>
        <v>1640000</v>
      </c>
    </row>
    <row r="28" spans="1:8" ht="16.5" thickBot="1" x14ac:dyDescent="0.3">
      <c r="A28" t="s">
        <v>8</v>
      </c>
      <c r="B28" s="9" t="s">
        <v>7</v>
      </c>
      <c r="C28" s="8">
        <f>D3*0.004</f>
        <v>6560</v>
      </c>
      <c r="F28" s="9" t="s">
        <v>13</v>
      </c>
      <c r="G28" s="16">
        <v>0.35</v>
      </c>
      <c r="H28" s="17">
        <v>0</v>
      </c>
    </row>
    <row r="29" spans="1:8" x14ac:dyDescent="0.25">
      <c r="F29" s="21">
        <f>H24</f>
        <v>1251440</v>
      </c>
    </row>
    <row r="30" spans="1:8" ht="15.75" x14ac:dyDescent="0.25">
      <c r="A30" t="s">
        <v>9</v>
      </c>
      <c r="B30" s="9" t="s">
        <v>7</v>
      </c>
      <c r="C30" s="10"/>
      <c r="G30" s="13" t="s">
        <v>14</v>
      </c>
      <c r="H30" s="6">
        <f>H24+H26+H28</f>
        <v>1239960</v>
      </c>
    </row>
    <row r="31" spans="1:8" ht="15.75" thickBot="1" x14ac:dyDescent="0.3">
      <c r="A31" s="16"/>
      <c r="B31" s="14"/>
      <c r="C31" s="7"/>
    </row>
    <row r="32" spans="1:8" x14ac:dyDescent="0.25">
      <c r="E32" t="s">
        <v>100</v>
      </c>
      <c r="H32" s="20">
        <f>H30*0.35</f>
        <v>433986</v>
      </c>
    </row>
    <row r="33" spans="1:8" ht="15.75" x14ac:dyDescent="0.25">
      <c r="A33" t="s">
        <v>10</v>
      </c>
      <c r="C33" s="10">
        <f>C24-C26-C28-C30</f>
        <v>1251440</v>
      </c>
      <c r="H33" s="18"/>
    </row>
    <row r="34" spans="1:8" x14ac:dyDescent="0.25">
      <c r="H34" s="3"/>
    </row>
    <row r="35" spans="1:8" x14ac:dyDescent="0.25">
      <c r="H35" s="18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2DB07-3120-4D09-AA84-177C9F7BE5AF}">
  <dimension ref="A1:H45"/>
  <sheetViews>
    <sheetView topLeftCell="A31" workbookViewId="0">
      <selection activeCell="D6" sqref="D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4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122</v>
      </c>
    </row>
    <row r="3" spans="1:8" ht="21" x14ac:dyDescent="0.35">
      <c r="A3" s="2" t="s">
        <v>1</v>
      </c>
      <c r="D3" s="11">
        <v>6525120</v>
      </c>
      <c r="F3" s="12" t="s">
        <v>3</v>
      </c>
      <c r="H3" s="11">
        <v>0</v>
      </c>
    </row>
    <row r="4" spans="1:8" x14ac:dyDescent="0.25">
      <c r="A4" s="13" t="s">
        <v>139</v>
      </c>
      <c r="C4" s="32">
        <v>45490</v>
      </c>
    </row>
    <row r="5" spans="1:8" ht="21" x14ac:dyDescent="0.35">
      <c r="A5" s="2" t="s">
        <v>2</v>
      </c>
    </row>
    <row r="7" spans="1:8" ht="18.75" x14ac:dyDescent="0.3">
      <c r="A7" s="5"/>
      <c r="D7" s="4"/>
      <c r="E7" s="27"/>
      <c r="H7" s="4"/>
    </row>
    <row r="8" spans="1:8" ht="18.75" x14ac:dyDescent="0.3">
      <c r="A8" s="5" t="s">
        <v>123</v>
      </c>
      <c r="D8" s="4">
        <v>79016</v>
      </c>
      <c r="E8" s="27" t="s">
        <v>31</v>
      </c>
      <c r="H8" s="4"/>
    </row>
    <row r="9" spans="1:8" ht="18.75" x14ac:dyDescent="0.3">
      <c r="A9" s="5" t="s">
        <v>124</v>
      </c>
      <c r="C9" s="3"/>
      <c r="D9" s="4">
        <v>120282</v>
      </c>
      <c r="E9" s="27" t="s">
        <v>31</v>
      </c>
      <c r="H9" s="4"/>
    </row>
    <row r="10" spans="1:8" ht="18.75" x14ac:dyDescent="0.3">
      <c r="A10" s="5" t="s">
        <v>125</v>
      </c>
      <c r="D10" s="4">
        <v>292425</v>
      </c>
      <c r="E10" s="27" t="s">
        <v>31</v>
      </c>
      <c r="H10" s="4"/>
    </row>
    <row r="11" spans="1:8" ht="18.75" x14ac:dyDescent="0.3">
      <c r="A11" s="5" t="s">
        <v>126</v>
      </c>
      <c r="D11" s="4">
        <v>569442</v>
      </c>
      <c r="E11" s="27" t="s">
        <v>31</v>
      </c>
      <c r="H11" s="4"/>
    </row>
    <row r="12" spans="1:8" ht="18.75" x14ac:dyDescent="0.3">
      <c r="A12" s="5" t="s">
        <v>127</v>
      </c>
      <c r="C12" s="3"/>
      <c r="D12" s="30">
        <v>256335</v>
      </c>
      <c r="E12" s="27" t="s">
        <v>31</v>
      </c>
      <c r="H12" s="30"/>
    </row>
    <row r="13" spans="1:8" ht="18.75" x14ac:dyDescent="0.3">
      <c r="A13" s="5" t="s">
        <v>128</v>
      </c>
      <c r="C13" s="3"/>
      <c r="D13" s="31">
        <v>17255</v>
      </c>
      <c r="E13" s="27" t="s">
        <v>31</v>
      </c>
      <c r="H13" s="31"/>
    </row>
    <row r="14" spans="1:8" ht="18.75" x14ac:dyDescent="0.3">
      <c r="A14" s="5" t="s">
        <v>129</v>
      </c>
      <c r="C14" s="3"/>
      <c r="D14" s="31">
        <v>1217608</v>
      </c>
      <c r="E14" s="27" t="s">
        <v>31</v>
      </c>
      <c r="H14" s="31"/>
    </row>
    <row r="15" spans="1:8" ht="18.75" x14ac:dyDescent="0.3">
      <c r="A15" s="5" t="s">
        <v>130</v>
      </c>
      <c r="C15" s="3"/>
      <c r="D15" s="31">
        <v>178000</v>
      </c>
      <c r="E15" s="27" t="s">
        <v>31</v>
      </c>
      <c r="H15" s="31"/>
    </row>
    <row r="16" spans="1:8" ht="18.75" x14ac:dyDescent="0.3">
      <c r="A16" s="5" t="s">
        <v>131</v>
      </c>
      <c r="C16" s="3"/>
      <c r="D16" s="31">
        <v>12000</v>
      </c>
      <c r="E16" s="27" t="s">
        <v>31</v>
      </c>
      <c r="H16" s="31"/>
    </row>
    <row r="17" spans="1:8" ht="18.75" x14ac:dyDescent="0.3">
      <c r="A17" s="5" t="s">
        <v>132</v>
      </c>
      <c r="C17" s="3"/>
      <c r="D17" s="31">
        <v>1135000</v>
      </c>
      <c r="E17" s="27" t="s">
        <v>31</v>
      </c>
      <c r="H17" s="31"/>
    </row>
    <row r="18" spans="1:8" ht="18.75" x14ac:dyDescent="0.3">
      <c r="A18" s="5" t="s">
        <v>132</v>
      </c>
      <c r="C18" s="3"/>
      <c r="D18" s="31">
        <v>80000</v>
      </c>
      <c r="E18" s="27" t="s">
        <v>31</v>
      </c>
      <c r="H18" s="31"/>
    </row>
    <row r="19" spans="1:8" ht="18.75" x14ac:dyDescent="0.3">
      <c r="A19" s="5" t="s">
        <v>133</v>
      </c>
      <c r="C19" s="3"/>
      <c r="D19" s="31">
        <v>572000</v>
      </c>
      <c r="E19" s="27" t="s">
        <v>31</v>
      </c>
      <c r="H19" s="31"/>
    </row>
    <row r="20" spans="1:8" ht="18.75" x14ac:dyDescent="0.3">
      <c r="A20" s="5" t="s">
        <v>134</v>
      </c>
      <c r="C20" s="3"/>
      <c r="D20" s="31">
        <v>640000</v>
      </c>
      <c r="E20" s="27" t="s">
        <v>31</v>
      </c>
      <c r="H20" s="31"/>
    </row>
    <row r="21" spans="1:8" ht="18.75" x14ac:dyDescent="0.3">
      <c r="A21" s="5" t="s">
        <v>135</v>
      </c>
      <c r="C21" s="3"/>
      <c r="D21" s="31">
        <v>55000</v>
      </c>
      <c r="E21" s="27" t="s">
        <v>31</v>
      </c>
      <c r="H21" s="31"/>
    </row>
    <row r="22" spans="1:8" ht="18.75" x14ac:dyDescent="0.3">
      <c r="A22" s="5" t="s">
        <v>136</v>
      </c>
      <c r="C22" s="3"/>
      <c r="D22" s="31">
        <v>71000</v>
      </c>
      <c r="E22" s="27" t="s">
        <v>31</v>
      </c>
      <c r="H22" s="31"/>
    </row>
    <row r="23" spans="1:8" ht="18.75" x14ac:dyDescent="0.3">
      <c r="A23" s="5" t="s">
        <v>137</v>
      </c>
      <c r="C23" s="3"/>
      <c r="D23" s="31">
        <v>24000</v>
      </c>
      <c r="E23" s="27" t="s">
        <v>31</v>
      </c>
      <c r="H23" s="31"/>
    </row>
    <row r="24" spans="1:8" ht="19.5" thickBot="1" x14ac:dyDescent="0.35">
      <c r="A24" s="5" t="s">
        <v>138</v>
      </c>
      <c r="C24" s="3"/>
      <c r="D24" s="23">
        <v>33800</v>
      </c>
      <c r="E24" s="27" t="s">
        <v>31</v>
      </c>
      <c r="H24" s="23"/>
    </row>
    <row r="25" spans="1:8" ht="18.75" customHeight="1" x14ac:dyDescent="0.3">
      <c r="D25" s="4">
        <f>SUM(D7:D24)</f>
        <v>5353163</v>
      </c>
      <c r="H25" s="4">
        <f>SUM(H7:H24)</f>
        <v>0</v>
      </c>
    </row>
    <row r="26" spans="1:8" ht="18.75" x14ac:dyDescent="0.3">
      <c r="A26" s="5"/>
      <c r="C26" s="3"/>
      <c r="D26" s="4"/>
      <c r="H26" s="4"/>
    </row>
    <row r="28" spans="1:8" ht="18.75" x14ac:dyDescent="0.3">
      <c r="A28" s="5"/>
      <c r="C28" s="3"/>
      <c r="D28" s="4"/>
      <c r="H28" s="4"/>
    </row>
    <row r="29" spans="1:8" ht="15.75" thickBot="1" x14ac:dyDescent="0.3">
      <c r="D29" s="7"/>
      <c r="H29" s="7"/>
    </row>
    <row r="31" spans="1:8" ht="18.75" x14ac:dyDescent="0.3">
      <c r="C31" t="s">
        <v>4</v>
      </c>
      <c r="D31" s="4">
        <f>D3-D25</f>
        <v>1171957</v>
      </c>
      <c r="G31" t="s">
        <v>5</v>
      </c>
      <c r="H31" s="4">
        <f>H3-H25</f>
        <v>0</v>
      </c>
    </row>
    <row r="34" spans="1:8" ht="15.75" x14ac:dyDescent="0.25">
      <c r="A34" t="s">
        <v>6</v>
      </c>
      <c r="C34" s="8">
        <f>D31</f>
        <v>1171957</v>
      </c>
      <c r="E34" t="s">
        <v>10</v>
      </c>
      <c r="H34" s="6">
        <f>C43</f>
        <v>1145856.52</v>
      </c>
    </row>
    <row r="36" spans="1:8" ht="15.75" x14ac:dyDescent="0.25">
      <c r="A36" t="s">
        <v>5</v>
      </c>
      <c r="B36" s="9" t="s">
        <v>7</v>
      </c>
      <c r="C36" s="8">
        <f>H31</f>
        <v>0</v>
      </c>
      <c r="E36" s="13" t="s">
        <v>11</v>
      </c>
      <c r="F36" s="9" t="s">
        <v>12</v>
      </c>
      <c r="G36" s="15" t="s">
        <v>17</v>
      </c>
      <c r="H36" s="3">
        <v>0</v>
      </c>
    </row>
    <row r="37" spans="1:8" x14ac:dyDescent="0.25">
      <c r="F37" s="21">
        <f>D3-H3</f>
        <v>6525120</v>
      </c>
    </row>
    <row r="38" spans="1:8" ht="16.5" thickBot="1" x14ac:dyDescent="0.3">
      <c r="A38" t="s">
        <v>8</v>
      </c>
      <c r="B38" s="9" t="s">
        <v>7</v>
      </c>
      <c r="C38" s="8">
        <f>D3*0.004</f>
        <v>26100.48</v>
      </c>
      <c r="F38" s="9" t="s">
        <v>13</v>
      </c>
      <c r="G38" s="16">
        <v>0.35</v>
      </c>
      <c r="H38" s="17">
        <v>0</v>
      </c>
    </row>
    <row r="39" spans="1:8" x14ac:dyDescent="0.25">
      <c r="F39" s="21">
        <f>H34</f>
        <v>1145856.52</v>
      </c>
    </row>
    <row r="40" spans="1:8" ht="15.75" x14ac:dyDescent="0.25">
      <c r="A40" t="s">
        <v>9</v>
      </c>
      <c r="B40" s="9" t="s">
        <v>7</v>
      </c>
      <c r="C40" s="10"/>
      <c r="G40" s="13" t="s">
        <v>14</v>
      </c>
      <c r="H40" s="6">
        <f>H34+H36+H38</f>
        <v>1145856.52</v>
      </c>
    </row>
    <row r="41" spans="1:8" ht="15.75" thickBot="1" x14ac:dyDescent="0.3">
      <c r="A41" s="16"/>
      <c r="B41" s="14"/>
      <c r="C41" s="7"/>
    </row>
    <row r="42" spans="1:8" x14ac:dyDescent="0.25">
      <c r="E42" t="s">
        <v>100</v>
      </c>
      <c r="H42" s="20">
        <f>H40*0.35</f>
        <v>401049.78200000001</v>
      </c>
    </row>
    <row r="43" spans="1:8" ht="15.75" x14ac:dyDescent="0.25">
      <c r="A43" t="s">
        <v>10</v>
      </c>
      <c r="C43" s="10">
        <f>C34-C36-C38-C40</f>
        <v>1145856.52</v>
      </c>
      <c r="H43" s="18"/>
    </row>
    <row r="44" spans="1:8" x14ac:dyDescent="0.25">
      <c r="H44" s="3"/>
    </row>
    <row r="45" spans="1:8" x14ac:dyDescent="0.25">
      <c r="H45" s="18"/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A64E4-B98C-46FA-8594-62C8D8CC6DB2}">
  <dimension ref="A1:H35"/>
  <sheetViews>
    <sheetView workbookViewId="0">
      <selection activeCell="A10" sqref="A10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3.28515625" bestFit="1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143</v>
      </c>
    </row>
    <row r="3" spans="1:8" ht="21" x14ac:dyDescent="0.35">
      <c r="A3" s="2" t="s">
        <v>1</v>
      </c>
      <c r="D3" s="11">
        <v>199920</v>
      </c>
      <c r="F3" s="12" t="s">
        <v>3</v>
      </c>
      <c r="H3" s="11">
        <v>31920</v>
      </c>
    </row>
    <row r="4" spans="1:8" x14ac:dyDescent="0.25">
      <c r="A4" s="13" t="s">
        <v>29</v>
      </c>
      <c r="C4" s="28">
        <v>309</v>
      </c>
    </row>
    <row r="5" spans="1:8" ht="21" x14ac:dyDescent="0.35">
      <c r="A5" s="2" t="s">
        <v>2</v>
      </c>
    </row>
    <row r="7" spans="1:8" ht="18.75" x14ac:dyDescent="0.3">
      <c r="A7" s="5"/>
      <c r="D7" s="4"/>
      <c r="E7" s="27"/>
      <c r="H7" s="4"/>
    </row>
    <row r="8" spans="1:8" ht="18.75" x14ac:dyDescent="0.3">
      <c r="A8" s="5" t="s">
        <v>145</v>
      </c>
      <c r="D8" s="4">
        <v>130900</v>
      </c>
      <c r="E8" s="27" t="s">
        <v>31</v>
      </c>
      <c r="H8" s="4">
        <v>20900</v>
      </c>
    </row>
    <row r="9" spans="1:8" ht="18.75" x14ac:dyDescent="0.3">
      <c r="A9" s="5">
        <v>26743</v>
      </c>
      <c r="D9" s="4"/>
      <c r="E9" s="27"/>
      <c r="H9" s="4"/>
    </row>
    <row r="10" spans="1:8" ht="18.75" x14ac:dyDescent="0.3">
      <c r="A10" s="5"/>
      <c r="D10" s="4"/>
      <c r="E10" s="27"/>
      <c r="H10" s="4"/>
    </row>
    <row r="11" spans="1:8" ht="18.75" x14ac:dyDescent="0.3">
      <c r="A11" s="5"/>
      <c r="D11" s="4"/>
      <c r="E11" s="27"/>
      <c r="H11" s="4"/>
    </row>
    <row r="12" spans="1:8" ht="18.75" x14ac:dyDescent="0.3">
      <c r="A12" s="5"/>
      <c r="C12" s="3"/>
      <c r="D12" s="30"/>
      <c r="E12" s="27"/>
      <c r="H12" s="30"/>
    </row>
    <row r="13" spans="1:8" ht="18.75" x14ac:dyDescent="0.3">
      <c r="A13" s="5"/>
      <c r="C13" s="3"/>
      <c r="D13" s="31"/>
      <c r="E13" s="27"/>
      <c r="H13" s="31"/>
    </row>
    <row r="14" spans="1:8" ht="19.5" thickBot="1" x14ac:dyDescent="0.35">
      <c r="A14" s="5"/>
      <c r="C14" s="3"/>
      <c r="D14" s="23"/>
      <c r="E14" s="27"/>
      <c r="H14" s="23"/>
    </row>
    <row r="15" spans="1:8" ht="18.75" customHeight="1" x14ac:dyDescent="0.3">
      <c r="D15" s="4">
        <f>SUM(D7:D14)</f>
        <v>130900</v>
      </c>
      <c r="H15" s="4">
        <f>SUM(H7:H14)</f>
        <v>20900</v>
      </c>
    </row>
    <row r="16" spans="1:8" ht="18.75" x14ac:dyDescent="0.3">
      <c r="A16" s="5"/>
      <c r="C16" s="3"/>
      <c r="D16" s="4"/>
      <c r="H16" s="4"/>
    </row>
    <row r="18" spans="1:8" ht="18.75" x14ac:dyDescent="0.3">
      <c r="A18" s="5"/>
      <c r="C18" s="3"/>
      <c r="D18" s="4"/>
      <c r="H18" s="4"/>
    </row>
    <row r="19" spans="1:8" ht="15.75" thickBot="1" x14ac:dyDescent="0.3">
      <c r="D19" s="7"/>
      <c r="H19" s="7"/>
    </row>
    <row r="21" spans="1:8" ht="18.75" x14ac:dyDescent="0.3">
      <c r="C21" t="s">
        <v>4</v>
      </c>
      <c r="D21" s="4">
        <f>D3-D15</f>
        <v>69020</v>
      </c>
      <c r="G21" t="s">
        <v>5</v>
      </c>
      <c r="H21" s="4">
        <f>H3-H15</f>
        <v>11020</v>
      </c>
    </row>
    <row r="24" spans="1:8" ht="15.75" x14ac:dyDescent="0.25">
      <c r="A24" t="s">
        <v>6</v>
      </c>
      <c r="C24" s="8">
        <f>D21</f>
        <v>69020</v>
      </c>
      <c r="E24" t="s">
        <v>10</v>
      </c>
      <c r="H24" s="6">
        <f>C33</f>
        <v>57200.32</v>
      </c>
    </row>
    <row r="26" spans="1:8" ht="15.75" x14ac:dyDescent="0.25">
      <c r="A26" t="s">
        <v>5</v>
      </c>
      <c r="B26" s="9" t="s">
        <v>7</v>
      </c>
      <c r="C26" s="8">
        <f>H21</f>
        <v>11020</v>
      </c>
      <c r="E26" s="13" t="s">
        <v>11</v>
      </c>
      <c r="F26" s="9" t="s">
        <v>12</v>
      </c>
      <c r="G26" s="15" t="s">
        <v>17</v>
      </c>
      <c r="H26" s="3">
        <f>-(F27*0.007)</f>
        <v>-1176</v>
      </c>
    </row>
    <row r="27" spans="1:8" x14ac:dyDescent="0.25">
      <c r="F27" s="21">
        <f>D3-H3</f>
        <v>168000</v>
      </c>
    </row>
    <row r="28" spans="1:8" ht="16.5" thickBot="1" x14ac:dyDescent="0.3">
      <c r="A28" t="s">
        <v>8</v>
      </c>
      <c r="B28" s="9" t="s">
        <v>7</v>
      </c>
      <c r="C28" s="8">
        <f>D3*0.004</f>
        <v>799.68000000000006</v>
      </c>
      <c r="F28" s="9" t="s">
        <v>13</v>
      </c>
      <c r="G28" s="16">
        <v>0.35</v>
      </c>
      <c r="H28" s="17">
        <f>-(F29*0.35)</f>
        <v>-20020.111999999997</v>
      </c>
    </row>
    <row r="29" spans="1:8" x14ac:dyDescent="0.25">
      <c r="F29" s="21">
        <f>H24</f>
        <v>57200.32</v>
      </c>
    </row>
    <row r="30" spans="1:8" ht="15.75" x14ac:dyDescent="0.25">
      <c r="A30" t="s">
        <v>9</v>
      </c>
      <c r="B30" s="9" t="s">
        <v>7</v>
      </c>
      <c r="C30" s="10"/>
      <c r="G30" s="13" t="s">
        <v>14</v>
      </c>
      <c r="H30" s="6">
        <f>H24+H26+H28</f>
        <v>36004.207999999999</v>
      </c>
    </row>
    <row r="31" spans="1:8" ht="15.75" thickBot="1" x14ac:dyDescent="0.3">
      <c r="A31" s="16"/>
      <c r="B31" s="14"/>
      <c r="C31" s="7"/>
    </row>
    <row r="32" spans="1:8" x14ac:dyDescent="0.25">
      <c r="E32" t="s">
        <v>100</v>
      </c>
      <c r="H32" s="20">
        <f>H30*0.35</f>
        <v>12601.4728</v>
      </c>
    </row>
    <row r="33" spans="1:8" ht="15.75" x14ac:dyDescent="0.25">
      <c r="A33" t="s">
        <v>10</v>
      </c>
      <c r="C33" s="10">
        <f>C24-C26-C28-C30</f>
        <v>57200.32</v>
      </c>
      <c r="H33" s="18"/>
    </row>
    <row r="34" spans="1:8" x14ac:dyDescent="0.25">
      <c r="H34" s="3"/>
    </row>
    <row r="35" spans="1:8" x14ac:dyDescent="0.25">
      <c r="H35" s="18"/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B6DC4-0B9C-4059-9F80-739ABEECDEFC}">
  <dimension ref="A1:H35"/>
  <sheetViews>
    <sheetView workbookViewId="0">
      <selection activeCell="L13" sqref="L13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3.28515625" bestFit="1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144</v>
      </c>
    </row>
    <row r="3" spans="1:8" ht="21" x14ac:dyDescent="0.35">
      <c r="A3" s="2" t="s">
        <v>1</v>
      </c>
      <c r="D3" s="11">
        <v>214200</v>
      </c>
      <c r="F3" s="12" t="s">
        <v>3</v>
      </c>
      <c r="H3" s="11">
        <v>34200</v>
      </c>
    </row>
    <row r="4" spans="1:8" x14ac:dyDescent="0.25">
      <c r="A4" s="13" t="s">
        <v>29</v>
      </c>
      <c r="C4" s="28">
        <v>310</v>
      </c>
    </row>
    <row r="5" spans="1:8" ht="21" x14ac:dyDescent="0.35">
      <c r="A5" s="2" t="s">
        <v>2</v>
      </c>
    </row>
    <row r="7" spans="1:8" ht="18.75" x14ac:dyDescent="0.3">
      <c r="A7" s="5"/>
      <c r="D7" s="4"/>
      <c r="E7" s="27"/>
      <c r="H7" s="4"/>
    </row>
    <row r="8" spans="1:8" ht="18.75" x14ac:dyDescent="0.3">
      <c r="A8" s="5" t="s">
        <v>146</v>
      </c>
      <c r="D8" s="4">
        <v>160850</v>
      </c>
      <c r="E8" s="27" t="s">
        <v>31</v>
      </c>
      <c r="H8" s="4">
        <v>25682</v>
      </c>
    </row>
    <row r="9" spans="1:8" ht="18.75" x14ac:dyDescent="0.3">
      <c r="A9" s="5"/>
      <c r="D9" s="4"/>
      <c r="E9" s="27"/>
      <c r="H9" s="4"/>
    </row>
    <row r="10" spans="1:8" ht="18.75" x14ac:dyDescent="0.3">
      <c r="A10" s="5"/>
      <c r="D10" s="4"/>
      <c r="E10" s="27"/>
      <c r="H10" s="4"/>
    </row>
    <row r="11" spans="1:8" ht="18.75" x14ac:dyDescent="0.3">
      <c r="A11" s="5"/>
      <c r="D11" s="4"/>
      <c r="E11" s="27"/>
      <c r="H11" s="4"/>
    </row>
    <row r="12" spans="1:8" ht="18.75" x14ac:dyDescent="0.3">
      <c r="A12" s="5"/>
      <c r="C12" s="3"/>
      <c r="D12" s="30"/>
      <c r="E12" s="27"/>
      <c r="H12" s="30"/>
    </row>
    <row r="13" spans="1:8" ht="18.75" x14ac:dyDescent="0.3">
      <c r="A13" s="5"/>
      <c r="C13" s="3"/>
      <c r="D13" s="31"/>
      <c r="E13" s="27"/>
      <c r="H13" s="31"/>
    </row>
    <row r="14" spans="1:8" ht="19.5" thickBot="1" x14ac:dyDescent="0.35">
      <c r="A14" s="5"/>
      <c r="C14" s="3"/>
      <c r="D14" s="23"/>
      <c r="E14" s="27"/>
      <c r="H14" s="23"/>
    </row>
    <row r="15" spans="1:8" ht="18.75" customHeight="1" x14ac:dyDescent="0.3">
      <c r="D15" s="4">
        <f>SUM(D7:D14)</f>
        <v>160850</v>
      </c>
      <c r="H15" s="4">
        <f>SUM(H7:H14)</f>
        <v>25682</v>
      </c>
    </row>
    <row r="16" spans="1:8" ht="18.75" x14ac:dyDescent="0.3">
      <c r="A16" s="5"/>
      <c r="C16" s="3"/>
      <c r="D16" s="4"/>
      <c r="H16" s="4"/>
    </row>
    <row r="18" spans="1:8" ht="18.75" x14ac:dyDescent="0.3">
      <c r="A18" s="5"/>
      <c r="C18" s="3"/>
      <c r="D18" s="4"/>
      <c r="H18" s="4"/>
    </row>
    <row r="19" spans="1:8" ht="15.75" thickBot="1" x14ac:dyDescent="0.3">
      <c r="D19" s="7"/>
      <c r="H19" s="7"/>
    </row>
    <row r="21" spans="1:8" ht="18.75" x14ac:dyDescent="0.3">
      <c r="C21" t="s">
        <v>4</v>
      </c>
      <c r="D21" s="4">
        <f>D3-D15</f>
        <v>53350</v>
      </c>
      <c r="G21" t="s">
        <v>5</v>
      </c>
      <c r="H21" s="4">
        <f>H3-H15</f>
        <v>8518</v>
      </c>
    </row>
    <row r="24" spans="1:8" ht="15.75" x14ac:dyDescent="0.25">
      <c r="A24" t="s">
        <v>6</v>
      </c>
      <c r="C24" s="8">
        <f>D21</f>
        <v>53350</v>
      </c>
      <c r="E24" t="s">
        <v>10</v>
      </c>
      <c r="H24" s="6">
        <f>C33</f>
        <v>43975.199999999997</v>
      </c>
    </row>
    <row r="26" spans="1:8" ht="15.75" x14ac:dyDescent="0.25">
      <c r="A26" t="s">
        <v>5</v>
      </c>
      <c r="B26" s="9" t="s">
        <v>7</v>
      </c>
      <c r="C26" s="8">
        <f>H21</f>
        <v>8518</v>
      </c>
      <c r="E26" s="13" t="s">
        <v>11</v>
      </c>
      <c r="F26" s="9" t="s">
        <v>12</v>
      </c>
      <c r="G26" s="15" t="s">
        <v>17</v>
      </c>
      <c r="H26" s="3">
        <f>-(F27*0.007)</f>
        <v>-1260</v>
      </c>
    </row>
    <row r="27" spans="1:8" x14ac:dyDescent="0.25">
      <c r="F27" s="21">
        <f>D3-H3</f>
        <v>180000</v>
      </c>
    </row>
    <row r="28" spans="1:8" ht="16.5" thickBot="1" x14ac:dyDescent="0.3">
      <c r="A28" t="s">
        <v>8</v>
      </c>
      <c r="B28" s="9" t="s">
        <v>7</v>
      </c>
      <c r="C28" s="8">
        <f>D3*0.004</f>
        <v>856.80000000000007</v>
      </c>
      <c r="F28" s="9" t="s">
        <v>13</v>
      </c>
      <c r="G28" s="16">
        <v>0.35</v>
      </c>
      <c r="H28" s="17">
        <f>-(F29*0.35)</f>
        <v>-15391.319999999998</v>
      </c>
    </row>
    <row r="29" spans="1:8" x14ac:dyDescent="0.25">
      <c r="F29" s="21">
        <f>H24</f>
        <v>43975.199999999997</v>
      </c>
    </row>
    <row r="30" spans="1:8" ht="15.75" x14ac:dyDescent="0.25">
      <c r="A30" t="s">
        <v>9</v>
      </c>
      <c r="B30" s="9" t="s">
        <v>7</v>
      </c>
      <c r="C30" s="10"/>
      <c r="G30" s="13" t="s">
        <v>14</v>
      </c>
      <c r="H30" s="6">
        <f>H24+H26+H28</f>
        <v>27323.879999999997</v>
      </c>
    </row>
    <row r="31" spans="1:8" ht="15.75" thickBot="1" x14ac:dyDescent="0.3">
      <c r="A31" s="16"/>
      <c r="B31" s="14"/>
      <c r="C31" s="7"/>
    </row>
    <row r="32" spans="1:8" x14ac:dyDescent="0.25">
      <c r="E32" t="s">
        <v>100</v>
      </c>
      <c r="H32" s="20">
        <f>H30*0.35</f>
        <v>9563.3579999999984</v>
      </c>
    </row>
    <row r="33" spans="1:8" ht="15.75" x14ac:dyDescent="0.25">
      <c r="A33" t="s">
        <v>10</v>
      </c>
      <c r="C33" s="10">
        <f>C24-C26-C28-C30</f>
        <v>43975.199999999997</v>
      </c>
      <c r="H33" s="18"/>
    </row>
    <row r="34" spans="1:8" x14ac:dyDescent="0.25">
      <c r="H34" s="3"/>
    </row>
    <row r="35" spans="1:8" x14ac:dyDescent="0.25">
      <c r="H35" s="18"/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CCCA3-4A62-4ED5-A74E-E5B6EC5CB585}">
  <dimension ref="A1:H35"/>
  <sheetViews>
    <sheetView workbookViewId="0">
      <selection activeCell="A10"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3.28515625" bestFit="1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115</v>
      </c>
    </row>
    <row r="3" spans="1:8" ht="21" x14ac:dyDescent="0.35">
      <c r="A3" s="2" t="s">
        <v>1</v>
      </c>
      <c r="D3" s="11">
        <v>17743</v>
      </c>
      <c r="F3" s="12" t="s">
        <v>3</v>
      </c>
      <c r="H3" s="11">
        <v>2833</v>
      </c>
    </row>
    <row r="4" spans="1:8" x14ac:dyDescent="0.25">
      <c r="A4" s="13" t="s">
        <v>29</v>
      </c>
      <c r="C4" s="28">
        <v>312</v>
      </c>
    </row>
    <row r="5" spans="1:8" ht="21" x14ac:dyDescent="0.35">
      <c r="A5" s="2" t="s">
        <v>2</v>
      </c>
    </row>
    <row r="7" spans="1:8" ht="18.75" x14ac:dyDescent="0.3">
      <c r="A7" s="5"/>
      <c r="D7" s="4"/>
      <c r="E7" s="27"/>
      <c r="H7" s="4"/>
    </row>
    <row r="8" spans="1:8" ht="18.75" x14ac:dyDescent="0.3">
      <c r="A8" s="5" t="s">
        <v>147</v>
      </c>
      <c r="D8" s="4">
        <v>13173</v>
      </c>
      <c r="E8" s="27" t="s">
        <v>31</v>
      </c>
      <c r="H8" s="4">
        <v>2103</v>
      </c>
    </row>
    <row r="9" spans="1:8" ht="18.75" x14ac:dyDescent="0.3">
      <c r="A9" s="5"/>
      <c r="D9" s="4"/>
      <c r="E9" s="27"/>
      <c r="H9" s="4"/>
    </row>
    <row r="10" spans="1:8" ht="18.75" x14ac:dyDescent="0.3">
      <c r="A10" s="5"/>
      <c r="D10" s="4"/>
      <c r="E10" s="27"/>
      <c r="H10" s="4"/>
    </row>
    <row r="11" spans="1:8" ht="18.75" x14ac:dyDescent="0.3">
      <c r="A11" s="5"/>
      <c r="D11" s="4"/>
      <c r="E11" s="27"/>
      <c r="H11" s="4"/>
    </row>
    <row r="12" spans="1:8" ht="18.75" x14ac:dyDescent="0.3">
      <c r="A12" s="5"/>
      <c r="C12" s="3"/>
      <c r="D12" s="30"/>
      <c r="E12" s="27"/>
      <c r="H12" s="30"/>
    </row>
    <row r="13" spans="1:8" ht="18.75" x14ac:dyDescent="0.3">
      <c r="A13" s="5"/>
      <c r="C13" s="3"/>
      <c r="D13" s="31"/>
      <c r="E13" s="27"/>
      <c r="H13" s="31"/>
    </row>
    <row r="14" spans="1:8" ht="19.5" thickBot="1" x14ac:dyDescent="0.35">
      <c r="A14" s="5"/>
      <c r="C14" s="3"/>
      <c r="D14" s="23"/>
      <c r="E14" s="27"/>
      <c r="H14" s="23"/>
    </row>
    <row r="15" spans="1:8" ht="18.75" customHeight="1" x14ac:dyDescent="0.3">
      <c r="D15" s="4">
        <f>SUM(D7:D14)</f>
        <v>13173</v>
      </c>
      <c r="H15" s="4">
        <f>SUM(H7:H14)</f>
        <v>2103</v>
      </c>
    </row>
    <row r="16" spans="1:8" ht="18.75" x14ac:dyDescent="0.3">
      <c r="A16" s="5"/>
      <c r="C16" s="3"/>
      <c r="D16" s="4"/>
      <c r="H16" s="4"/>
    </row>
    <row r="18" spans="1:8" ht="18.75" x14ac:dyDescent="0.3">
      <c r="A18" s="5"/>
      <c r="C18" s="3"/>
      <c r="D18" s="4"/>
      <c r="H18" s="4"/>
    </row>
    <row r="19" spans="1:8" ht="15.75" thickBot="1" x14ac:dyDescent="0.3">
      <c r="D19" s="7"/>
      <c r="H19" s="7"/>
    </row>
    <row r="21" spans="1:8" ht="18.75" x14ac:dyDescent="0.3">
      <c r="C21" t="s">
        <v>4</v>
      </c>
      <c r="D21" s="4">
        <f>D3-D15</f>
        <v>4570</v>
      </c>
      <c r="G21" t="s">
        <v>5</v>
      </c>
      <c r="H21" s="4">
        <f>H3-H15</f>
        <v>730</v>
      </c>
    </row>
    <row r="24" spans="1:8" ht="15.75" x14ac:dyDescent="0.25">
      <c r="A24" t="s">
        <v>6</v>
      </c>
      <c r="C24" s="8">
        <f>D21</f>
        <v>4570</v>
      </c>
      <c r="E24" t="s">
        <v>10</v>
      </c>
      <c r="H24" s="6">
        <f>C33</f>
        <v>3769.0279999999998</v>
      </c>
    </row>
    <row r="26" spans="1:8" ht="15.75" x14ac:dyDescent="0.25">
      <c r="A26" t="s">
        <v>5</v>
      </c>
      <c r="B26" s="9" t="s">
        <v>7</v>
      </c>
      <c r="C26" s="8">
        <f>H21</f>
        <v>730</v>
      </c>
      <c r="E26" s="13" t="s">
        <v>11</v>
      </c>
      <c r="F26" s="9" t="s">
        <v>12</v>
      </c>
      <c r="G26" s="15" t="s">
        <v>17</v>
      </c>
      <c r="H26" s="3">
        <f>-(F27*0.007)</f>
        <v>-104.37</v>
      </c>
    </row>
    <row r="27" spans="1:8" x14ac:dyDescent="0.25">
      <c r="F27" s="21">
        <f>D3-H3</f>
        <v>14910</v>
      </c>
    </row>
    <row r="28" spans="1:8" ht="16.5" thickBot="1" x14ac:dyDescent="0.3">
      <c r="A28" t="s">
        <v>8</v>
      </c>
      <c r="B28" s="9" t="s">
        <v>7</v>
      </c>
      <c r="C28" s="8">
        <f>D3*0.004</f>
        <v>70.972000000000008</v>
      </c>
      <c r="F28" s="9" t="s">
        <v>13</v>
      </c>
      <c r="G28" s="16">
        <v>0.35</v>
      </c>
      <c r="H28" s="17">
        <f>-(F29*0.35)</f>
        <v>-1319.1597999999999</v>
      </c>
    </row>
    <row r="29" spans="1:8" x14ac:dyDescent="0.25">
      <c r="F29" s="21">
        <f>H24</f>
        <v>3769.0279999999998</v>
      </c>
    </row>
    <row r="30" spans="1:8" ht="15.75" x14ac:dyDescent="0.25">
      <c r="A30" t="s">
        <v>9</v>
      </c>
      <c r="B30" s="9" t="s">
        <v>7</v>
      </c>
      <c r="C30" s="10"/>
      <c r="G30" s="13" t="s">
        <v>14</v>
      </c>
      <c r="H30" s="6">
        <f>H24+H26+H28</f>
        <v>2345.4982</v>
      </c>
    </row>
    <row r="31" spans="1:8" ht="15.75" thickBot="1" x14ac:dyDescent="0.3">
      <c r="A31" s="16"/>
      <c r="B31" s="14"/>
      <c r="C31" s="7"/>
    </row>
    <row r="32" spans="1:8" x14ac:dyDescent="0.25">
      <c r="E32" t="s">
        <v>100</v>
      </c>
      <c r="H32" s="20">
        <f>H30*0.35</f>
        <v>820.92436999999995</v>
      </c>
    </row>
    <row r="33" spans="1:8" ht="15.75" x14ac:dyDescent="0.25">
      <c r="A33" t="s">
        <v>10</v>
      </c>
      <c r="C33" s="10">
        <f>C24-C26-C28-C30</f>
        <v>3769.0279999999998</v>
      </c>
      <c r="H33" s="18"/>
    </row>
    <row r="34" spans="1:8" x14ac:dyDescent="0.25">
      <c r="H34" s="3"/>
    </row>
    <row r="35" spans="1:8" x14ac:dyDescent="0.25">
      <c r="H35" s="18"/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B093E-AE76-406E-8F28-1BE149AFAD52}">
  <dimension ref="A1:H35"/>
  <sheetViews>
    <sheetView topLeftCell="A10" workbookViewId="0">
      <selection activeCell="A10"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3.28515625" bestFit="1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148</v>
      </c>
    </row>
    <row r="3" spans="1:8" ht="21" x14ac:dyDescent="0.35">
      <c r="A3" s="2" t="s">
        <v>1</v>
      </c>
      <c r="D3" s="11">
        <v>89964</v>
      </c>
      <c r="F3" s="12" t="s">
        <v>3</v>
      </c>
      <c r="H3" s="11">
        <v>14364</v>
      </c>
    </row>
    <row r="4" spans="1:8" x14ac:dyDescent="0.25">
      <c r="A4" s="13" t="s">
        <v>29</v>
      </c>
      <c r="C4" s="28">
        <v>314</v>
      </c>
    </row>
    <row r="5" spans="1:8" ht="21" x14ac:dyDescent="0.35">
      <c r="A5" s="2" t="s">
        <v>2</v>
      </c>
    </row>
    <row r="7" spans="1:8" ht="18.75" x14ac:dyDescent="0.3">
      <c r="A7" s="5"/>
      <c r="D7" s="4"/>
      <c r="E7" s="27"/>
      <c r="H7" s="4"/>
    </row>
    <row r="8" spans="1:8" ht="18.75" x14ac:dyDescent="0.3">
      <c r="A8" s="5" t="s">
        <v>149</v>
      </c>
      <c r="D8" s="4">
        <v>5950</v>
      </c>
      <c r="E8" s="27" t="s">
        <v>31</v>
      </c>
      <c r="H8" s="4">
        <v>950</v>
      </c>
    </row>
    <row r="9" spans="1:8" ht="18.75" x14ac:dyDescent="0.3">
      <c r="A9" s="5" t="s">
        <v>150</v>
      </c>
      <c r="D9" s="4">
        <v>62832</v>
      </c>
      <c r="E9" s="27" t="s">
        <v>31</v>
      </c>
      <c r="H9" s="4">
        <v>10032</v>
      </c>
    </row>
    <row r="10" spans="1:8" ht="18.75" x14ac:dyDescent="0.3">
      <c r="A10" s="5"/>
      <c r="D10" s="4"/>
      <c r="E10" s="27"/>
      <c r="H10" s="4"/>
    </row>
    <row r="11" spans="1:8" ht="18.75" x14ac:dyDescent="0.3">
      <c r="A11" s="5"/>
      <c r="D11" s="4"/>
      <c r="E11" s="27"/>
      <c r="H11" s="4"/>
    </row>
    <row r="12" spans="1:8" ht="18.75" x14ac:dyDescent="0.3">
      <c r="A12" s="5"/>
      <c r="C12" s="3"/>
      <c r="D12" s="30"/>
      <c r="E12" s="27"/>
      <c r="H12" s="30"/>
    </row>
    <row r="13" spans="1:8" ht="18.75" x14ac:dyDescent="0.3">
      <c r="A13" s="5"/>
      <c r="C13" s="3"/>
      <c r="D13" s="31"/>
      <c r="E13" s="27"/>
      <c r="H13" s="31"/>
    </row>
    <row r="14" spans="1:8" ht="19.5" thickBot="1" x14ac:dyDescent="0.35">
      <c r="A14" s="5"/>
      <c r="C14" s="3"/>
      <c r="D14" s="23"/>
      <c r="E14" s="27"/>
      <c r="H14" s="23"/>
    </row>
    <row r="15" spans="1:8" ht="18.75" customHeight="1" x14ac:dyDescent="0.3">
      <c r="D15" s="4">
        <f>SUM(D7:D14)</f>
        <v>68782</v>
      </c>
      <c r="H15" s="4">
        <f>SUM(H7:H14)</f>
        <v>10982</v>
      </c>
    </row>
    <row r="16" spans="1:8" ht="18.75" x14ac:dyDescent="0.3">
      <c r="A16" s="5"/>
      <c r="C16" s="3"/>
      <c r="D16" s="4"/>
      <c r="H16" s="4"/>
    </row>
    <row r="18" spans="1:8" ht="18.75" x14ac:dyDescent="0.3">
      <c r="A18" s="5"/>
      <c r="C18" s="3"/>
      <c r="D18" s="4"/>
      <c r="H18" s="4"/>
    </row>
    <row r="19" spans="1:8" ht="15.75" thickBot="1" x14ac:dyDescent="0.3">
      <c r="D19" s="7"/>
      <c r="H19" s="7"/>
    </row>
    <row r="21" spans="1:8" ht="18.75" x14ac:dyDescent="0.3">
      <c r="C21" t="s">
        <v>4</v>
      </c>
      <c r="D21" s="4">
        <f>D3-D15</f>
        <v>21182</v>
      </c>
      <c r="G21" t="s">
        <v>5</v>
      </c>
      <c r="H21" s="4">
        <f>H3-H15</f>
        <v>3382</v>
      </c>
    </row>
    <row r="24" spans="1:8" ht="15.75" x14ac:dyDescent="0.25">
      <c r="A24" t="s">
        <v>6</v>
      </c>
      <c r="C24" s="8">
        <f>D21</f>
        <v>21182</v>
      </c>
      <c r="E24" t="s">
        <v>10</v>
      </c>
      <c r="H24" s="6">
        <f>C33</f>
        <v>17440.144</v>
      </c>
    </row>
    <row r="26" spans="1:8" ht="15.75" x14ac:dyDescent="0.25">
      <c r="A26" t="s">
        <v>5</v>
      </c>
      <c r="B26" s="9" t="s">
        <v>7</v>
      </c>
      <c r="C26" s="8">
        <f>H21</f>
        <v>3382</v>
      </c>
      <c r="E26" s="13" t="s">
        <v>11</v>
      </c>
      <c r="F26" s="9" t="s">
        <v>12</v>
      </c>
      <c r="G26" s="15" t="s">
        <v>17</v>
      </c>
      <c r="H26" s="3">
        <f>-(F27*0.007)</f>
        <v>-529.20000000000005</v>
      </c>
    </row>
    <row r="27" spans="1:8" x14ac:dyDescent="0.25">
      <c r="F27" s="21">
        <f>D3-H3</f>
        <v>75600</v>
      </c>
    </row>
    <row r="28" spans="1:8" ht="16.5" thickBot="1" x14ac:dyDescent="0.3">
      <c r="A28" t="s">
        <v>8</v>
      </c>
      <c r="B28" s="9" t="s">
        <v>7</v>
      </c>
      <c r="C28" s="8">
        <f>D3*0.004</f>
        <v>359.85599999999999</v>
      </c>
      <c r="F28" s="9" t="s">
        <v>13</v>
      </c>
      <c r="G28" s="16">
        <v>0.35</v>
      </c>
      <c r="H28" s="17">
        <f>-(F29*0.35)</f>
        <v>-6104.0504000000001</v>
      </c>
    </row>
    <row r="29" spans="1:8" x14ac:dyDescent="0.25">
      <c r="F29" s="21">
        <f>H24</f>
        <v>17440.144</v>
      </c>
    </row>
    <row r="30" spans="1:8" ht="15.75" x14ac:dyDescent="0.25">
      <c r="A30" t="s">
        <v>9</v>
      </c>
      <c r="B30" s="9" t="s">
        <v>7</v>
      </c>
      <c r="C30" s="10"/>
      <c r="G30" s="13" t="s">
        <v>14</v>
      </c>
      <c r="H30" s="6">
        <f>H24+H26+H28</f>
        <v>10806.893599999999</v>
      </c>
    </row>
    <row r="31" spans="1:8" ht="15.75" thickBot="1" x14ac:dyDescent="0.3">
      <c r="A31" s="16"/>
      <c r="B31" s="14"/>
      <c r="C31" s="7"/>
    </row>
    <row r="32" spans="1:8" x14ac:dyDescent="0.25">
      <c r="E32" t="s">
        <v>100</v>
      </c>
      <c r="H32" s="20">
        <f>H30*0.35</f>
        <v>3782.4127599999997</v>
      </c>
    </row>
    <row r="33" spans="1:8" ht="15.75" x14ac:dyDescent="0.25">
      <c r="A33" t="s">
        <v>10</v>
      </c>
      <c r="C33" s="10">
        <f>C24-C26-C28-C30</f>
        <v>17440.144</v>
      </c>
      <c r="H33" s="18"/>
    </row>
    <row r="34" spans="1:8" x14ac:dyDescent="0.25">
      <c r="H34" s="3"/>
    </row>
    <row r="35" spans="1:8" x14ac:dyDescent="0.25">
      <c r="H35" s="18"/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23D4D-6B43-4321-A3A6-EE2D9B951B69}">
  <dimension ref="A1:H35"/>
  <sheetViews>
    <sheetView topLeftCell="A10" workbookViewId="0">
      <selection activeCell="A10"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3.28515625" bestFit="1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177</v>
      </c>
    </row>
    <row r="3" spans="1:8" ht="21" x14ac:dyDescent="0.35">
      <c r="A3" s="2" t="s">
        <v>1</v>
      </c>
      <c r="D3" s="11">
        <v>385950</v>
      </c>
      <c r="F3" s="12" t="s">
        <v>3</v>
      </c>
      <c r="H3" s="11">
        <v>61622</v>
      </c>
    </row>
    <row r="4" spans="1:8" x14ac:dyDescent="0.25">
      <c r="A4" s="13" t="s">
        <v>29</v>
      </c>
      <c r="C4" s="28">
        <v>314</v>
      </c>
    </row>
    <row r="5" spans="1:8" ht="21" x14ac:dyDescent="0.35">
      <c r="A5" s="2" t="s">
        <v>2</v>
      </c>
    </row>
    <row r="7" spans="1:8" ht="18.75" x14ac:dyDescent="0.3">
      <c r="A7" s="5"/>
      <c r="D7" s="4"/>
      <c r="E7" s="27"/>
      <c r="H7" s="4"/>
    </row>
    <row r="8" spans="1:8" ht="18.75" x14ac:dyDescent="0.3">
      <c r="A8" s="5" t="s">
        <v>178</v>
      </c>
      <c r="D8" s="4">
        <v>173573</v>
      </c>
      <c r="E8" s="27" t="s">
        <v>31</v>
      </c>
      <c r="H8" s="4">
        <v>27713</v>
      </c>
    </row>
    <row r="9" spans="1:8" ht="18.75" x14ac:dyDescent="0.3">
      <c r="A9" s="5" t="s">
        <v>179</v>
      </c>
      <c r="D9" s="4">
        <v>129856</v>
      </c>
      <c r="E9" s="27" t="s">
        <v>31</v>
      </c>
      <c r="H9" s="4">
        <v>20733</v>
      </c>
    </row>
    <row r="10" spans="1:8" ht="18.75" x14ac:dyDescent="0.3">
      <c r="A10" s="5"/>
      <c r="D10" s="4"/>
      <c r="E10" s="27"/>
      <c r="H10" s="4"/>
    </row>
    <row r="11" spans="1:8" ht="18.75" x14ac:dyDescent="0.3">
      <c r="A11" s="5"/>
      <c r="D11" s="4"/>
      <c r="E11" s="27"/>
      <c r="H11" s="4"/>
    </row>
    <row r="12" spans="1:8" ht="18.75" x14ac:dyDescent="0.3">
      <c r="A12" s="5"/>
      <c r="C12" s="3"/>
      <c r="D12" s="30"/>
      <c r="E12" s="27"/>
      <c r="H12" s="30"/>
    </row>
    <row r="13" spans="1:8" ht="18.75" x14ac:dyDescent="0.3">
      <c r="A13" s="5"/>
      <c r="C13" s="3"/>
      <c r="D13" s="31"/>
      <c r="E13" s="27"/>
      <c r="H13" s="31"/>
    </row>
    <row r="14" spans="1:8" ht="19.5" thickBot="1" x14ac:dyDescent="0.35">
      <c r="A14" s="5"/>
      <c r="C14" s="3"/>
      <c r="D14" s="23"/>
      <c r="E14" s="27"/>
      <c r="H14" s="23"/>
    </row>
    <row r="15" spans="1:8" ht="18.75" customHeight="1" x14ac:dyDescent="0.3">
      <c r="D15" s="4">
        <f>SUM(D7:D14)</f>
        <v>303429</v>
      </c>
      <c r="H15" s="4">
        <f>SUM(H7:H14)</f>
        <v>48446</v>
      </c>
    </row>
    <row r="16" spans="1:8" ht="18.75" x14ac:dyDescent="0.3">
      <c r="A16" s="5"/>
      <c r="C16" s="3"/>
      <c r="D16" s="4"/>
      <c r="H16" s="4"/>
    </row>
    <row r="18" spans="1:8" ht="18.75" x14ac:dyDescent="0.3">
      <c r="A18" s="5"/>
      <c r="C18" s="3"/>
      <c r="D18" s="4"/>
      <c r="H18" s="4"/>
    </row>
    <row r="19" spans="1:8" ht="15.75" thickBot="1" x14ac:dyDescent="0.3">
      <c r="D19" s="7"/>
      <c r="H19" s="7"/>
    </row>
    <row r="21" spans="1:8" ht="18.75" x14ac:dyDescent="0.3">
      <c r="C21" t="s">
        <v>4</v>
      </c>
      <c r="D21" s="4">
        <f>D3-D15</f>
        <v>82521</v>
      </c>
      <c r="G21" t="s">
        <v>5</v>
      </c>
      <c r="H21" s="4">
        <f>H3-H15</f>
        <v>13176</v>
      </c>
    </row>
    <row r="24" spans="1:8" ht="15.75" x14ac:dyDescent="0.25">
      <c r="A24" t="s">
        <v>6</v>
      </c>
      <c r="C24" s="8">
        <f>D21</f>
        <v>82521</v>
      </c>
      <c r="E24" t="s">
        <v>10</v>
      </c>
      <c r="H24" s="6">
        <f>C33</f>
        <v>67801.2</v>
      </c>
    </row>
    <row r="26" spans="1:8" ht="15.75" x14ac:dyDescent="0.25">
      <c r="A26" t="s">
        <v>5</v>
      </c>
      <c r="B26" s="9" t="s">
        <v>7</v>
      </c>
      <c r="C26" s="8">
        <f>H21</f>
        <v>13176</v>
      </c>
      <c r="E26" s="13" t="s">
        <v>11</v>
      </c>
      <c r="F26" s="9" t="s">
        <v>12</v>
      </c>
      <c r="G26" s="15" t="s">
        <v>17</v>
      </c>
      <c r="H26" s="3">
        <f>-(F27*0.007)</f>
        <v>-2270.2959999999998</v>
      </c>
    </row>
    <row r="27" spans="1:8" x14ac:dyDescent="0.25">
      <c r="F27" s="21">
        <f>D3-H3</f>
        <v>324328</v>
      </c>
    </row>
    <row r="28" spans="1:8" ht="16.5" thickBot="1" x14ac:dyDescent="0.3">
      <c r="A28" t="s">
        <v>8</v>
      </c>
      <c r="B28" s="9" t="s">
        <v>7</v>
      </c>
      <c r="C28" s="8">
        <f>D3*0.004</f>
        <v>1543.8</v>
      </c>
      <c r="F28" s="9" t="s">
        <v>13</v>
      </c>
      <c r="G28" s="16">
        <v>0.35</v>
      </c>
      <c r="H28" s="17">
        <f>-(F29*0.35)</f>
        <v>-23730.42</v>
      </c>
    </row>
    <row r="29" spans="1:8" x14ac:dyDescent="0.25">
      <c r="F29" s="21">
        <f>H24</f>
        <v>67801.2</v>
      </c>
    </row>
    <row r="30" spans="1:8" ht="15.75" x14ac:dyDescent="0.25">
      <c r="A30" t="s">
        <v>9</v>
      </c>
      <c r="B30" s="9" t="s">
        <v>7</v>
      </c>
      <c r="C30" s="10"/>
      <c r="G30" s="13" t="s">
        <v>14</v>
      </c>
      <c r="H30" s="6">
        <f>H24+H26+H28</f>
        <v>41800.483999999997</v>
      </c>
    </row>
    <row r="31" spans="1:8" ht="15.75" thickBot="1" x14ac:dyDescent="0.3">
      <c r="A31" s="16"/>
      <c r="B31" s="14"/>
      <c r="C31" s="7"/>
    </row>
    <row r="32" spans="1:8" x14ac:dyDescent="0.25">
      <c r="E32" t="s">
        <v>100</v>
      </c>
      <c r="H32" s="20">
        <f>H30*0.35</f>
        <v>14630.169399999997</v>
      </c>
    </row>
    <row r="33" spans="1:8" ht="15.75" x14ac:dyDescent="0.25">
      <c r="A33" t="s">
        <v>10</v>
      </c>
      <c r="C33" s="10">
        <f>C24-C26-C28-C30</f>
        <v>67801.2</v>
      </c>
      <c r="H33" s="18"/>
    </row>
    <row r="34" spans="1:8" x14ac:dyDescent="0.25">
      <c r="H34" s="3"/>
    </row>
    <row r="35" spans="1:8" x14ac:dyDescent="0.25">
      <c r="H35" s="18"/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3F734-42D0-44D7-B3EF-1F60A3DDEEFB}">
  <dimension ref="A1:H35"/>
  <sheetViews>
    <sheetView topLeftCell="A10" workbookViewId="0">
      <selection activeCell="B17" sqref="B17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3.28515625" bestFit="1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151</v>
      </c>
    </row>
    <row r="3" spans="1:8" ht="21" x14ac:dyDescent="0.35">
      <c r="A3" s="2" t="s">
        <v>1</v>
      </c>
      <c r="D3" s="11">
        <v>210000</v>
      </c>
      <c r="F3" s="12" t="s">
        <v>3</v>
      </c>
      <c r="H3" s="11">
        <v>0</v>
      </c>
    </row>
    <row r="4" spans="1:8" x14ac:dyDescent="0.25">
      <c r="A4" s="13" t="s">
        <v>155</v>
      </c>
      <c r="C4" s="28"/>
    </row>
    <row r="5" spans="1:8" ht="21" x14ac:dyDescent="0.35">
      <c r="A5" s="2" t="s">
        <v>2</v>
      </c>
    </row>
    <row r="7" spans="1:8" ht="18.75" x14ac:dyDescent="0.3">
      <c r="A7" s="5"/>
      <c r="D7" s="4"/>
      <c r="E7" s="27"/>
      <c r="H7" s="4"/>
    </row>
    <row r="8" spans="1:8" ht="18.75" x14ac:dyDescent="0.3">
      <c r="A8" s="5" t="s">
        <v>152</v>
      </c>
      <c r="D8" s="4">
        <v>182841</v>
      </c>
      <c r="E8" s="27" t="s">
        <v>31</v>
      </c>
      <c r="H8" s="4"/>
    </row>
    <row r="9" spans="1:8" ht="18.75" x14ac:dyDescent="0.3">
      <c r="A9" s="5"/>
      <c r="D9" s="4"/>
      <c r="E9" s="27"/>
      <c r="H9" s="4"/>
    </row>
    <row r="10" spans="1:8" ht="18.75" x14ac:dyDescent="0.3">
      <c r="A10" s="5"/>
      <c r="D10" s="4"/>
      <c r="E10" s="27"/>
      <c r="H10" s="4"/>
    </row>
    <row r="11" spans="1:8" ht="18.75" x14ac:dyDescent="0.3">
      <c r="A11" s="5"/>
      <c r="D11" s="4"/>
      <c r="E11" s="27"/>
      <c r="H11" s="4"/>
    </row>
    <row r="12" spans="1:8" ht="18.75" x14ac:dyDescent="0.3">
      <c r="A12" s="5"/>
      <c r="C12" s="3"/>
      <c r="D12" s="30"/>
      <c r="E12" s="27"/>
      <c r="H12" s="30"/>
    </row>
    <row r="13" spans="1:8" ht="18.75" x14ac:dyDescent="0.3">
      <c r="A13" s="5"/>
      <c r="C13" s="3"/>
      <c r="D13" s="31"/>
      <c r="E13" s="27"/>
      <c r="H13" s="31"/>
    </row>
    <row r="14" spans="1:8" ht="19.5" thickBot="1" x14ac:dyDescent="0.35">
      <c r="A14" s="5"/>
      <c r="C14" s="3"/>
      <c r="D14" s="23"/>
      <c r="E14" s="27"/>
      <c r="H14" s="23"/>
    </row>
    <row r="15" spans="1:8" ht="18.75" customHeight="1" x14ac:dyDescent="0.3">
      <c r="D15" s="4">
        <f>SUM(D7:D14)</f>
        <v>182841</v>
      </c>
      <c r="H15" s="4">
        <f>SUM(H7:H14)</f>
        <v>0</v>
      </c>
    </row>
    <row r="16" spans="1:8" ht="18.75" x14ac:dyDescent="0.3">
      <c r="A16" s="5"/>
      <c r="C16" s="3"/>
      <c r="D16" s="4"/>
      <c r="H16" s="4"/>
    </row>
    <row r="18" spans="1:8" ht="18.75" x14ac:dyDescent="0.3">
      <c r="A18" s="5"/>
      <c r="C18" s="3"/>
      <c r="D18" s="4"/>
      <c r="H18" s="4"/>
    </row>
    <row r="19" spans="1:8" ht="15.75" thickBot="1" x14ac:dyDescent="0.3">
      <c r="D19" s="7"/>
      <c r="H19" s="7"/>
    </row>
    <row r="21" spans="1:8" ht="18.75" x14ac:dyDescent="0.3">
      <c r="C21" t="s">
        <v>4</v>
      </c>
      <c r="D21" s="4">
        <f>D3-D15</f>
        <v>27159</v>
      </c>
      <c r="G21" t="s">
        <v>5</v>
      </c>
      <c r="H21" s="4">
        <f>H3-H15</f>
        <v>0</v>
      </c>
    </row>
    <row r="24" spans="1:8" ht="15.75" x14ac:dyDescent="0.25">
      <c r="A24" t="s">
        <v>6</v>
      </c>
      <c r="C24" s="8">
        <f>D21</f>
        <v>27159</v>
      </c>
      <c r="E24" t="s">
        <v>10</v>
      </c>
      <c r="H24" s="6">
        <f>C33</f>
        <v>26319</v>
      </c>
    </row>
    <row r="26" spans="1:8" ht="15.75" x14ac:dyDescent="0.25">
      <c r="A26" t="s">
        <v>5</v>
      </c>
      <c r="B26" s="9" t="s">
        <v>7</v>
      </c>
      <c r="C26" s="8">
        <f>H21</f>
        <v>0</v>
      </c>
      <c r="E26" s="13" t="s">
        <v>11</v>
      </c>
      <c r="F26" s="9" t="s">
        <v>12</v>
      </c>
      <c r="G26" s="15" t="s">
        <v>17</v>
      </c>
      <c r="H26" s="3"/>
    </row>
    <row r="27" spans="1:8" x14ac:dyDescent="0.25">
      <c r="F27" s="21">
        <f>D3-H3</f>
        <v>210000</v>
      </c>
    </row>
    <row r="28" spans="1:8" ht="16.5" thickBot="1" x14ac:dyDescent="0.3">
      <c r="A28" t="s">
        <v>8</v>
      </c>
      <c r="B28" s="9" t="s">
        <v>7</v>
      </c>
      <c r="C28" s="8">
        <f>D3*0.004</f>
        <v>840</v>
      </c>
      <c r="F28" s="9" t="s">
        <v>13</v>
      </c>
      <c r="G28" s="16">
        <v>0.35</v>
      </c>
      <c r="H28" s="17"/>
    </row>
    <row r="29" spans="1:8" x14ac:dyDescent="0.25">
      <c r="F29" s="21">
        <f>H24</f>
        <v>26319</v>
      </c>
    </row>
    <row r="30" spans="1:8" ht="15.75" x14ac:dyDescent="0.25">
      <c r="A30" t="s">
        <v>9</v>
      </c>
      <c r="B30" s="9" t="s">
        <v>7</v>
      </c>
      <c r="C30" s="10"/>
      <c r="G30" s="13" t="s">
        <v>14</v>
      </c>
      <c r="H30" s="6">
        <f>H24+H26+H28</f>
        <v>26319</v>
      </c>
    </row>
    <row r="31" spans="1:8" ht="15.75" thickBot="1" x14ac:dyDescent="0.3">
      <c r="A31" s="16"/>
      <c r="B31" s="14"/>
      <c r="C31" s="7"/>
    </row>
    <row r="32" spans="1:8" x14ac:dyDescent="0.25">
      <c r="E32" t="s">
        <v>100</v>
      </c>
      <c r="H32" s="20">
        <f>H30*0.35</f>
        <v>9211.65</v>
      </c>
    </row>
    <row r="33" spans="1:8" ht="15.75" x14ac:dyDescent="0.25">
      <c r="A33" t="s">
        <v>10</v>
      </c>
      <c r="C33" s="10">
        <f>C24-C26-C28-C30</f>
        <v>26319</v>
      </c>
      <c r="H33" s="18"/>
    </row>
    <row r="34" spans="1:8" x14ac:dyDescent="0.25">
      <c r="H34" s="3"/>
    </row>
    <row r="35" spans="1:8" x14ac:dyDescent="0.25">
      <c r="H35" s="18"/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AC66A-CE3F-4034-84C2-5247032FED37}">
  <dimension ref="A1:H35"/>
  <sheetViews>
    <sheetView topLeftCell="A7" workbookViewId="0">
      <selection activeCell="J35" sqref="J35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3.28515625" bestFit="1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156</v>
      </c>
    </row>
    <row r="3" spans="1:8" ht="21" x14ac:dyDescent="0.35">
      <c r="A3" s="2" t="s">
        <v>1</v>
      </c>
      <c r="D3" s="11">
        <v>900000</v>
      </c>
      <c r="F3" s="12" t="s">
        <v>3</v>
      </c>
      <c r="H3" s="11">
        <v>0</v>
      </c>
    </row>
    <row r="4" spans="1:8" x14ac:dyDescent="0.25">
      <c r="A4" s="13" t="s">
        <v>155</v>
      </c>
      <c r="C4" s="28"/>
    </row>
    <row r="5" spans="1:8" ht="21" x14ac:dyDescent="0.35">
      <c r="A5" s="2" t="s">
        <v>2</v>
      </c>
    </row>
    <row r="7" spans="1:8" ht="18.75" x14ac:dyDescent="0.3">
      <c r="A7" s="5"/>
      <c r="D7" s="4"/>
      <c r="E7" s="27"/>
      <c r="H7" s="4"/>
    </row>
    <row r="8" spans="1:8" ht="18.75" x14ac:dyDescent="0.3">
      <c r="A8" s="5" t="s">
        <v>157</v>
      </c>
      <c r="D8" s="4">
        <v>95400</v>
      </c>
      <c r="E8" s="27" t="s">
        <v>31</v>
      </c>
      <c r="H8" s="4"/>
    </row>
    <row r="9" spans="1:8" ht="18.75" x14ac:dyDescent="0.3">
      <c r="A9" s="5" t="s">
        <v>158</v>
      </c>
      <c r="D9" s="4">
        <v>130900</v>
      </c>
      <c r="E9" s="27" t="s">
        <v>31</v>
      </c>
      <c r="H9" s="4"/>
    </row>
    <row r="10" spans="1:8" ht="18.75" x14ac:dyDescent="0.3">
      <c r="A10" s="5" t="s">
        <v>159</v>
      </c>
      <c r="D10" s="4">
        <v>100000</v>
      </c>
      <c r="E10" s="27" t="s">
        <v>31</v>
      </c>
      <c r="H10" s="4"/>
    </row>
    <row r="11" spans="1:8" ht="18.75" x14ac:dyDescent="0.3">
      <c r="A11" s="5" t="s">
        <v>160</v>
      </c>
      <c r="D11" s="4">
        <v>84000</v>
      </c>
      <c r="E11" s="27" t="s">
        <v>31</v>
      </c>
      <c r="H11" s="4"/>
    </row>
    <row r="12" spans="1:8" ht="18.75" x14ac:dyDescent="0.3">
      <c r="A12" s="5" t="s">
        <v>107</v>
      </c>
      <c r="C12" s="3"/>
      <c r="D12" s="30">
        <v>250000</v>
      </c>
      <c r="E12" s="27" t="s">
        <v>31</v>
      </c>
      <c r="H12" s="30"/>
    </row>
    <row r="13" spans="1:8" ht="18.75" x14ac:dyDescent="0.3">
      <c r="A13" s="5" t="s">
        <v>161</v>
      </c>
      <c r="C13" s="3"/>
      <c r="D13" s="31">
        <v>70000</v>
      </c>
      <c r="E13" s="27" t="s">
        <v>31</v>
      </c>
      <c r="H13" s="31"/>
    </row>
    <row r="14" spans="1:8" ht="19.5" thickBot="1" x14ac:dyDescent="0.35">
      <c r="A14" s="5"/>
      <c r="C14" s="3"/>
      <c r="D14" s="23"/>
      <c r="E14" s="27"/>
      <c r="H14" s="23"/>
    </row>
    <row r="15" spans="1:8" ht="18.75" customHeight="1" x14ac:dyDescent="0.3">
      <c r="D15" s="4">
        <f>SUM(D7:D14)</f>
        <v>730300</v>
      </c>
      <c r="H15" s="4">
        <f>SUM(H7:H14)</f>
        <v>0</v>
      </c>
    </row>
    <row r="16" spans="1:8" ht="18.75" x14ac:dyDescent="0.3">
      <c r="A16" s="5"/>
      <c r="C16" s="3"/>
      <c r="D16" s="4"/>
      <c r="H16" s="4"/>
    </row>
    <row r="18" spans="1:8" ht="18.75" x14ac:dyDescent="0.3">
      <c r="A18" s="5"/>
      <c r="C18" s="3"/>
      <c r="D18" s="4"/>
      <c r="H18" s="4"/>
    </row>
    <row r="19" spans="1:8" ht="15.75" thickBot="1" x14ac:dyDescent="0.3">
      <c r="D19" s="7"/>
      <c r="H19" s="7"/>
    </row>
    <row r="21" spans="1:8" ht="18.75" x14ac:dyDescent="0.3">
      <c r="C21" t="s">
        <v>4</v>
      </c>
      <c r="D21" s="4">
        <f>D3-D15</f>
        <v>169700</v>
      </c>
      <c r="G21" t="s">
        <v>5</v>
      </c>
      <c r="H21" s="4">
        <f>H3-H15</f>
        <v>0</v>
      </c>
    </row>
    <row r="24" spans="1:8" ht="15.75" x14ac:dyDescent="0.25">
      <c r="A24" t="s">
        <v>6</v>
      </c>
      <c r="C24" s="8">
        <f>D21</f>
        <v>169700</v>
      </c>
      <c r="E24" t="s">
        <v>10</v>
      </c>
      <c r="H24" s="6">
        <f>C33</f>
        <v>166100</v>
      </c>
    </row>
    <row r="26" spans="1:8" ht="15.75" x14ac:dyDescent="0.25">
      <c r="A26" t="s">
        <v>5</v>
      </c>
      <c r="B26" s="9" t="s">
        <v>7</v>
      </c>
      <c r="C26" s="8">
        <f>H21</f>
        <v>0</v>
      </c>
      <c r="E26" s="13" t="s">
        <v>11</v>
      </c>
      <c r="F26" s="9" t="s">
        <v>12</v>
      </c>
      <c r="G26" s="15" t="s">
        <v>17</v>
      </c>
      <c r="H26" s="3"/>
    </row>
    <row r="27" spans="1:8" x14ac:dyDescent="0.25">
      <c r="F27" s="21">
        <f>D3-H3</f>
        <v>900000</v>
      </c>
    </row>
    <row r="28" spans="1:8" ht="16.5" thickBot="1" x14ac:dyDescent="0.3">
      <c r="A28" t="s">
        <v>8</v>
      </c>
      <c r="B28" s="9" t="s">
        <v>7</v>
      </c>
      <c r="C28" s="8">
        <f>D3*0.004</f>
        <v>3600</v>
      </c>
      <c r="F28" s="9" t="s">
        <v>13</v>
      </c>
      <c r="G28" s="16">
        <v>0.35</v>
      </c>
      <c r="H28" s="17"/>
    </row>
    <row r="29" spans="1:8" x14ac:dyDescent="0.25">
      <c r="F29" s="21">
        <f>H24</f>
        <v>166100</v>
      </c>
    </row>
    <row r="30" spans="1:8" ht="15.75" x14ac:dyDescent="0.25">
      <c r="A30" t="s">
        <v>9</v>
      </c>
      <c r="B30" s="9" t="s">
        <v>7</v>
      </c>
      <c r="C30" s="10"/>
      <c r="G30" s="13" t="s">
        <v>14</v>
      </c>
      <c r="H30" s="6">
        <f>H24+H26+H28</f>
        <v>166100</v>
      </c>
    </row>
    <row r="31" spans="1:8" ht="15.75" thickBot="1" x14ac:dyDescent="0.3">
      <c r="A31" s="16"/>
      <c r="B31" s="14"/>
      <c r="C31" s="7"/>
    </row>
    <row r="32" spans="1:8" x14ac:dyDescent="0.25">
      <c r="E32" t="s">
        <v>100</v>
      </c>
      <c r="H32" s="20">
        <f>H30*0.35</f>
        <v>58134.999999999993</v>
      </c>
    </row>
    <row r="33" spans="1:8" ht="15.75" x14ac:dyDescent="0.25">
      <c r="A33" t="s">
        <v>10</v>
      </c>
      <c r="C33" s="10">
        <f>C24-C26-C28-C30</f>
        <v>166100</v>
      </c>
      <c r="H33" s="18"/>
    </row>
    <row r="34" spans="1:8" x14ac:dyDescent="0.25">
      <c r="H34" s="3"/>
    </row>
    <row r="35" spans="1:8" x14ac:dyDescent="0.25">
      <c r="H35" s="18"/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977F0-A2B4-4592-8F25-C3BFAB5F2CB2}">
  <dimension ref="A1:H35"/>
  <sheetViews>
    <sheetView topLeftCell="A10" workbookViewId="0">
      <selection activeCell="I9" sqref="I9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3.28515625" bestFit="1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153</v>
      </c>
    </row>
    <row r="3" spans="1:8" ht="21" x14ac:dyDescent="0.35">
      <c r="A3" s="2" t="s">
        <v>1</v>
      </c>
      <c r="D3" s="11">
        <v>499800</v>
      </c>
      <c r="F3" s="12" t="s">
        <v>3</v>
      </c>
      <c r="H3" s="11">
        <v>79800</v>
      </c>
    </row>
    <row r="4" spans="1:8" x14ac:dyDescent="0.25">
      <c r="A4" s="13" t="s">
        <v>29</v>
      </c>
      <c r="C4" s="28">
        <v>320</v>
      </c>
    </row>
    <row r="5" spans="1:8" ht="21" x14ac:dyDescent="0.35">
      <c r="A5" s="2" t="s">
        <v>2</v>
      </c>
    </row>
    <row r="7" spans="1:8" ht="18.75" x14ac:dyDescent="0.3">
      <c r="A7" s="5"/>
      <c r="D7" s="4"/>
      <c r="E7" s="27"/>
      <c r="H7" s="4"/>
    </row>
    <row r="8" spans="1:8" ht="18.75" x14ac:dyDescent="0.3">
      <c r="A8" s="5" t="s">
        <v>154</v>
      </c>
      <c r="D8" s="4">
        <v>342135</v>
      </c>
      <c r="E8" s="27" t="s">
        <v>31</v>
      </c>
      <c r="H8" s="4">
        <v>54627</v>
      </c>
    </row>
    <row r="9" spans="1:8" ht="18.75" x14ac:dyDescent="0.3">
      <c r="A9" s="5" t="s">
        <v>88</v>
      </c>
      <c r="D9" s="4">
        <v>25000</v>
      </c>
      <c r="E9" s="27"/>
      <c r="H9" s="4">
        <v>0</v>
      </c>
    </row>
    <row r="10" spans="1:8" ht="18.75" x14ac:dyDescent="0.3">
      <c r="A10" s="5"/>
      <c r="D10" s="4"/>
      <c r="E10" s="27"/>
      <c r="H10" s="4"/>
    </row>
    <row r="11" spans="1:8" ht="18.75" x14ac:dyDescent="0.3">
      <c r="A11" s="5"/>
      <c r="D11" s="4"/>
      <c r="E11" s="27"/>
      <c r="H11" s="4"/>
    </row>
    <row r="12" spans="1:8" ht="18.75" x14ac:dyDescent="0.3">
      <c r="A12" s="5"/>
      <c r="C12" s="3"/>
      <c r="D12" s="30"/>
      <c r="E12" s="27"/>
      <c r="H12" s="30"/>
    </row>
    <row r="13" spans="1:8" ht="18.75" x14ac:dyDescent="0.3">
      <c r="A13" s="5"/>
      <c r="C13" s="3"/>
      <c r="D13" s="31"/>
      <c r="E13" s="27"/>
      <c r="H13" s="31"/>
    </row>
    <row r="14" spans="1:8" ht="19.5" thickBot="1" x14ac:dyDescent="0.35">
      <c r="A14" s="5"/>
      <c r="C14" s="3"/>
      <c r="D14" s="23"/>
      <c r="E14" s="27"/>
      <c r="H14" s="23"/>
    </row>
    <row r="15" spans="1:8" ht="18.75" customHeight="1" x14ac:dyDescent="0.3">
      <c r="D15" s="4">
        <f>SUM(D7:D14)</f>
        <v>367135</v>
      </c>
      <c r="H15" s="4">
        <f>SUM(H7:H14)</f>
        <v>54627</v>
      </c>
    </row>
    <row r="16" spans="1:8" ht="18.75" x14ac:dyDescent="0.3">
      <c r="A16" s="5"/>
      <c r="C16" s="3"/>
      <c r="D16" s="4"/>
      <c r="H16" s="4"/>
    </row>
    <row r="18" spans="1:8" ht="18.75" x14ac:dyDescent="0.3">
      <c r="A18" s="5"/>
      <c r="C18" s="3"/>
      <c r="D18" s="4"/>
      <c r="H18" s="4"/>
    </row>
    <row r="19" spans="1:8" ht="15.75" thickBot="1" x14ac:dyDescent="0.3">
      <c r="D19" s="7"/>
      <c r="H19" s="7"/>
    </row>
    <row r="21" spans="1:8" ht="18.75" x14ac:dyDescent="0.3">
      <c r="C21" t="s">
        <v>4</v>
      </c>
      <c r="D21" s="4">
        <f>D3-D15</f>
        <v>132665</v>
      </c>
      <c r="G21" t="s">
        <v>5</v>
      </c>
      <c r="H21" s="4">
        <f>H3-H15</f>
        <v>25173</v>
      </c>
    </row>
    <row r="24" spans="1:8" ht="15.75" x14ac:dyDescent="0.25">
      <c r="A24" t="s">
        <v>6</v>
      </c>
      <c r="C24" s="8">
        <f>D21</f>
        <v>132665</v>
      </c>
      <c r="E24" t="s">
        <v>10</v>
      </c>
      <c r="H24" s="6">
        <f>C33</f>
        <v>105492.8</v>
      </c>
    </row>
    <row r="26" spans="1:8" ht="15.75" x14ac:dyDescent="0.25">
      <c r="A26" t="s">
        <v>5</v>
      </c>
      <c r="B26" s="9" t="s">
        <v>7</v>
      </c>
      <c r="C26" s="8">
        <f>H21</f>
        <v>25173</v>
      </c>
      <c r="E26" s="13" t="s">
        <v>11</v>
      </c>
      <c r="F26" s="9" t="s">
        <v>12</v>
      </c>
      <c r="G26" s="15" t="s">
        <v>17</v>
      </c>
      <c r="H26" s="3">
        <f>(F27*7.7)/1000</f>
        <v>3234</v>
      </c>
    </row>
    <row r="27" spans="1:8" x14ac:dyDescent="0.25">
      <c r="F27" s="21">
        <f>D3-H3</f>
        <v>420000</v>
      </c>
    </row>
    <row r="28" spans="1:8" ht="16.5" thickBot="1" x14ac:dyDescent="0.3">
      <c r="A28" t="s">
        <v>8</v>
      </c>
      <c r="B28" s="9" t="s">
        <v>7</v>
      </c>
      <c r="C28" s="8">
        <f>D3*0.004</f>
        <v>1999.2</v>
      </c>
      <c r="F28" s="9" t="s">
        <v>13</v>
      </c>
      <c r="G28" s="16">
        <v>0.35</v>
      </c>
      <c r="H28" s="17">
        <f>F29*G28</f>
        <v>36922.479999999996</v>
      </c>
    </row>
    <row r="29" spans="1:8" x14ac:dyDescent="0.25">
      <c r="F29" s="21">
        <f>H24</f>
        <v>105492.8</v>
      </c>
    </row>
    <row r="30" spans="1:8" ht="15.75" x14ac:dyDescent="0.25">
      <c r="A30" t="s">
        <v>9</v>
      </c>
      <c r="B30" s="9" t="s">
        <v>7</v>
      </c>
      <c r="C30" s="10"/>
      <c r="G30" s="13" t="s">
        <v>14</v>
      </c>
      <c r="H30" s="6">
        <f>H24+H26+H28</f>
        <v>145649.28</v>
      </c>
    </row>
    <row r="31" spans="1:8" ht="15.75" thickBot="1" x14ac:dyDescent="0.3">
      <c r="A31" s="16"/>
      <c r="B31" s="14"/>
      <c r="C31" s="7"/>
    </row>
    <row r="32" spans="1:8" x14ac:dyDescent="0.25">
      <c r="E32" t="s">
        <v>100</v>
      </c>
      <c r="H32" s="20">
        <f>H30*0.35</f>
        <v>50977.248</v>
      </c>
    </row>
    <row r="33" spans="1:8" ht="15.75" x14ac:dyDescent="0.25">
      <c r="A33" t="s">
        <v>10</v>
      </c>
      <c r="C33" s="10">
        <f>C24-C26-C28-C30</f>
        <v>105492.8</v>
      </c>
      <c r="H33" s="18"/>
    </row>
    <row r="34" spans="1:8" x14ac:dyDescent="0.25">
      <c r="H34" s="3"/>
    </row>
    <row r="35" spans="1:8" x14ac:dyDescent="0.25">
      <c r="H35" s="18"/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FB95D-772A-4435-8C63-04FD4699089E}">
  <dimension ref="A1:H35"/>
  <sheetViews>
    <sheetView topLeftCell="A10" workbookViewId="0">
      <selection activeCell="C18" sqref="C18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3.28515625" bestFit="1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148</v>
      </c>
    </row>
    <row r="3" spans="1:8" ht="21" x14ac:dyDescent="0.35">
      <c r="A3" s="2" t="s">
        <v>1</v>
      </c>
      <c r="D3" s="11">
        <v>214200</v>
      </c>
      <c r="F3" s="12" t="s">
        <v>3</v>
      </c>
      <c r="H3" s="11">
        <v>34200</v>
      </c>
    </row>
    <row r="4" spans="1:8" x14ac:dyDescent="0.25">
      <c r="A4" s="13" t="s">
        <v>29</v>
      </c>
      <c r="C4" s="28">
        <v>322</v>
      </c>
    </row>
    <row r="5" spans="1:8" ht="21" x14ac:dyDescent="0.35">
      <c r="A5" s="2" t="s">
        <v>2</v>
      </c>
    </row>
    <row r="7" spans="1:8" ht="18.75" x14ac:dyDescent="0.3">
      <c r="A7" s="5"/>
      <c r="D7" s="4"/>
      <c r="E7" s="27"/>
      <c r="H7" s="4"/>
    </row>
    <row r="8" spans="1:8" ht="18.75" x14ac:dyDescent="0.3">
      <c r="A8" s="5" t="s">
        <v>162</v>
      </c>
      <c r="D8" s="4">
        <v>4344</v>
      </c>
      <c r="E8" s="27" t="s">
        <v>31</v>
      </c>
      <c r="H8" s="4">
        <v>694</v>
      </c>
    </row>
    <row r="9" spans="1:8" ht="18.75" x14ac:dyDescent="0.3">
      <c r="A9" s="5" t="s">
        <v>78</v>
      </c>
      <c r="D9" s="4">
        <v>4546</v>
      </c>
      <c r="E9" s="27" t="s">
        <v>31</v>
      </c>
      <c r="H9" s="4">
        <v>726</v>
      </c>
    </row>
    <row r="10" spans="1:8" ht="18.75" x14ac:dyDescent="0.3">
      <c r="A10" s="5" t="s">
        <v>163</v>
      </c>
      <c r="D10" s="4">
        <v>4000</v>
      </c>
      <c r="E10" s="27" t="s">
        <v>31</v>
      </c>
      <c r="H10" s="4">
        <v>639</v>
      </c>
    </row>
    <row r="11" spans="1:8" ht="18.75" x14ac:dyDescent="0.3">
      <c r="A11" s="5" t="s">
        <v>164</v>
      </c>
      <c r="D11" s="4">
        <v>4000</v>
      </c>
      <c r="E11" s="27" t="s">
        <v>31</v>
      </c>
      <c r="H11" s="4">
        <v>638</v>
      </c>
    </row>
    <row r="12" spans="1:8" ht="18.75" x14ac:dyDescent="0.3">
      <c r="A12" s="5" t="s">
        <v>165</v>
      </c>
      <c r="C12" s="3"/>
      <c r="D12" s="30">
        <v>40000</v>
      </c>
      <c r="E12" s="27"/>
      <c r="H12" s="30"/>
    </row>
    <row r="13" spans="1:8" ht="18.75" x14ac:dyDescent="0.3">
      <c r="A13" s="5"/>
      <c r="C13" s="3"/>
      <c r="D13" s="31"/>
      <c r="E13" s="27"/>
      <c r="H13" s="31"/>
    </row>
    <row r="14" spans="1:8" ht="19.5" thickBot="1" x14ac:dyDescent="0.35">
      <c r="A14" s="5"/>
      <c r="C14" s="3"/>
      <c r="D14" s="23"/>
      <c r="E14" s="27"/>
      <c r="H14" s="23"/>
    </row>
    <row r="15" spans="1:8" ht="18.75" customHeight="1" x14ac:dyDescent="0.3">
      <c r="D15" s="4">
        <f>SUM(D7:D14)</f>
        <v>56890</v>
      </c>
      <c r="H15" s="4">
        <f>SUM(H7:H14)</f>
        <v>2697</v>
      </c>
    </row>
    <row r="16" spans="1:8" ht="18.75" x14ac:dyDescent="0.3">
      <c r="A16" s="5"/>
      <c r="C16" s="3"/>
      <c r="D16" s="4"/>
      <c r="H16" s="4"/>
    </row>
    <row r="18" spans="1:8" ht="18.75" x14ac:dyDescent="0.3">
      <c r="A18" s="5"/>
      <c r="C18" s="3"/>
      <c r="D18" s="4"/>
      <c r="H18" s="4"/>
    </row>
    <row r="19" spans="1:8" ht="15.75" thickBot="1" x14ac:dyDescent="0.3">
      <c r="D19" s="7"/>
      <c r="H19" s="7"/>
    </row>
    <row r="21" spans="1:8" ht="18.75" x14ac:dyDescent="0.3">
      <c r="C21" t="s">
        <v>4</v>
      </c>
      <c r="D21" s="4">
        <f>D3-D15</f>
        <v>157310</v>
      </c>
      <c r="G21" t="s">
        <v>5</v>
      </c>
      <c r="H21" s="4">
        <f>H3-H15</f>
        <v>31503</v>
      </c>
    </row>
    <row r="24" spans="1:8" ht="15.75" x14ac:dyDescent="0.25">
      <c r="A24" t="s">
        <v>6</v>
      </c>
      <c r="C24" s="8">
        <f>D21</f>
        <v>157310</v>
      </c>
      <c r="E24" t="s">
        <v>10</v>
      </c>
      <c r="H24" s="6">
        <f>C33</f>
        <v>124950.2</v>
      </c>
    </row>
    <row r="26" spans="1:8" ht="15.75" x14ac:dyDescent="0.25">
      <c r="A26" t="s">
        <v>5</v>
      </c>
      <c r="B26" s="9" t="s">
        <v>7</v>
      </c>
      <c r="C26" s="8">
        <f>H21</f>
        <v>31503</v>
      </c>
      <c r="E26" s="13" t="s">
        <v>11</v>
      </c>
      <c r="F26" s="9" t="s">
        <v>12</v>
      </c>
      <c r="G26" s="15" t="s">
        <v>17</v>
      </c>
      <c r="H26" s="3">
        <f>(F27*7.7)/1000</f>
        <v>1386</v>
      </c>
    </row>
    <row r="27" spans="1:8" x14ac:dyDescent="0.25">
      <c r="F27" s="21">
        <f>D3-H3</f>
        <v>180000</v>
      </c>
    </row>
    <row r="28" spans="1:8" ht="16.5" thickBot="1" x14ac:dyDescent="0.3">
      <c r="A28" t="s">
        <v>8</v>
      </c>
      <c r="B28" s="9" t="s">
        <v>7</v>
      </c>
      <c r="C28" s="8">
        <f>D3*0.004</f>
        <v>856.80000000000007</v>
      </c>
      <c r="F28" s="9" t="s">
        <v>13</v>
      </c>
      <c r="G28" s="16">
        <v>0.35</v>
      </c>
      <c r="H28" s="17">
        <f>F29*G28</f>
        <v>43732.57</v>
      </c>
    </row>
    <row r="29" spans="1:8" x14ac:dyDescent="0.25">
      <c r="F29" s="21">
        <f>H24</f>
        <v>124950.2</v>
      </c>
    </row>
    <row r="30" spans="1:8" ht="15.75" x14ac:dyDescent="0.25">
      <c r="A30" t="s">
        <v>9</v>
      </c>
      <c r="B30" s="9" t="s">
        <v>7</v>
      </c>
      <c r="C30" s="10"/>
      <c r="G30" s="13" t="s">
        <v>14</v>
      </c>
      <c r="H30" s="6">
        <f>H24+H26+H28</f>
        <v>170068.77</v>
      </c>
    </row>
    <row r="31" spans="1:8" ht="15.75" thickBot="1" x14ac:dyDescent="0.3">
      <c r="A31" s="16"/>
      <c r="B31" s="14"/>
      <c r="C31" s="7"/>
    </row>
    <row r="32" spans="1:8" x14ac:dyDescent="0.25">
      <c r="E32" t="s">
        <v>100</v>
      </c>
      <c r="H32" s="20">
        <f>H30*0.35</f>
        <v>59524.069499999991</v>
      </c>
    </row>
    <row r="33" spans="1:8" ht="15.75" x14ac:dyDescent="0.25">
      <c r="A33" t="s">
        <v>10</v>
      </c>
      <c r="C33" s="10">
        <f>C24-C26-C28-C30</f>
        <v>124950.2</v>
      </c>
      <c r="H33" s="18"/>
    </row>
    <row r="34" spans="1:8" x14ac:dyDescent="0.25">
      <c r="H34" s="3"/>
    </row>
    <row r="35" spans="1:8" x14ac:dyDescent="0.25">
      <c r="H35" s="18"/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C2EF4-0393-4CD7-93E3-4F7A4288893C}">
  <dimension ref="A1:H35"/>
  <sheetViews>
    <sheetView topLeftCell="A13" workbookViewId="0">
      <selection activeCell="H11" sqref="H11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3.28515625" bestFit="1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166</v>
      </c>
    </row>
    <row r="3" spans="1:8" ht="21" x14ac:dyDescent="0.35">
      <c r="A3" s="2" t="s">
        <v>1</v>
      </c>
      <c r="D3" s="11">
        <v>80325</v>
      </c>
      <c r="F3" s="12" t="s">
        <v>3</v>
      </c>
      <c r="H3" s="11">
        <v>12825</v>
      </c>
    </row>
    <row r="4" spans="1:8" x14ac:dyDescent="0.25">
      <c r="A4" s="13" t="s">
        <v>29</v>
      </c>
      <c r="C4" s="28">
        <v>322</v>
      </c>
    </row>
    <row r="5" spans="1:8" ht="21" x14ac:dyDescent="0.35">
      <c r="A5" s="2" t="s">
        <v>2</v>
      </c>
    </row>
    <row r="7" spans="1:8" ht="18.75" x14ac:dyDescent="0.3">
      <c r="A7" s="5"/>
      <c r="D7" s="4"/>
      <c r="E7" s="27"/>
      <c r="H7" s="4"/>
    </row>
    <row r="8" spans="1:8" ht="18.75" x14ac:dyDescent="0.3">
      <c r="A8" s="5" t="s">
        <v>167</v>
      </c>
      <c r="D8" s="4">
        <v>40000</v>
      </c>
      <c r="E8" s="27" t="s">
        <v>31</v>
      </c>
      <c r="H8" s="4"/>
    </row>
    <row r="9" spans="1:8" ht="18.75" x14ac:dyDescent="0.3">
      <c r="A9" s="5"/>
      <c r="D9" s="4"/>
      <c r="E9" s="27"/>
      <c r="H9" s="4"/>
    </row>
    <row r="10" spans="1:8" ht="18.75" x14ac:dyDescent="0.3">
      <c r="A10" s="5"/>
      <c r="D10" s="4"/>
      <c r="E10" s="27"/>
      <c r="H10" s="4"/>
    </row>
    <row r="11" spans="1:8" ht="18.75" x14ac:dyDescent="0.3">
      <c r="A11" s="5"/>
      <c r="D11" s="4"/>
      <c r="E11" s="27"/>
      <c r="H11" s="4"/>
    </row>
    <row r="12" spans="1:8" ht="18.75" x14ac:dyDescent="0.3">
      <c r="A12" s="5"/>
      <c r="C12" s="3"/>
      <c r="D12" s="30"/>
      <c r="E12" s="27"/>
      <c r="H12" s="30"/>
    </row>
    <row r="13" spans="1:8" ht="18.75" x14ac:dyDescent="0.3">
      <c r="A13" s="5"/>
      <c r="C13" s="3"/>
      <c r="D13" s="31"/>
      <c r="E13" s="27"/>
      <c r="H13" s="31"/>
    </row>
    <row r="14" spans="1:8" ht="19.5" thickBot="1" x14ac:dyDescent="0.35">
      <c r="A14" s="5"/>
      <c r="C14" s="3"/>
      <c r="D14" s="23"/>
      <c r="E14" s="27"/>
      <c r="H14" s="23"/>
    </row>
    <row r="15" spans="1:8" ht="18.75" customHeight="1" x14ac:dyDescent="0.3">
      <c r="D15" s="4">
        <f>SUM(D7:D14)</f>
        <v>40000</v>
      </c>
      <c r="H15" s="4">
        <f>SUM(H7:H14)</f>
        <v>0</v>
      </c>
    </row>
    <row r="16" spans="1:8" ht="18.75" x14ac:dyDescent="0.3">
      <c r="A16" s="5"/>
      <c r="C16" s="3"/>
      <c r="D16" s="4"/>
      <c r="H16" s="4"/>
    </row>
    <row r="18" spans="1:8" ht="18.75" x14ac:dyDescent="0.3">
      <c r="A18" s="5"/>
      <c r="C18" s="3"/>
      <c r="D18" s="4"/>
      <c r="H18" s="4"/>
    </row>
    <row r="19" spans="1:8" ht="15.75" thickBot="1" x14ac:dyDescent="0.3">
      <c r="D19" s="7"/>
      <c r="H19" s="7"/>
    </row>
    <row r="21" spans="1:8" ht="18.75" x14ac:dyDescent="0.3">
      <c r="C21" t="s">
        <v>4</v>
      </c>
      <c r="D21" s="4">
        <f>D3-D15</f>
        <v>40325</v>
      </c>
      <c r="G21" t="s">
        <v>5</v>
      </c>
      <c r="H21" s="4">
        <f>H3-H15</f>
        <v>12825</v>
      </c>
    </row>
    <row r="24" spans="1:8" ht="15.75" x14ac:dyDescent="0.25">
      <c r="A24" t="s">
        <v>6</v>
      </c>
      <c r="C24" s="8">
        <f>D21</f>
        <v>40325</v>
      </c>
      <c r="E24" t="s">
        <v>10</v>
      </c>
      <c r="H24" s="6">
        <f>C33</f>
        <v>27178.7</v>
      </c>
    </row>
    <row r="26" spans="1:8" ht="15.75" x14ac:dyDescent="0.25">
      <c r="A26" t="s">
        <v>5</v>
      </c>
      <c r="B26" s="9" t="s">
        <v>7</v>
      </c>
      <c r="C26" s="8">
        <f>H21</f>
        <v>12825</v>
      </c>
      <c r="E26" s="13" t="s">
        <v>11</v>
      </c>
      <c r="F26" s="9" t="s">
        <v>12</v>
      </c>
      <c r="G26" s="15" t="s">
        <v>17</v>
      </c>
      <c r="H26" s="3">
        <f>(F27*7.7)/1000</f>
        <v>519.75</v>
      </c>
    </row>
    <row r="27" spans="1:8" x14ac:dyDescent="0.25">
      <c r="F27" s="21">
        <f>D3-H3</f>
        <v>67500</v>
      </c>
    </row>
    <row r="28" spans="1:8" ht="16.5" thickBot="1" x14ac:dyDescent="0.3">
      <c r="A28" t="s">
        <v>8</v>
      </c>
      <c r="B28" s="9" t="s">
        <v>7</v>
      </c>
      <c r="C28" s="8">
        <f>D3*0.004</f>
        <v>321.3</v>
      </c>
      <c r="F28" s="9" t="s">
        <v>13</v>
      </c>
      <c r="G28" s="16">
        <v>0.35</v>
      </c>
      <c r="H28" s="17">
        <f>F29*G28</f>
        <v>9512.5450000000001</v>
      </c>
    </row>
    <row r="29" spans="1:8" x14ac:dyDescent="0.25">
      <c r="F29" s="21">
        <f>H24</f>
        <v>27178.7</v>
      </c>
    </row>
    <row r="30" spans="1:8" ht="15.75" x14ac:dyDescent="0.25">
      <c r="A30" t="s">
        <v>9</v>
      </c>
      <c r="B30" s="9" t="s">
        <v>7</v>
      </c>
      <c r="C30" s="10"/>
      <c r="G30" s="13" t="s">
        <v>14</v>
      </c>
      <c r="H30" s="6">
        <f>H24+H26+H28</f>
        <v>37210.995000000003</v>
      </c>
    </row>
    <row r="31" spans="1:8" ht="15.75" thickBot="1" x14ac:dyDescent="0.3">
      <c r="A31" s="16"/>
      <c r="B31" s="14"/>
      <c r="C31" s="7"/>
    </row>
    <row r="32" spans="1:8" x14ac:dyDescent="0.25">
      <c r="E32" t="s">
        <v>100</v>
      </c>
      <c r="H32" s="20">
        <f>H30*0.35</f>
        <v>13023.848250000001</v>
      </c>
    </row>
    <row r="33" spans="1:8" ht="15.75" x14ac:dyDescent="0.25">
      <c r="A33" t="s">
        <v>10</v>
      </c>
      <c r="C33" s="10">
        <f>C24-C26-C28-C30</f>
        <v>27178.7</v>
      </c>
      <c r="H33" s="18"/>
    </row>
    <row r="34" spans="1:8" x14ac:dyDescent="0.25">
      <c r="H34" s="3"/>
    </row>
    <row r="35" spans="1:8" x14ac:dyDescent="0.25">
      <c r="H35" s="18"/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240E2-E4D4-4C9C-84B5-21E1D8236BE0}">
  <dimension ref="A1:H35"/>
  <sheetViews>
    <sheetView topLeftCell="A13"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3.28515625" bestFit="1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168</v>
      </c>
    </row>
    <row r="3" spans="1:8" ht="21" x14ac:dyDescent="0.35">
      <c r="A3" s="2" t="s">
        <v>1</v>
      </c>
      <c r="D3" s="11">
        <v>149940</v>
      </c>
      <c r="F3" s="12" t="s">
        <v>3</v>
      </c>
      <c r="H3" s="11">
        <v>23940</v>
      </c>
    </row>
    <row r="4" spans="1:8" x14ac:dyDescent="0.25">
      <c r="A4" s="13" t="s">
        <v>29</v>
      </c>
      <c r="C4" s="28">
        <v>332</v>
      </c>
    </row>
    <row r="5" spans="1:8" ht="21" x14ac:dyDescent="0.35">
      <c r="A5" s="2" t="s">
        <v>2</v>
      </c>
    </row>
    <row r="7" spans="1:8" ht="18.75" x14ac:dyDescent="0.3">
      <c r="A7" s="5"/>
      <c r="D7" s="4"/>
      <c r="E7" s="27"/>
      <c r="H7" s="4"/>
    </row>
    <row r="8" spans="1:8" ht="18.75" x14ac:dyDescent="0.3">
      <c r="A8" s="5" t="s">
        <v>169</v>
      </c>
      <c r="D8" s="4">
        <v>19279</v>
      </c>
      <c r="E8" s="27" t="s">
        <v>31</v>
      </c>
      <c r="H8" s="4">
        <v>3078</v>
      </c>
    </row>
    <row r="9" spans="1:8" ht="18.75" x14ac:dyDescent="0.3">
      <c r="A9" s="5" t="s">
        <v>170</v>
      </c>
      <c r="D9" s="4">
        <v>69472</v>
      </c>
      <c r="E9" s="27"/>
      <c r="H9" s="4">
        <v>11092</v>
      </c>
    </row>
    <row r="10" spans="1:8" ht="18.75" x14ac:dyDescent="0.3">
      <c r="A10" s="5"/>
      <c r="D10" s="4"/>
      <c r="E10" s="27"/>
      <c r="H10" s="4"/>
    </row>
    <row r="11" spans="1:8" ht="18.75" x14ac:dyDescent="0.3">
      <c r="A11" s="5"/>
      <c r="D11" s="4"/>
      <c r="E11" s="27"/>
      <c r="H11" s="4"/>
    </row>
    <row r="12" spans="1:8" ht="18.75" x14ac:dyDescent="0.3">
      <c r="A12" s="5"/>
      <c r="C12" s="3"/>
      <c r="D12" s="30"/>
      <c r="E12" s="27"/>
      <c r="H12" s="30"/>
    </row>
    <row r="13" spans="1:8" ht="18.75" x14ac:dyDescent="0.3">
      <c r="A13" s="5"/>
      <c r="C13" s="3"/>
      <c r="D13" s="31"/>
      <c r="E13" s="27"/>
      <c r="H13" s="31"/>
    </row>
    <row r="14" spans="1:8" ht="19.5" thickBot="1" x14ac:dyDescent="0.35">
      <c r="A14" s="5"/>
      <c r="C14" s="3"/>
      <c r="D14" s="23"/>
      <c r="E14" s="27"/>
      <c r="H14" s="23"/>
    </row>
    <row r="15" spans="1:8" ht="18.75" customHeight="1" x14ac:dyDescent="0.3">
      <c r="D15" s="4">
        <f>SUM(D7:D14)</f>
        <v>88751</v>
      </c>
      <c r="H15" s="4">
        <f>SUM(H7:H14)</f>
        <v>14170</v>
      </c>
    </row>
    <row r="16" spans="1:8" ht="18.75" x14ac:dyDescent="0.3">
      <c r="A16" s="5"/>
      <c r="C16" s="3"/>
      <c r="D16" s="4"/>
      <c r="H16" s="4"/>
    </row>
    <row r="18" spans="1:8" ht="18.75" x14ac:dyDescent="0.3">
      <c r="A18" s="5"/>
      <c r="C18" s="3"/>
      <c r="D18" s="4"/>
      <c r="H18" s="4"/>
    </row>
    <row r="19" spans="1:8" ht="15.75" thickBot="1" x14ac:dyDescent="0.3">
      <c r="D19" s="7"/>
      <c r="H19" s="7"/>
    </row>
    <row r="21" spans="1:8" ht="18.75" x14ac:dyDescent="0.3">
      <c r="C21" t="s">
        <v>4</v>
      </c>
      <c r="D21" s="4">
        <f>D3-D15</f>
        <v>61189</v>
      </c>
      <c r="G21" t="s">
        <v>5</v>
      </c>
      <c r="H21" s="4">
        <f>H3-H15</f>
        <v>9770</v>
      </c>
    </row>
    <row r="24" spans="1:8" ht="15.75" x14ac:dyDescent="0.25">
      <c r="A24" t="s">
        <v>6</v>
      </c>
      <c r="C24" s="8">
        <f>D21</f>
        <v>61189</v>
      </c>
      <c r="E24" t="s">
        <v>10</v>
      </c>
      <c r="H24" s="6">
        <f>C33</f>
        <v>50819.24</v>
      </c>
    </row>
    <row r="26" spans="1:8" ht="15.75" x14ac:dyDescent="0.25">
      <c r="A26" t="s">
        <v>5</v>
      </c>
      <c r="B26" s="9" t="s">
        <v>7</v>
      </c>
      <c r="C26" s="8">
        <f>H21</f>
        <v>9770</v>
      </c>
      <c r="E26" s="13" t="s">
        <v>11</v>
      </c>
      <c r="F26" s="9" t="s">
        <v>12</v>
      </c>
      <c r="G26" s="15" t="s">
        <v>17</v>
      </c>
      <c r="H26" s="3">
        <f>-(F27*0.007)</f>
        <v>-882</v>
      </c>
    </row>
    <row r="27" spans="1:8" x14ac:dyDescent="0.25">
      <c r="F27" s="21">
        <f>D3-H3</f>
        <v>126000</v>
      </c>
    </row>
    <row r="28" spans="1:8" ht="16.5" thickBot="1" x14ac:dyDescent="0.3">
      <c r="A28" t="s">
        <v>8</v>
      </c>
      <c r="B28" s="9" t="s">
        <v>7</v>
      </c>
      <c r="C28" s="8">
        <f>D3*0.004</f>
        <v>599.76</v>
      </c>
      <c r="F28" s="9" t="s">
        <v>13</v>
      </c>
      <c r="G28" s="16">
        <v>0.35</v>
      </c>
      <c r="H28" s="17">
        <f>-(F29*0.35)</f>
        <v>-17786.733999999997</v>
      </c>
    </row>
    <row r="29" spans="1:8" x14ac:dyDescent="0.25">
      <c r="F29" s="21">
        <f>H24</f>
        <v>50819.24</v>
      </c>
    </row>
    <row r="30" spans="1:8" ht="15.75" x14ac:dyDescent="0.25">
      <c r="A30" t="s">
        <v>9</v>
      </c>
      <c r="B30" s="9" t="s">
        <v>7</v>
      </c>
      <c r="C30" s="10"/>
      <c r="G30" s="13" t="s">
        <v>14</v>
      </c>
      <c r="H30" s="6">
        <f>H24+H26+H28</f>
        <v>32150.506000000001</v>
      </c>
    </row>
    <row r="31" spans="1:8" ht="15.75" thickBot="1" x14ac:dyDescent="0.3">
      <c r="A31" s="16"/>
      <c r="B31" s="14"/>
      <c r="C31" s="7"/>
    </row>
    <row r="32" spans="1:8" x14ac:dyDescent="0.25">
      <c r="E32" t="s">
        <v>100</v>
      </c>
      <c r="H32" s="20">
        <f>H30*0.35</f>
        <v>11252.677099999999</v>
      </c>
    </row>
    <row r="33" spans="1:8" ht="15.75" x14ac:dyDescent="0.25">
      <c r="A33" t="s">
        <v>10</v>
      </c>
      <c r="C33" s="10">
        <f>C24-C26-C28-C30</f>
        <v>50819.24</v>
      </c>
      <c r="H33" s="18"/>
    </row>
    <row r="34" spans="1:8" x14ac:dyDescent="0.25">
      <c r="H34" s="3"/>
    </row>
    <row r="35" spans="1:8" x14ac:dyDescent="0.25">
      <c r="H35" s="18"/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F3D8D-2078-43BD-856C-442A58C09266}">
  <dimension ref="A1:H35"/>
  <sheetViews>
    <sheetView topLeftCell="A16" workbookViewId="0">
      <selection activeCell="A9" sqref="A9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3.28515625" bestFit="1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171</v>
      </c>
    </row>
    <row r="3" spans="1:8" ht="21" x14ac:dyDescent="0.35">
      <c r="A3" s="2" t="s">
        <v>1</v>
      </c>
      <c r="D3" s="11">
        <v>226100</v>
      </c>
      <c r="F3" s="12" t="s">
        <v>3</v>
      </c>
      <c r="H3" s="11">
        <v>36100</v>
      </c>
    </row>
    <row r="4" spans="1:8" x14ac:dyDescent="0.25">
      <c r="A4" s="13" t="s">
        <v>29</v>
      </c>
      <c r="C4" s="28">
        <v>333</v>
      </c>
    </row>
    <row r="5" spans="1:8" ht="21" x14ac:dyDescent="0.35">
      <c r="A5" s="2" t="s">
        <v>2</v>
      </c>
    </row>
    <row r="7" spans="1:8" ht="18.75" x14ac:dyDescent="0.3">
      <c r="A7" s="5"/>
      <c r="D7" s="4"/>
      <c r="E7" s="27"/>
      <c r="H7" s="4"/>
    </row>
    <row r="8" spans="1:8" ht="18.75" x14ac:dyDescent="0.3">
      <c r="A8" s="5" t="s">
        <v>181</v>
      </c>
      <c r="D8" s="4">
        <v>142800</v>
      </c>
      <c r="E8" s="27" t="s">
        <v>31</v>
      </c>
      <c r="H8" s="4">
        <v>22800</v>
      </c>
    </row>
    <row r="9" spans="1:8" ht="18.75" x14ac:dyDescent="0.3">
      <c r="A9" s="5"/>
      <c r="D9" s="4"/>
      <c r="E9" s="27"/>
      <c r="H9" s="4"/>
    </row>
    <row r="10" spans="1:8" ht="18.75" x14ac:dyDescent="0.3">
      <c r="A10" s="5"/>
      <c r="D10" s="4"/>
      <c r="E10" s="27"/>
      <c r="H10" s="4"/>
    </row>
    <row r="11" spans="1:8" ht="18.75" x14ac:dyDescent="0.3">
      <c r="A11" s="5"/>
      <c r="D11" s="4"/>
      <c r="E11" s="27"/>
      <c r="H11" s="4"/>
    </row>
    <row r="12" spans="1:8" ht="18.75" x14ac:dyDescent="0.3">
      <c r="A12" s="5"/>
      <c r="C12" s="3"/>
      <c r="D12" s="30"/>
      <c r="E12" s="27"/>
      <c r="H12" s="30"/>
    </row>
    <row r="13" spans="1:8" ht="18.75" x14ac:dyDescent="0.3">
      <c r="A13" s="5"/>
      <c r="C13" s="3"/>
      <c r="D13" s="31"/>
      <c r="E13" s="27"/>
      <c r="H13" s="31"/>
    </row>
    <row r="14" spans="1:8" ht="19.5" thickBot="1" x14ac:dyDescent="0.35">
      <c r="A14" s="5"/>
      <c r="C14" s="3"/>
      <c r="D14" s="23"/>
      <c r="E14" s="27"/>
      <c r="H14" s="23"/>
    </row>
    <row r="15" spans="1:8" ht="18.75" customHeight="1" x14ac:dyDescent="0.3">
      <c r="D15" s="4">
        <f>SUM(D7:D14)</f>
        <v>142800</v>
      </c>
      <c r="H15" s="4">
        <f>SUM(H7:H14)</f>
        <v>22800</v>
      </c>
    </row>
    <row r="16" spans="1:8" ht="18.75" x14ac:dyDescent="0.3">
      <c r="A16" s="5"/>
      <c r="C16" s="3"/>
      <c r="D16" s="4"/>
      <c r="H16" s="4"/>
    </row>
    <row r="18" spans="1:8" ht="18.75" x14ac:dyDescent="0.3">
      <c r="A18" s="5"/>
      <c r="C18" s="3"/>
      <c r="D18" s="4"/>
      <c r="H18" s="4"/>
    </row>
    <row r="19" spans="1:8" ht="15.75" thickBot="1" x14ac:dyDescent="0.3">
      <c r="D19" s="7"/>
      <c r="H19" s="7"/>
    </row>
    <row r="21" spans="1:8" ht="18.75" x14ac:dyDescent="0.3">
      <c r="C21" t="s">
        <v>4</v>
      </c>
      <c r="D21" s="4">
        <f>D3-D15</f>
        <v>83300</v>
      </c>
      <c r="G21" t="s">
        <v>5</v>
      </c>
      <c r="H21" s="4">
        <f>H3-H15</f>
        <v>13300</v>
      </c>
    </row>
    <row r="24" spans="1:8" ht="15.75" x14ac:dyDescent="0.25">
      <c r="A24" t="s">
        <v>6</v>
      </c>
      <c r="C24" s="8">
        <f>D21</f>
        <v>83300</v>
      </c>
      <c r="E24" t="s">
        <v>10</v>
      </c>
      <c r="H24" s="6">
        <f>C33</f>
        <v>69095.600000000006</v>
      </c>
    </row>
    <row r="26" spans="1:8" ht="15.75" x14ac:dyDescent="0.25">
      <c r="A26" t="s">
        <v>5</v>
      </c>
      <c r="B26" s="9" t="s">
        <v>7</v>
      </c>
      <c r="C26" s="8">
        <f>H21</f>
        <v>13300</v>
      </c>
      <c r="E26" s="13" t="s">
        <v>11</v>
      </c>
      <c r="F26" s="9" t="s">
        <v>12</v>
      </c>
      <c r="G26" s="15" t="s">
        <v>17</v>
      </c>
      <c r="H26" s="3">
        <f>-(F27*0.007)</f>
        <v>-1330</v>
      </c>
    </row>
    <row r="27" spans="1:8" x14ac:dyDescent="0.25">
      <c r="F27" s="21">
        <f>D3-H3</f>
        <v>190000</v>
      </c>
    </row>
    <row r="28" spans="1:8" ht="16.5" thickBot="1" x14ac:dyDescent="0.3">
      <c r="A28" t="s">
        <v>8</v>
      </c>
      <c r="B28" s="9" t="s">
        <v>7</v>
      </c>
      <c r="C28" s="8">
        <f>D3*0.004</f>
        <v>904.4</v>
      </c>
      <c r="F28" s="9" t="s">
        <v>13</v>
      </c>
      <c r="G28" s="16">
        <v>0.35</v>
      </c>
      <c r="H28" s="17">
        <f>-(F29*0.35)</f>
        <v>-24183.46</v>
      </c>
    </row>
    <row r="29" spans="1:8" x14ac:dyDescent="0.25">
      <c r="F29" s="21">
        <f>H24</f>
        <v>69095.600000000006</v>
      </c>
    </row>
    <row r="30" spans="1:8" ht="15.75" x14ac:dyDescent="0.25">
      <c r="A30" t="s">
        <v>9</v>
      </c>
      <c r="B30" s="9" t="s">
        <v>7</v>
      </c>
      <c r="C30" s="10"/>
      <c r="G30" s="13" t="s">
        <v>14</v>
      </c>
      <c r="H30" s="6">
        <f>H24+H26+H28</f>
        <v>43582.140000000007</v>
      </c>
    </row>
    <row r="31" spans="1:8" ht="15.75" thickBot="1" x14ac:dyDescent="0.3">
      <c r="A31" s="16"/>
      <c r="B31" s="14"/>
      <c r="C31" s="7"/>
    </row>
    <row r="32" spans="1:8" x14ac:dyDescent="0.25">
      <c r="E32" t="s">
        <v>100</v>
      </c>
      <c r="H32" s="20">
        <f>H30*0.35</f>
        <v>15253.749000000002</v>
      </c>
    </row>
    <row r="33" spans="1:8" ht="15.75" x14ac:dyDescent="0.25">
      <c r="A33" t="s">
        <v>10</v>
      </c>
      <c r="C33" s="10">
        <f>C24-C26-C28-C30</f>
        <v>69095.600000000006</v>
      </c>
      <c r="H33" s="18"/>
    </row>
    <row r="34" spans="1:8" x14ac:dyDescent="0.25">
      <c r="H34" s="3"/>
    </row>
    <row r="35" spans="1:8" x14ac:dyDescent="0.25">
      <c r="H35" s="18"/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FFA03-D5A1-4D84-B9F4-2302D93E7F77}">
  <dimension ref="A1:H35"/>
  <sheetViews>
    <sheetView topLeftCell="A10"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3.28515625" bestFit="1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172</v>
      </c>
    </row>
    <row r="3" spans="1:8" ht="21" x14ac:dyDescent="0.35">
      <c r="A3" s="2" t="s">
        <v>1</v>
      </c>
      <c r="D3" s="11">
        <v>133447</v>
      </c>
      <c r="F3" s="12" t="s">
        <v>3</v>
      </c>
      <c r="H3" s="11">
        <v>21307</v>
      </c>
    </row>
    <row r="4" spans="1:8" x14ac:dyDescent="0.25">
      <c r="A4" s="13" t="s">
        <v>29</v>
      </c>
      <c r="C4" s="28">
        <v>334</v>
      </c>
    </row>
    <row r="5" spans="1:8" ht="21" x14ac:dyDescent="0.35">
      <c r="A5" s="2" t="s">
        <v>2</v>
      </c>
    </row>
    <row r="7" spans="1:8" ht="18.75" x14ac:dyDescent="0.3">
      <c r="A7" s="5"/>
      <c r="D7" s="4"/>
      <c r="E7" s="27"/>
      <c r="H7" s="4"/>
    </row>
    <row r="8" spans="1:8" ht="18.75" x14ac:dyDescent="0.3">
      <c r="A8" s="5" t="s">
        <v>173</v>
      </c>
      <c r="D8" s="4">
        <v>63617</v>
      </c>
      <c r="E8" s="27" t="s">
        <v>31</v>
      </c>
      <c r="H8" s="4">
        <v>10157</v>
      </c>
    </row>
    <row r="9" spans="1:8" ht="18.75" x14ac:dyDescent="0.3">
      <c r="A9" s="5" t="s">
        <v>174</v>
      </c>
      <c r="D9" s="4">
        <v>16165</v>
      </c>
      <c r="E9" s="27"/>
      <c r="H9" s="4">
        <v>2581</v>
      </c>
    </row>
    <row r="10" spans="1:8" ht="18.75" x14ac:dyDescent="0.3">
      <c r="A10" s="5"/>
      <c r="D10" s="4"/>
      <c r="E10" s="27"/>
      <c r="H10" s="4"/>
    </row>
    <row r="11" spans="1:8" ht="18.75" x14ac:dyDescent="0.3">
      <c r="A11" s="5"/>
      <c r="D11" s="4"/>
      <c r="E11" s="27"/>
      <c r="H11" s="4"/>
    </row>
    <row r="12" spans="1:8" ht="18.75" x14ac:dyDescent="0.3">
      <c r="A12" s="5"/>
      <c r="C12" s="3"/>
      <c r="D12" s="30"/>
      <c r="E12" s="27"/>
      <c r="H12" s="30"/>
    </row>
    <row r="13" spans="1:8" ht="18.75" x14ac:dyDescent="0.3">
      <c r="A13" s="5"/>
      <c r="C13" s="3"/>
      <c r="D13" s="31"/>
      <c r="E13" s="27"/>
      <c r="H13" s="31"/>
    </row>
    <row r="14" spans="1:8" ht="19.5" thickBot="1" x14ac:dyDescent="0.35">
      <c r="A14" s="5"/>
      <c r="C14" s="3"/>
      <c r="D14" s="23"/>
      <c r="E14" s="27"/>
      <c r="H14" s="23"/>
    </row>
    <row r="15" spans="1:8" ht="18.75" customHeight="1" x14ac:dyDescent="0.3">
      <c r="D15" s="4">
        <f>SUM(D7:D14)</f>
        <v>79782</v>
      </c>
      <c r="H15" s="4">
        <f>SUM(H7:H14)</f>
        <v>12738</v>
      </c>
    </row>
    <row r="16" spans="1:8" ht="18.75" x14ac:dyDescent="0.3">
      <c r="A16" s="5"/>
      <c r="C16" s="3"/>
      <c r="D16" s="4"/>
      <c r="H16" s="4"/>
    </row>
    <row r="18" spans="1:8" ht="18.75" x14ac:dyDescent="0.3">
      <c r="A18" s="5"/>
      <c r="C18" s="3"/>
      <c r="D18" s="4"/>
      <c r="H18" s="4"/>
    </row>
    <row r="19" spans="1:8" ht="15.75" thickBot="1" x14ac:dyDescent="0.3">
      <c r="D19" s="7"/>
      <c r="H19" s="7"/>
    </row>
    <row r="21" spans="1:8" ht="18.75" x14ac:dyDescent="0.3">
      <c r="C21" t="s">
        <v>4</v>
      </c>
      <c r="D21" s="4">
        <f>D3-D15</f>
        <v>53665</v>
      </c>
      <c r="G21" t="s">
        <v>5</v>
      </c>
      <c r="H21" s="4">
        <f>H3-H15</f>
        <v>8569</v>
      </c>
    </row>
    <row r="24" spans="1:8" ht="15.75" x14ac:dyDescent="0.25">
      <c r="A24" t="s">
        <v>6</v>
      </c>
      <c r="C24" s="8">
        <f>D21</f>
        <v>53665</v>
      </c>
      <c r="E24" t="s">
        <v>10</v>
      </c>
      <c r="H24" s="6">
        <f>C33</f>
        <v>44562.212</v>
      </c>
    </row>
    <row r="26" spans="1:8" ht="15.75" x14ac:dyDescent="0.25">
      <c r="A26" t="s">
        <v>5</v>
      </c>
      <c r="B26" s="9" t="s">
        <v>7</v>
      </c>
      <c r="C26" s="8">
        <f>H21</f>
        <v>8569</v>
      </c>
      <c r="E26" s="13" t="s">
        <v>11</v>
      </c>
      <c r="F26" s="9" t="s">
        <v>12</v>
      </c>
      <c r="G26" s="15" t="s">
        <v>17</v>
      </c>
      <c r="H26" s="3">
        <f>-(F27*0.007)</f>
        <v>-784.98</v>
      </c>
    </row>
    <row r="27" spans="1:8" x14ac:dyDescent="0.25">
      <c r="F27" s="21">
        <f>D3-H3</f>
        <v>112140</v>
      </c>
    </row>
    <row r="28" spans="1:8" ht="16.5" thickBot="1" x14ac:dyDescent="0.3">
      <c r="A28" t="s">
        <v>8</v>
      </c>
      <c r="B28" s="9" t="s">
        <v>7</v>
      </c>
      <c r="C28" s="8">
        <f>D3*0.004</f>
        <v>533.78800000000001</v>
      </c>
      <c r="F28" s="9" t="s">
        <v>13</v>
      </c>
      <c r="G28" s="16">
        <v>0.35</v>
      </c>
      <c r="H28" s="17">
        <f>-(F29*0.35)</f>
        <v>-15596.774199999998</v>
      </c>
    </row>
    <row r="29" spans="1:8" x14ac:dyDescent="0.25">
      <c r="F29" s="21">
        <f>H24</f>
        <v>44562.212</v>
      </c>
    </row>
    <row r="30" spans="1:8" ht="15.75" x14ac:dyDescent="0.25">
      <c r="A30" t="s">
        <v>9</v>
      </c>
      <c r="B30" s="9" t="s">
        <v>7</v>
      </c>
      <c r="C30" s="10"/>
      <c r="G30" s="13" t="s">
        <v>14</v>
      </c>
      <c r="H30" s="6">
        <f>H24+H26+H28</f>
        <v>28180.457799999996</v>
      </c>
    </row>
    <row r="31" spans="1:8" ht="15.75" thickBot="1" x14ac:dyDescent="0.3">
      <c r="A31" s="16"/>
      <c r="B31" s="14"/>
      <c r="C31" s="7"/>
    </row>
    <row r="32" spans="1:8" x14ac:dyDescent="0.25">
      <c r="E32" t="s">
        <v>100</v>
      </c>
      <c r="H32" s="20">
        <f>H30*0.35</f>
        <v>9863.1602299999977</v>
      </c>
    </row>
    <row r="33" spans="1:8" ht="15.75" x14ac:dyDescent="0.25">
      <c r="A33" t="s">
        <v>10</v>
      </c>
      <c r="C33" s="10">
        <f>C24-C26-C28-C30</f>
        <v>44562.212</v>
      </c>
      <c r="H33" s="18"/>
    </row>
    <row r="34" spans="1:8" x14ac:dyDescent="0.25">
      <c r="H34" s="3"/>
    </row>
    <row r="35" spans="1:8" x14ac:dyDescent="0.25">
      <c r="H35" s="18"/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A66CD-C58C-497F-9EB4-1C995FC8E20E}">
  <dimension ref="A1:H35"/>
  <sheetViews>
    <sheetView topLeftCell="A10" workbookViewId="0">
      <selection activeCell="G16" sqref="G1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3.28515625" bestFit="1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175</v>
      </c>
    </row>
    <row r="3" spans="1:8" ht="21" x14ac:dyDescent="0.35">
      <c r="A3" s="2" t="s">
        <v>1</v>
      </c>
      <c r="D3" s="11">
        <v>9273983</v>
      </c>
      <c r="F3" s="12" t="s">
        <v>3</v>
      </c>
      <c r="H3" s="11">
        <v>1512495</v>
      </c>
    </row>
    <row r="4" spans="1:8" x14ac:dyDescent="0.25">
      <c r="A4" s="13" t="s">
        <v>29</v>
      </c>
      <c r="C4" s="28">
        <v>335</v>
      </c>
    </row>
    <row r="5" spans="1:8" ht="21" x14ac:dyDescent="0.35">
      <c r="A5" s="2" t="s">
        <v>2</v>
      </c>
    </row>
    <row r="7" spans="1:8" ht="18.75" x14ac:dyDescent="0.3">
      <c r="A7" s="5"/>
      <c r="D7" s="4"/>
      <c r="E7" s="27"/>
      <c r="H7" s="4"/>
    </row>
    <row r="8" spans="1:8" ht="18.75" x14ac:dyDescent="0.3">
      <c r="A8" s="5" t="s">
        <v>176</v>
      </c>
      <c r="D8" s="4">
        <v>7782267</v>
      </c>
      <c r="E8" s="27" t="s">
        <v>31</v>
      </c>
      <c r="H8" s="4">
        <v>1242547</v>
      </c>
    </row>
    <row r="9" spans="1:8" ht="18.75" x14ac:dyDescent="0.3">
      <c r="A9" s="5"/>
      <c r="D9" s="4"/>
      <c r="E9" s="27"/>
      <c r="H9" s="4"/>
    </row>
    <row r="10" spans="1:8" ht="18.75" x14ac:dyDescent="0.3">
      <c r="A10" s="5"/>
      <c r="D10" s="4"/>
      <c r="E10" s="27"/>
      <c r="H10" s="4"/>
    </row>
    <row r="11" spans="1:8" ht="18.75" x14ac:dyDescent="0.3">
      <c r="A11" s="5"/>
      <c r="D11" s="4"/>
      <c r="E11" s="27"/>
      <c r="H11" s="4"/>
    </row>
    <row r="12" spans="1:8" ht="18.75" x14ac:dyDescent="0.3">
      <c r="A12" s="5"/>
      <c r="C12" s="3"/>
      <c r="D12" s="30"/>
      <c r="E12" s="27"/>
      <c r="H12" s="30"/>
    </row>
    <row r="13" spans="1:8" ht="18.75" x14ac:dyDescent="0.3">
      <c r="A13" s="5"/>
      <c r="C13" s="3"/>
      <c r="D13" s="31"/>
      <c r="E13" s="27"/>
      <c r="H13" s="31"/>
    </row>
    <row r="14" spans="1:8" ht="19.5" thickBot="1" x14ac:dyDescent="0.35">
      <c r="A14" s="5"/>
      <c r="C14" s="3"/>
      <c r="D14" s="23"/>
      <c r="E14" s="27"/>
      <c r="H14" s="23"/>
    </row>
    <row r="15" spans="1:8" ht="18.75" customHeight="1" x14ac:dyDescent="0.3">
      <c r="D15" s="4">
        <f>SUM(D7:D14)</f>
        <v>7782267</v>
      </c>
      <c r="H15" s="4">
        <f>SUM(H7:H14)</f>
        <v>1242547</v>
      </c>
    </row>
    <row r="16" spans="1:8" ht="18.75" x14ac:dyDescent="0.3">
      <c r="A16" s="5"/>
      <c r="C16" s="3"/>
      <c r="D16" s="4"/>
      <c r="H16" s="4"/>
    </row>
    <row r="18" spans="1:8" ht="18.75" x14ac:dyDescent="0.3">
      <c r="A18" s="5"/>
      <c r="C18" s="3"/>
      <c r="D18" s="4"/>
      <c r="H18" s="4"/>
    </row>
    <row r="19" spans="1:8" ht="15.75" thickBot="1" x14ac:dyDescent="0.3">
      <c r="D19" s="7"/>
      <c r="H19" s="7"/>
    </row>
    <row r="21" spans="1:8" ht="18.75" x14ac:dyDescent="0.3">
      <c r="C21" t="s">
        <v>4</v>
      </c>
      <c r="D21" s="4">
        <f>D3-D15</f>
        <v>1491716</v>
      </c>
      <c r="G21" t="s">
        <v>5</v>
      </c>
      <c r="H21" s="4">
        <f>H3-H15</f>
        <v>269948</v>
      </c>
    </row>
    <row r="24" spans="1:8" ht="15.75" x14ac:dyDescent="0.25">
      <c r="A24" t="s">
        <v>6</v>
      </c>
      <c r="C24" s="8">
        <f>D21</f>
        <v>1491716</v>
      </c>
      <c r="E24" t="s">
        <v>10</v>
      </c>
      <c r="H24" s="6">
        <f>C33</f>
        <v>1184672.068</v>
      </c>
    </row>
    <row r="26" spans="1:8" ht="15.75" x14ac:dyDescent="0.25">
      <c r="A26" t="s">
        <v>5</v>
      </c>
      <c r="B26" s="9" t="s">
        <v>7</v>
      </c>
      <c r="C26" s="8">
        <f>H21</f>
        <v>269948</v>
      </c>
      <c r="E26" s="13" t="s">
        <v>11</v>
      </c>
      <c r="F26" s="9" t="s">
        <v>12</v>
      </c>
      <c r="G26" s="15" t="s">
        <v>17</v>
      </c>
      <c r="H26" s="3">
        <f>-(F27*0.007)</f>
        <v>-54330.416000000005</v>
      </c>
    </row>
    <row r="27" spans="1:8" x14ac:dyDescent="0.25">
      <c r="F27" s="21">
        <f>D3-H3</f>
        <v>7761488</v>
      </c>
    </row>
    <row r="28" spans="1:8" ht="16.5" thickBot="1" x14ac:dyDescent="0.3">
      <c r="A28" t="s">
        <v>8</v>
      </c>
      <c r="B28" s="9" t="s">
        <v>7</v>
      </c>
      <c r="C28" s="8">
        <f>D3*0.004</f>
        <v>37095.932000000001</v>
      </c>
      <c r="F28" s="9" t="s">
        <v>13</v>
      </c>
      <c r="G28" s="16">
        <v>0.35</v>
      </c>
      <c r="H28" s="17">
        <f>-(F29*0.35)</f>
        <v>-414635.22379999998</v>
      </c>
    </row>
    <row r="29" spans="1:8" x14ac:dyDescent="0.25">
      <c r="F29" s="21">
        <f>H24</f>
        <v>1184672.068</v>
      </c>
    </row>
    <row r="30" spans="1:8" ht="15.75" x14ac:dyDescent="0.25">
      <c r="A30" t="s">
        <v>9</v>
      </c>
      <c r="B30" s="9" t="s">
        <v>7</v>
      </c>
      <c r="C30" s="10"/>
      <c r="G30" s="13" t="s">
        <v>14</v>
      </c>
      <c r="H30" s="6">
        <f>H24+H26+H28</f>
        <v>715706.42819999997</v>
      </c>
    </row>
    <row r="31" spans="1:8" ht="15.75" thickBot="1" x14ac:dyDescent="0.3">
      <c r="A31" s="16"/>
      <c r="B31" s="14"/>
      <c r="C31" s="7"/>
    </row>
    <row r="32" spans="1:8" x14ac:dyDescent="0.25">
      <c r="E32" t="s">
        <v>100</v>
      </c>
      <c r="H32" s="20">
        <f>H30*0.35</f>
        <v>250497.24986999997</v>
      </c>
    </row>
    <row r="33" spans="1:8" ht="15.75" x14ac:dyDescent="0.25">
      <c r="A33" t="s">
        <v>10</v>
      </c>
      <c r="C33" s="10">
        <f>C24-C26-C28-C30</f>
        <v>1184672.068</v>
      </c>
      <c r="H33" s="18"/>
    </row>
    <row r="34" spans="1:8" x14ac:dyDescent="0.25">
      <c r="H34" s="3"/>
    </row>
    <row r="35" spans="1:8" x14ac:dyDescent="0.25">
      <c r="H35" s="18"/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233D8-05CC-4833-9FD6-F050442B744A}">
  <dimension ref="A1:H35"/>
  <sheetViews>
    <sheetView topLeftCell="A10"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3.28515625" bestFit="1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182</v>
      </c>
    </row>
    <row r="3" spans="1:8" ht="21" x14ac:dyDescent="0.35">
      <c r="A3" s="2" t="s">
        <v>1</v>
      </c>
      <c r="D3" s="11">
        <v>74970</v>
      </c>
      <c r="F3" s="12" t="s">
        <v>3</v>
      </c>
      <c r="H3" s="11">
        <v>11970</v>
      </c>
    </row>
    <row r="4" spans="1:8" x14ac:dyDescent="0.25">
      <c r="A4" s="13" t="s">
        <v>29</v>
      </c>
      <c r="C4" s="28">
        <v>338</v>
      </c>
    </row>
    <row r="5" spans="1:8" ht="21" x14ac:dyDescent="0.35">
      <c r="A5" s="2" t="s">
        <v>2</v>
      </c>
    </row>
    <row r="7" spans="1:8" ht="18.75" x14ac:dyDescent="0.3">
      <c r="A7" s="5"/>
      <c r="D7" s="4"/>
      <c r="E7" s="27"/>
      <c r="H7" s="4"/>
    </row>
    <row r="8" spans="1:8" ht="18.75" x14ac:dyDescent="0.3">
      <c r="A8" s="5" t="s">
        <v>180</v>
      </c>
      <c r="D8" s="4">
        <v>30309</v>
      </c>
      <c r="E8" s="27" t="s">
        <v>31</v>
      </c>
      <c r="H8" s="4">
        <v>4839</v>
      </c>
    </row>
    <row r="9" spans="1:8" ht="18.75" x14ac:dyDescent="0.3">
      <c r="A9" s="5"/>
      <c r="D9" s="4"/>
      <c r="E9" s="27"/>
      <c r="H9" s="4"/>
    </row>
    <row r="10" spans="1:8" ht="18.75" x14ac:dyDescent="0.3">
      <c r="A10" s="5"/>
      <c r="D10" s="4"/>
      <c r="E10" s="27"/>
      <c r="H10" s="4"/>
    </row>
    <row r="11" spans="1:8" ht="18.75" x14ac:dyDescent="0.3">
      <c r="A11" s="5"/>
      <c r="D11" s="4"/>
      <c r="E11" s="27"/>
      <c r="H11" s="4"/>
    </row>
    <row r="12" spans="1:8" ht="18.75" x14ac:dyDescent="0.3">
      <c r="A12" s="5"/>
      <c r="C12" s="3"/>
      <c r="D12" s="30"/>
      <c r="E12" s="27"/>
      <c r="H12" s="30"/>
    </row>
    <row r="13" spans="1:8" ht="18.75" x14ac:dyDescent="0.3">
      <c r="A13" s="5"/>
      <c r="C13" s="3"/>
      <c r="D13" s="31"/>
      <c r="E13" s="27"/>
      <c r="H13" s="31"/>
    </row>
    <row r="14" spans="1:8" ht="19.5" thickBot="1" x14ac:dyDescent="0.35">
      <c r="A14" s="5"/>
      <c r="C14" s="3"/>
      <c r="D14" s="23"/>
      <c r="E14" s="27"/>
      <c r="H14" s="23"/>
    </row>
    <row r="15" spans="1:8" ht="18.75" customHeight="1" x14ac:dyDescent="0.3">
      <c r="D15" s="4">
        <f>SUM(D7:D14)</f>
        <v>30309</v>
      </c>
      <c r="H15" s="4">
        <f>SUM(H7:H14)</f>
        <v>4839</v>
      </c>
    </row>
    <row r="16" spans="1:8" ht="18.75" x14ac:dyDescent="0.3">
      <c r="A16" s="5"/>
      <c r="C16" s="3"/>
      <c r="D16" s="4"/>
      <c r="H16" s="4"/>
    </row>
    <row r="18" spans="1:8" ht="18.75" x14ac:dyDescent="0.3">
      <c r="A18" s="5"/>
      <c r="C18" s="3"/>
      <c r="D18" s="4"/>
      <c r="H18" s="4"/>
    </row>
    <row r="19" spans="1:8" ht="15.75" thickBot="1" x14ac:dyDescent="0.3">
      <c r="D19" s="7"/>
      <c r="H19" s="7"/>
    </row>
    <row r="21" spans="1:8" ht="18.75" x14ac:dyDescent="0.3">
      <c r="C21" t="s">
        <v>4</v>
      </c>
      <c r="D21" s="4">
        <f>D3-D15</f>
        <v>44661</v>
      </c>
      <c r="G21" t="s">
        <v>5</v>
      </c>
      <c r="H21" s="4">
        <f>H3-H15</f>
        <v>7131</v>
      </c>
    </row>
    <row r="24" spans="1:8" ht="15.75" x14ac:dyDescent="0.25">
      <c r="A24" t="s">
        <v>6</v>
      </c>
      <c r="C24" s="8">
        <f>D21</f>
        <v>44661</v>
      </c>
      <c r="E24" t="s">
        <v>10</v>
      </c>
      <c r="H24" s="6">
        <f>C33</f>
        <v>37230.120000000003</v>
      </c>
    </row>
    <row r="26" spans="1:8" ht="15.75" x14ac:dyDescent="0.25">
      <c r="A26" t="s">
        <v>5</v>
      </c>
      <c r="B26" s="9" t="s">
        <v>7</v>
      </c>
      <c r="C26" s="8">
        <f>H21</f>
        <v>7131</v>
      </c>
      <c r="E26" s="13" t="s">
        <v>11</v>
      </c>
      <c r="F26" s="9" t="s">
        <v>12</v>
      </c>
      <c r="G26" s="15" t="s">
        <v>17</v>
      </c>
      <c r="H26" s="3">
        <f>-(F27*0.007)</f>
        <v>-441</v>
      </c>
    </row>
    <row r="27" spans="1:8" x14ac:dyDescent="0.25">
      <c r="F27" s="21">
        <f>D3-H3</f>
        <v>63000</v>
      </c>
    </row>
    <row r="28" spans="1:8" ht="16.5" thickBot="1" x14ac:dyDescent="0.3">
      <c r="A28" t="s">
        <v>8</v>
      </c>
      <c r="B28" s="9" t="s">
        <v>7</v>
      </c>
      <c r="C28" s="8">
        <f>D3*0.004</f>
        <v>299.88</v>
      </c>
      <c r="F28" s="9" t="s">
        <v>13</v>
      </c>
      <c r="G28" s="16">
        <v>0.35</v>
      </c>
      <c r="H28" s="17">
        <f>-(F29*0.35)</f>
        <v>-13030.541999999999</v>
      </c>
    </row>
    <row r="29" spans="1:8" x14ac:dyDescent="0.25">
      <c r="F29" s="21">
        <f>H24</f>
        <v>37230.120000000003</v>
      </c>
    </row>
    <row r="30" spans="1:8" ht="15.75" x14ac:dyDescent="0.25">
      <c r="A30" t="s">
        <v>9</v>
      </c>
      <c r="B30" s="9" t="s">
        <v>7</v>
      </c>
      <c r="C30" s="10"/>
      <c r="G30" s="13" t="s">
        <v>14</v>
      </c>
      <c r="H30" s="6">
        <f>H24+H26+H28</f>
        <v>23758.578000000001</v>
      </c>
    </row>
    <row r="31" spans="1:8" ht="15.75" thickBot="1" x14ac:dyDescent="0.3">
      <c r="A31" s="16"/>
      <c r="B31" s="14"/>
      <c r="C31" s="7"/>
    </row>
    <row r="32" spans="1:8" x14ac:dyDescent="0.25">
      <c r="E32" t="s">
        <v>100</v>
      </c>
      <c r="H32" s="20">
        <f>H30*0.35</f>
        <v>8315.5023000000001</v>
      </c>
    </row>
    <row r="33" spans="1:8" ht="15.75" x14ac:dyDescent="0.25">
      <c r="A33" t="s">
        <v>10</v>
      </c>
      <c r="C33" s="10">
        <f>C24-C26-C28-C30</f>
        <v>37230.120000000003</v>
      </c>
      <c r="H33" s="18"/>
    </row>
    <row r="34" spans="1:8" x14ac:dyDescent="0.25">
      <c r="H34" s="3"/>
    </row>
    <row r="35" spans="1:8" x14ac:dyDescent="0.25">
      <c r="H35" s="18"/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27DE7-ABFD-41CA-A942-256964B805D5}">
  <dimension ref="A1:H35"/>
  <sheetViews>
    <sheetView topLeftCell="A19" workbookViewId="0">
      <selection activeCell="D38" sqref="D38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3.28515625" bestFit="1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183</v>
      </c>
    </row>
    <row r="3" spans="1:8" ht="21" x14ac:dyDescent="0.35">
      <c r="A3" s="2" t="s">
        <v>1</v>
      </c>
      <c r="D3" s="11">
        <v>214200</v>
      </c>
      <c r="F3" s="12" t="s">
        <v>3</v>
      </c>
      <c r="H3" s="11">
        <v>34200</v>
      </c>
    </row>
    <row r="4" spans="1:8" x14ac:dyDescent="0.25">
      <c r="A4" s="13" t="s">
        <v>29</v>
      </c>
      <c r="C4" s="28">
        <v>341</v>
      </c>
    </row>
    <row r="5" spans="1:8" ht="21" x14ac:dyDescent="0.35">
      <c r="A5" s="2" t="s">
        <v>2</v>
      </c>
    </row>
    <row r="7" spans="1:8" ht="18.75" x14ac:dyDescent="0.3">
      <c r="A7" s="5"/>
      <c r="D7" s="4"/>
      <c r="E7" s="27"/>
      <c r="H7" s="4"/>
    </row>
    <row r="8" spans="1:8" ht="18.75" x14ac:dyDescent="0.3">
      <c r="A8" s="5" t="s">
        <v>184</v>
      </c>
      <c r="D8" s="4">
        <v>101745</v>
      </c>
      <c r="E8" s="27" t="s">
        <v>31</v>
      </c>
      <c r="H8" s="4">
        <v>16245</v>
      </c>
    </row>
    <row r="9" spans="1:8" ht="18.75" x14ac:dyDescent="0.3">
      <c r="A9" s="5"/>
      <c r="D9" s="4"/>
      <c r="E9" s="27"/>
      <c r="H9" s="4"/>
    </row>
    <row r="10" spans="1:8" ht="18.75" x14ac:dyDescent="0.3">
      <c r="A10" s="5"/>
      <c r="D10" s="4"/>
      <c r="E10" s="27"/>
      <c r="H10" s="4"/>
    </row>
    <row r="11" spans="1:8" ht="18.75" x14ac:dyDescent="0.3">
      <c r="A11" s="5"/>
      <c r="D11" s="4"/>
      <c r="E11" s="27"/>
      <c r="H11" s="4"/>
    </row>
    <row r="12" spans="1:8" ht="18.75" x14ac:dyDescent="0.3">
      <c r="A12" s="5"/>
      <c r="C12" s="3"/>
      <c r="D12" s="30"/>
      <c r="E12" s="27"/>
      <c r="H12" s="30"/>
    </row>
    <row r="13" spans="1:8" ht="18.75" x14ac:dyDescent="0.3">
      <c r="A13" s="5"/>
      <c r="C13" s="3"/>
      <c r="D13" s="31"/>
      <c r="E13" s="27"/>
      <c r="H13" s="31"/>
    </row>
    <row r="14" spans="1:8" ht="19.5" thickBot="1" x14ac:dyDescent="0.35">
      <c r="A14" s="5"/>
      <c r="C14" s="3"/>
      <c r="D14" s="23"/>
      <c r="E14" s="27"/>
      <c r="H14" s="23"/>
    </row>
    <row r="15" spans="1:8" ht="18.75" customHeight="1" x14ac:dyDescent="0.3">
      <c r="D15" s="4">
        <f>SUM(D7:D14)</f>
        <v>101745</v>
      </c>
      <c r="H15" s="4">
        <f>SUM(H7:H14)</f>
        <v>16245</v>
      </c>
    </row>
    <row r="16" spans="1:8" ht="18.75" x14ac:dyDescent="0.3">
      <c r="A16" s="5"/>
      <c r="C16" s="3"/>
      <c r="D16" s="4"/>
      <c r="H16" s="4"/>
    </row>
    <row r="18" spans="1:8" ht="18.75" x14ac:dyDescent="0.3">
      <c r="A18" s="5"/>
      <c r="C18" s="3"/>
      <c r="D18" s="4"/>
      <c r="H18" s="4"/>
    </row>
    <row r="19" spans="1:8" ht="15.75" thickBot="1" x14ac:dyDescent="0.3">
      <c r="D19" s="7"/>
      <c r="H19" s="7"/>
    </row>
    <row r="21" spans="1:8" ht="18.75" x14ac:dyDescent="0.3">
      <c r="C21" t="s">
        <v>4</v>
      </c>
      <c r="D21" s="4">
        <f>D3-D15</f>
        <v>112455</v>
      </c>
      <c r="G21" t="s">
        <v>5</v>
      </c>
      <c r="H21" s="4">
        <f>H3-H15</f>
        <v>17955</v>
      </c>
    </row>
    <row r="24" spans="1:8" ht="15.75" x14ac:dyDescent="0.25">
      <c r="A24" t="s">
        <v>6</v>
      </c>
      <c r="C24" s="8">
        <f>D21</f>
        <v>112455</v>
      </c>
      <c r="E24" t="s">
        <v>10</v>
      </c>
      <c r="H24" s="6">
        <f>C33</f>
        <v>68643.199999999997</v>
      </c>
    </row>
    <row r="26" spans="1:8" ht="15.75" x14ac:dyDescent="0.25">
      <c r="A26" t="s">
        <v>5</v>
      </c>
      <c r="B26" s="9" t="s">
        <v>7</v>
      </c>
      <c r="C26" s="8">
        <f>H21</f>
        <v>17955</v>
      </c>
      <c r="E26" s="13" t="s">
        <v>11</v>
      </c>
      <c r="F26" s="9" t="s">
        <v>12</v>
      </c>
      <c r="G26" s="15" t="s">
        <v>17</v>
      </c>
      <c r="H26" s="3">
        <f>-(F27*0.007)</f>
        <v>-1260</v>
      </c>
    </row>
    <row r="27" spans="1:8" x14ac:dyDescent="0.25">
      <c r="F27" s="21">
        <f>D3-H3</f>
        <v>180000</v>
      </c>
    </row>
    <row r="28" spans="1:8" ht="16.5" thickBot="1" x14ac:dyDescent="0.3">
      <c r="A28" t="s">
        <v>8</v>
      </c>
      <c r="B28" s="9" t="s">
        <v>7</v>
      </c>
      <c r="C28" s="8">
        <f>D3*0.004</f>
        <v>856.80000000000007</v>
      </c>
      <c r="F28" s="9" t="s">
        <v>13</v>
      </c>
      <c r="G28" s="16">
        <v>0.35</v>
      </c>
      <c r="H28" s="17">
        <f>-(F29*0.35)</f>
        <v>-24025.119999999999</v>
      </c>
    </row>
    <row r="29" spans="1:8" x14ac:dyDescent="0.25">
      <c r="F29" s="21">
        <f>H24</f>
        <v>68643.199999999997</v>
      </c>
    </row>
    <row r="30" spans="1:8" ht="15.75" x14ac:dyDescent="0.25">
      <c r="A30" t="s">
        <v>9</v>
      </c>
      <c r="B30" s="9" t="s">
        <v>7</v>
      </c>
      <c r="C30" s="10">
        <v>25000</v>
      </c>
      <c r="G30" s="13" t="s">
        <v>14</v>
      </c>
      <c r="H30" s="6">
        <f>H24+H26+H28</f>
        <v>43358.080000000002</v>
      </c>
    </row>
    <row r="31" spans="1:8" ht="15.75" thickBot="1" x14ac:dyDescent="0.3">
      <c r="A31" s="16" t="s">
        <v>185</v>
      </c>
      <c r="B31" s="14"/>
      <c r="C31" s="7"/>
    </row>
    <row r="32" spans="1:8" x14ac:dyDescent="0.25">
      <c r="E32" t="s">
        <v>100</v>
      </c>
      <c r="H32" s="20">
        <f>H30*0.35</f>
        <v>15175.328</v>
      </c>
    </row>
    <row r="33" spans="1:8" ht="15.75" x14ac:dyDescent="0.25">
      <c r="A33" t="s">
        <v>10</v>
      </c>
      <c r="C33" s="10">
        <f>C24-C26-C28-C30</f>
        <v>68643.199999999997</v>
      </c>
      <c r="H33" s="18"/>
    </row>
    <row r="34" spans="1:8" x14ac:dyDescent="0.25">
      <c r="H34" s="3"/>
    </row>
    <row r="35" spans="1:8" x14ac:dyDescent="0.25">
      <c r="H35" s="18"/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23F69-8635-476C-A7A2-C75E8E72BD25}">
  <dimension ref="A1:H35"/>
  <sheetViews>
    <sheetView topLeftCell="A13"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3.28515625" bestFit="1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186</v>
      </c>
    </row>
    <row r="3" spans="1:8" ht="21" x14ac:dyDescent="0.35">
      <c r="A3" s="2" t="s">
        <v>1</v>
      </c>
      <c r="D3" s="11">
        <v>686154</v>
      </c>
      <c r="F3" s="12" t="s">
        <v>3</v>
      </c>
      <c r="H3" s="11">
        <v>109554</v>
      </c>
    </row>
    <row r="4" spans="1:8" x14ac:dyDescent="0.25">
      <c r="A4" s="13" t="s">
        <v>29</v>
      </c>
      <c r="C4" s="28">
        <v>344</v>
      </c>
    </row>
    <row r="5" spans="1:8" ht="21" x14ac:dyDescent="0.35">
      <c r="A5" s="2" t="s">
        <v>2</v>
      </c>
    </row>
    <row r="7" spans="1:8" ht="18.75" x14ac:dyDescent="0.3">
      <c r="A7" s="5"/>
      <c r="D7" s="4"/>
      <c r="E7" s="27"/>
      <c r="H7" s="4"/>
    </row>
    <row r="8" spans="1:8" ht="18.75" x14ac:dyDescent="0.3">
      <c r="A8" s="5" t="s">
        <v>187</v>
      </c>
      <c r="D8" s="4">
        <v>577150</v>
      </c>
      <c r="E8" s="27" t="s">
        <v>31</v>
      </c>
      <c r="H8" s="4">
        <v>92150</v>
      </c>
    </row>
    <row r="9" spans="1:8" ht="18.75" x14ac:dyDescent="0.3">
      <c r="A9" s="5" t="s">
        <v>188</v>
      </c>
      <c r="D9" s="4">
        <v>30000</v>
      </c>
      <c r="E9" s="27"/>
      <c r="H9" s="4"/>
    </row>
    <row r="10" spans="1:8" ht="18.75" x14ac:dyDescent="0.3">
      <c r="A10" s="5"/>
      <c r="D10" s="4"/>
      <c r="E10" s="27"/>
      <c r="H10" s="4"/>
    </row>
    <row r="11" spans="1:8" ht="18.75" x14ac:dyDescent="0.3">
      <c r="A11" s="5"/>
      <c r="D11" s="4"/>
      <c r="E11" s="27"/>
      <c r="H11" s="4"/>
    </row>
    <row r="12" spans="1:8" ht="18.75" x14ac:dyDescent="0.3">
      <c r="A12" s="5"/>
      <c r="C12" s="3"/>
      <c r="D12" s="30"/>
      <c r="E12" s="27"/>
      <c r="H12" s="30"/>
    </row>
    <row r="13" spans="1:8" ht="18.75" x14ac:dyDescent="0.3">
      <c r="A13" s="5"/>
      <c r="C13" s="3"/>
      <c r="D13" s="31"/>
      <c r="E13" s="27"/>
      <c r="H13" s="31"/>
    </row>
    <row r="14" spans="1:8" ht="19.5" thickBot="1" x14ac:dyDescent="0.35">
      <c r="A14" s="5"/>
      <c r="C14" s="3"/>
      <c r="D14" s="23"/>
      <c r="E14" s="27"/>
      <c r="H14" s="23"/>
    </row>
    <row r="15" spans="1:8" ht="18.75" customHeight="1" x14ac:dyDescent="0.3">
      <c r="D15" s="4">
        <f>SUM(D7:D14)</f>
        <v>607150</v>
      </c>
      <c r="H15" s="4">
        <f>SUM(H7:H14)</f>
        <v>92150</v>
      </c>
    </row>
    <row r="16" spans="1:8" ht="18.75" x14ac:dyDescent="0.3">
      <c r="A16" s="5"/>
      <c r="C16" s="3"/>
      <c r="D16" s="4"/>
      <c r="H16" s="4"/>
    </row>
    <row r="18" spans="1:8" ht="18.75" x14ac:dyDescent="0.3">
      <c r="A18" s="5"/>
      <c r="C18" s="3"/>
      <c r="D18" s="4"/>
      <c r="H18" s="4"/>
    </row>
    <row r="19" spans="1:8" ht="15.75" thickBot="1" x14ac:dyDescent="0.3">
      <c r="D19" s="7"/>
      <c r="H19" s="7"/>
    </row>
    <row r="21" spans="1:8" ht="18.75" x14ac:dyDescent="0.3">
      <c r="C21" t="s">
        <v>4</v>
      </c>
      <c r="D21" s="4">
        <f>D3-D15</f>
        <v>79004</v>
      </c>
      <c r="G21" t="s">
        <v>5</v>
      </c>
      <c r="H21" s="4">
        <f>H3-H15</f>
        <v>17404</v>
      </c>
    </row>
    <row r="24" spans="1:8" ht="15.75" x14ac:dyDescent="0.25">
      <c r="A24" t="s">
        <v>6</v>
      </c>
      <c r="C24" s="8">
        <f>D21</f>
        <v>79004</v>
      </c>
      <c r="E24" t="s">
        <v>10</v>
      </c>
      <c r="H24" s="6">
        <f>C33</f>
        <v>58855.383999999998</v>
      </c>
    </row>
    <row r="26" spans="1:8" ht="15.75" x14ac:dyDescent="0.25">
      <c r="A26" t="s">
        <v>5</v>
      </c>
      <c r="B26" s="9" t="s">
        <v>7</v>
      </c>
      <c r="C26" s="8">
        <f>H21</f>
        <v>17404</v>
      </c>
      <c r="E26" s="13" t="s">
        <v>11</v>
      </c>
      <c r="F26" s="9" t="s">
        <v>12</v>
      </c>
      <c r="G26" s="15" t="s">
        <v>17</v>
      </c>
      <c r="H26" s="3">
        <f>-(F27*0.007)</f>
        <v>-4036.2000000000003</v>
      </c>
    </row>
    <row r="27" spans="1:8" x14ac:dyDescent="0.25">
      <c r="F27" s="21">
        <f>D3-H3</f>
        <v>576600</v>
      </c>
    </row>
    <row r="28" spans="1:8" ht="16.5" thickBot="1" x14ac:dyDescent="0.3">
      <c r="A28" t="s">
        <v>8</v>
      </c>
      <c r="B28" s="9" t="s">
        <v>7</v>
      </c>
      <c r="C28" s="8">
        <f>D3*0.004</f>
        <v>2744.616</v>
      </c>
      <c r="F28" s="9" t="s">
        <v>13</v>
      </c>
      <c r="G28" s="16">
        <v>0.35</v>
      </c>
      <c r="H28" s="17">
        <f>-(F29*0.35)</f>
        <v>-20599.384399999999</v>
      </c>
    </row>
    <row r="29" spans="1:8" x14ac:dyDescent="0.25">
      <c r="F29" s="21">
        <f>H24</f>
        <v>58855.383999999998</v>
      </c>
    </row>
    <row r="30" spans="1:8" ht="15.75" x14ac:dyDescent="0.25">
      <c r="A30" t="s">
        <v>9</v>
      </c>
      <c r="B30" s="9" t="s">
        <v>7</v>
      </c>
      <c r="C30" s="10"/>
      <c r="G30" s="13" t="s">
        <v>14</v>
      </c>
      <c r="H30" s="6">
        <f>H24+H26+H28</f>
        <v>34219.799599999998</v>
      </c>
    </row>
    <row r="31" spans="1:8" ht="15.75" thickBot="1" x14ac:dyDescent="0.3">
      <c r="A31" s="16"/>
      <c r="B31" s="14"/>
      <c r="C31" s="7"/>
    </row>
    <row r="32" spans="1:8" x14ac:dyDescent="0.25">
      <c r="E32" t="s">
        <v>100</v>
      </c>
      <c r="H32" s="20">
        <f>H30*0.35</f>
        <v>11976.929859999998</v>
      </c>
    </row>
    <row r="33" spans="1:8" ht="15.75" x14ac:dyDescent="0.25">
      <c r="A33" t="s">
        <v>10</v>
      </c>
      <c r="C33" s="10">
        <f>C24-C26-C28-C30</f>
        <v>58855.383999999998</v>
      </c>
      <c r="H33" s="18"/>
    </row>
    <row r="34" spans="1:8" x14ac:dyDescent="0.25">
      <c r="H34" s="3"/>
    </row>
    <row r="35" spans="1:8" x14ac:dyDescent="0.25">
      <c r="H35" s="18"/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308F7-A2DC-466B-88EE-24359F371AE4}">
  <dimension ref="A1:H35"/>
  <sheetViews>
    <sheetView topLeftCell="A10" workbookViewId="0">
      <selection activeCell="J21" sqref="J21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3.28515625" bestFit="1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189</v>
      </c>
    </row>
    <row r="3" spans="1:8" ht="21" x14ac:dyDescent="0.35">
      <c r="A3" s="2" t="s">
        <v>1</v>
      </c>
      <c r="D3" s="11">
        <v>1520049</v>
      </c>
      <c r="F3" s="12" t="s">
        <v>3</v>
      </c>
      <c r="H3" s="11">
        <v>247906</v>
      </c>
    </row>
    <row r="4" spans="1:8" x14ac:dyDescent="0.25">
      <c r="A4" s="13" t="s">
        <v>29</v>
      </c>
      <c r="C4" s="28">
        <v>347</v>
      </c>
    </row>
    <row r="5" spans="1:8" ht="21" x14ac:dyDescent="0.35">
      <c r="A5" s="2" t="s">
        <v>2</v>
      </c>
    </row>
    <row r="7" spans="1:8" ht="18.75" x14ac:dyDescent="0.3">
      <c r="A7" s="5"/>
      <c r="D7" s="4"/>
      <c r="E7" s="27"/>
      <c r="H7" s="4"/>
    </row>
    <row r="8" spans="1:8" ht="18.75" x14ac:dyDescent="0.3">
      <c r="A8" s="5" t="s">
        <v>190</v>
      </c>
      <c r="D8" s="4">
        <v>148280</v>
      </c>
      <c r="E8" s="27" t="s">
        <v>31</v>
      </c>
      <c r="H8" s="4">
        <v>23675</v>
      </c>
    </row>
    <row r="9" spans="1:8" ht="18.75" x14ac:dyDescent="0.3">
      <c r="A9" s="5" t="s">
        <v>191</v>
      </c>
      <c r="D9" s="4">
        <v>116177</v>
      </c>
      <c r="E9" s="27"/>
      <c r="H9" s="4">
        <v>18549</v>
      </c>
    </row>
    <row r="10" spans="1:8" ht="18.75" x14ac:dyDescent="0.3">
      <c r="A10" s="5" t="s">
        <v>192</v>
      </c>
      <c r="D10" s="4">
        <v>42602</v>
      </c>
      <c r="E10" s="27"/>
      <c r="H10" s="4">
        <v>6802</v>
      </c>
    </row>
    <row r="11" spans="1:8" ht="18.75" x14ac:dyDescent="0.3">
      <c r="A11" s="5" t="s">
        <v>193</v>
      </c>
      <c r="D11" s="4">
        <v>85252</v>
      </c>
      <c r="E11" s="27"/>
      <c r="H11" s="4">
        <v>13612</v>
      </c>
    </row>
    <row r="12" spans="1:8" ht="18.75" x14ac:dyDescent="0.3">
      <c r="A12" s="5" t="s">
        <v>194</v>
      </c>
      <c r="C12" s="3"/>
      <c r="D12" s="30">
        <v>17731</v>
      </c>
      <c r="E12" s="27"/>
      <c r="H12" s="30">
        <v>2831</v>
      </c>
    </row>
    <row r="13" spans="1:8" ht="18.75" x14ac:dyDescent="0.3">
      <c r="A13" s="5" t="s">
        <v>195</v>
      </c>
      <c r="C13" s="3"/>
      <c r="D13" s="31">
        <v>874267</v>
      </c>
      <c r="E13" s="27"/>
      <c r="H13" s="31">
        <v>139589</v>
      </c>
    </row>
    <row r="14" spans="1:8" ht="19.5" thickBot="1" x14ac:dyDescent="0.35">
      <c r="A14" s="5"/>
      <c r="C14" s="3"/>
      <c r="D14" s="23"/>
      <c r="E14" s="27"/>
      <c r="H14" s="23"/>
    </row>
    <row r="15" spans="1:8" ht="18.75" customHeight="1" x14ac:dyDescent="0.3">
      <c r="D15" s="4">
        <f>SUM(D7:D14)</f>
        <v>1284309</v>
      </c>
      <c r="H15" s="4">
        <f>SUM(H7:H14)</f>
        <v>205058</v>
      </c>
    </row>
    <row r="16" spans="1:8" ht="18.75" x14ac:dyDescent="0.3">
      <c r="A16" s="5"/>
      <c r="C16" s="3"/>
      <c r="D16" s="4"/>
      <c r="H16" s="4"/>
    </row>
    <row r="18" spans="1:8" ht="18.75" x14ac:dyDescent="0.3">
      <c r="A18" s="5"/>
      <c r="C18" s="3"/>
      <c r="D18" s="4"/>
      <c r="H18" s="4"/>
    </row>
    <row r="19" spans="1:8" ht="15.75" thickBot="1" x14ac:dyDescent="0.3">
      <c r="D19" s="7"/>
      <c r="H19" s="7"/>
    </row>
    <row r="21" spans="1:8" ht="18.75" x14ac:dyDescent="0.3">
      <c r="C21" t="s">
        <v>4</v>
      </c>
      <c r="D21" s="4">
        <f>D3-D15</f>
        <v>235740</v>
      </c>
      <c r="G21" t="s">
        <v>5</v>
      </c>
      <c r="H21" s="4">
        <f>H3-H15</f>
        <v>42848</v>
      </c>
    </row>
    <row r="24" spans="1:8" ht="15.75" x14ac:dyDescent="0.25">
      <c r="A24" t="s">
        <v>6</v>
      </c>
      <c r="C24" s="8">
        <f>D21</f>
        <v>235740</v>
      </c>
      <c r="E24" t="s">
        <v>10</v>
      </c>
      <c r="H24" s="6">
        <f>C33</f>
        <v>186811.804</v>
      </c>
    </row>
    <row r="26" spans="1:8" ht="15.75" x14ac:dyDescent="0.25">
      <c r="A26" t="s">
        <v>5</v>
      </c>
      <c r="B26" s="9" t="s">
        <v>7</v>
      </c>
      <c r="C26" s="8">
        <f>H21</f>
        <v>42848</v>
      </c>
      <c r="E26" s="13" t="s">
        <v>11</v>
      </c>
      <c r="F26" s="9" t="s">
        <v>12</v>
      </c>
      <c r="G26" s="15" t="s">
        <v>17</v>
      </c>
      <c r="H26" s="3">
        <f>-(F27*0.007)</f>
        <v>-8905.0010000000002</v>
      </c>
    </row>
    <row r="27" spans="1:8" x14ac:dyDescent="0.25">
      <c r="F27" s="21">
        <f>D3-H3</f>
        <v>1272143</v>
      </c>
    </row>
    <row r="28" spans="1:8" ht="16.5" thickBot="1" x14ac:dyDescent="0.3">
      <c r="A28" t="s">
        <v>8</v>
      </c>
      <c r="B28" s="9" t="s">
        <v>7</v>
      </c>
      <c r="C28" s="8">
        <f>D3*0.004</f>
        <v>6080.1959999999999</v>
      </c>
      <c r="F28" s="9" t="s">
        <v>13</v>
      </c>
      <c r="G28" s="16">
        <v>0.35</v>
      </c>
      <c r="H28" s="17">
        <f>-(F29*0.35)</f>
        <v>-65384.131399999998</v>
      </c>
    </row>
    <row r="29" spans="1:8" x14ac:dyDescent="0.25">
      <c r="F29" s="21">
        <f>H24</f>
        <v>186811.804</v>
      </c>
    </row>
    <row r="30" spans="1:8" ht="15.75" x14ac:dyDescent="0.25">
      <c r="A30" t="s">
        <v>9</v>
      </c>
      <c r="B30" s="9" t="s">
        <v>7</v>
      </c>
      <c r="C30" s="10"/>
      <c r="G30" s="13" t="s">
        <v>14</v>
      </c>
      <c r="H30" s="6">
        <f>H24+H26+H28</f>
        <v>112522.67160000002</v>
      </c>
    </row>
    <row r="31" spans="1:8" ht="15.75" thickBot="1" x14ac:dyDescent="0.3">
      <c r="A31" s="16"/>
      <c r="B31" s="14"/>
      <c r="C31" s="7"/>
    </row>
    <row r="32" spans="1:8" x14ac:dyDescent="0.25">
      <c r="E32" t="s">
        <v>100</v>
      </c>
      <c r="H32" s="20">
        <f>H30*0.35</f>
        <v>39382.935060000003</v>
      </c>
    </row>
    <row r="33" spans="1:8" ht="15.75" x14ac:dyDescent="0.25">
      <c r="A33" t="s">
        <v>10</v>
      </c>
      <c r="C33" s="10">
        <f>C24-C26-C28-C30</f>
        <v>186811.804</v>
      </c>
      <c r="H33" s="18"/>
    </row>
    <row r="34" spans="1:8" x14ac:dyDescent="0.25">
      <c r="H34" s="3"/>
    </row>
    <row r="35" spans="1:8" x14ac:dyDescent="0.25">
      <c r="H35" s="18"/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2A5E5-A1DE-477B-A063-02728B672B9C}">
  <dimension ref="A1:H35"/>
  <sheetViews>
    <sheetView topLeftCell="A13" workbookViewId="0">
      <selection activeCell="D8" sqref="D8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3.28515625" bestFit="1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198</v>
      </c>
    </row>
    <row r="3" spans="1:8" ht="21" x14ac:dyDescent="0.35">
      <c r="A3" s="2" t="s">
        <v>1</v>
      </c>
      <c r="D3" s="11">
        <v>166600</v>
      </c>
      <c r="F3" s="12" t="s">
        <v>3</v>
      </c>
      <c r="H3" s="11">
        <v>26600</v>
      </c>
    </row>
    <row r="4" spans="1:8" x14ac:dyDescent="0.25">
      <c r="A4" s="13" t="s">
        <v>29</v>
      </c>
      <c r="C4" s="28">
        <v>348</v>
      </c>
    </row>
    <row r="5" spans="1:8" ht="21" x14ac:dyDescent="0.35">
      <c r="A5" s="2" t="s">
        <v>2</v>
      </c>
    </row>
    <row r="7" spans="1:8" ht="18.75" x14ac:dyDescent="0.3">
      <c r="A7" s="5" t="s">
        <v>167</v>
      </c>
      <c r="D7" s="4">
        <v>115000</v>
      </c>
      <c r="E7" s="27"/>
      <c r="H7" s="4">
        <v>12916</v>
      </c>
    </row>
    <row r="8" spans="1:8" ht="18.75" x14ac:dyDescent="0.3">
      <c r="A8" s="5" t="s">
        <v>51</v>
      </c>
      <c r="D8" s="4"/>
      <c r="E8" s="27"/>
      <c r="H8" s="4"/>
    </row>
    <row r="9" spans="1:8" ht="18.75" x14ac:dyDescent="0.3">
      <c r="A9" s="5"/>
      <c r="D9" s="4"/>
      <c r="E9" s="27"/>
      <c r="H9" s="4"/>
    </row>
    <row r="10" spans="1:8" ht="18.75" x14ac:dyDescent="0.3">
      <c r="A10" s="5"/>
      <c r="D10" s="4"/>
      <c r="E10" s="27"/>
      <c r="H10" s="4"/>
    </row>
    <row r="11" spans="1:8" ht="18.75" x14ac:dyDescent="0.3">
      <c r="A11" s="5"/>
      <c r="D11" s="4"/>
      <c r="E11" s="27"/>
      <c r="H11" s="4"/>
    </row>
    <row r="12" spans="1:8" ht="18.75" x14ac:dyDescent="0.3">
      <c r="A12" s="5"/>
      <c r="C12" s="3"/>
      <c r="D12" s="30"/>
      <c r="E12" s="27"/>
      <c r="H12" s="30"/>
    </row>
    <row r="13" spans="1:8" ht="18.75" x14ac:dyDescent="0.3">
      <c r="A13" s="5"/>
      <c r="C13" s="3"/>
      <c r="D13" s="31"/>
      <c r="E13" s="27"/>
      <c r="H13" s="31"/>
    </row>
    <row r="14" spans="1:8" ht="19.5" thickBot="1" x14ac:dyDescent="0.35">
      <c r="A14" s="5"/>
      <c r="C14" s="3"/>
      <c r="D14" s="23"/>
      <c r="E14" s="27"/>
      <c r="H14" s="23"/>
    </row>
    <row r="15" spans="1:8" ht="18.75" customHeight="1" x14ac:dyDescent="0.3">
      <c r="D15" s="4">
        <f>SUM(D7:D14)</f>
        <v>115000</v>
      </c>
      <c r="H15" s="4">
        <f>SUM(H7:H14)</f>
        <v>12916</v>
      </c>
    </row>
    <row r="16" spans="1:8" ht="18.75" x14ac:dyDescent="0.3">
      <c r="A16" s="5"/>
      <c r="C16" s="3"/>
      <c r="D16" s="4"/>
      <c r="H16" s="4"/>
    </row>
    <row r="18" spans="1:8" ht="18.75" x14ac:dyDescent="0.3">
      <c r="A18" s="5"/>
      <c r="C18" s="3"/>
      <c r="D18" s="4"/>
      <c r="H18" s="4"/>
    </row>
    <row r="19" spans="1:8" ht="15.75" thickBot="1" x14ac:dyDescent="0.3">
      <c r="D19" s="7"/>
      <c r="H19" s="7"/>
    </row>
    <row r="21" spans="1:8" ht="18.75" x14ac:dyDescent="0.3">
      <c r="C21" t="s">
        <v>4</v>
      </c>
      <c r="D21" s="4">
        <f>D3-D15</f>
        <v>51600</v>
      </c>
      <c r="G21" t="s">
        <v>5</v>
      </c>
      <c r="H21" s="4">
        <f>H3-H15</f>
        <v>13684</v>
      </c>
    </row>
    <row r="24" spans="1:8" ht="15.75" x14ac:dyDescent="0.25">
      <c r="A24" t="s">
        <v>6</v>
      </c>
      <c r="C24" s="8">
        <f>D21</f>
        <v>51600</v>
      </c>
      <c r="E24" t="s">
        <v>10</v>
      </c>
      <c r="H24" s="6">
        <f>C33</f>
        <v>37249.599999999999</v>
      </c>
    </row>
    <row r="26" spans="1:8" ht="15.75" x14ac:dyDescent="0.25">
      <c r="A26" t="s">
        <v>5</v>
      </c>
      <c r="B26" s="9" t="s">
        <v>7</v>
      </c>
      <c r="C26" s="8">
        <f>H21</f>
        <v>13684</v>
      </c>
      <c r="E26" s="13" t="s">
        <v>11</v>
      </c>
      <c r="F26" s="9" t="s">
        <v>12</v>
      </c>
      <c r="G26" s="15" t="s">
        <v>17</v>
      </c>
      <c r="H26" s="3">
        <f>-(F27*0.007)</f>
        <v>-980</v>
      </c>
    </row>
    <row r="27" spans="1:8" x14ac:dyDescent="0.25">
      <c r="F27" s="21">
        <f>D3-H3</f>
        <v>140000</v>
      </c>
    </row>
    <row r="28" spans="1:8" ht="16.5" thickBot="1" x14ac:dyDescent="0.3">
      <c r="A28" t="s">
        <v>8</v>
      </c>
      <c r="B28" s="9" t="s">
        <v>7</v>
      </c>
      <c r="C28" s="8">
        <f>D3*0.004</f>
        <v>666.4</v>
      </c>
      <c r="F28" s="9" t="s">
        <v>13</v>
      </c>
      <c r="G28" s="16">
        <v>0.35</v>
      </c>
      <c r="H28" s="17">
        <f>-(F29*0.35)</f>
        <v>-13037.359999999999</v>
      </c>
    </row>
    <row r="29" spans="1:8" x14ac:dyDescent="0.25">
      <c r="F29" s="21">
        <f>H24</f>
        <v>37249.599999999999</v>
      </c>
    </row>
    <row r="30" spans="1:8" ht="15.75" x14ac:dyDescent="0.25">
      <c r="A30" t="s">
        <v>9</v>
      </c>
      <c r="B30" s="9" t="s">
        <v>7</v>
      </c>
      <c r="C30" s="10"/>
      <c r="G30" s="13" t="s">
        <v>14</v>
      </c>
      <c r="H30" s="6">
        <f>H24+H26+H28</f>
        <v>23232.239999999998</v>
      </c>
    </row>
    <row r="31" spans="1:8" ht="15.75" thickBot="1" x14ac:dyDescent="0.3">
      <c r="A31" s="16"/>
      <c r="B31" s="14"/>
      <c r="C31" s="7"/>
    </row>
    <row r="32" spans="1:8" x14ac:dyDescent="0.25">
      <c r="E32" t="s">
        <v>100</v>
      </c>
      <c r="H32" s="20">
        <f>H30*0.35</f>
        <v>8131.2839999999987</v>
      </c>
    </row>
    <row r="33" spans="1:8" ht="15.75" x14ac:dyDescent="0.25">
      <c r="A33" t="s">
        <v>10</v>
      </c>
      <c r="C33" s="10">
        <f>C24-C26-C28-C30</f>
        <v>37249.599999999999</v>
      </c>
      <c r="H33" s="18"/>
    </row>
    <row r="34" spans="1:8" x14ac:dyDescent="0.25">
      <c r="H34" s="3"/>
    </row>
    <row r="35" spans="1:8" x14ac:dyDescent="0.25">
      <c r="H35" s="18"/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AB060-EC9D-40D3-8A28-5DFAA805CE4A}">
  <dimension ref="A1:H35"/>
  <sheetViews>
    <sheetView topLeftCell="A10"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3.28515625" bestFit="1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196</v>
      </c>
    </row>
    <row r="3" spans="1:8" ht="21" x14ac:dyDescent="0.35">
      <c r="A3" s="2" t="s">
        <v>1</v>
      </c>
      <c r="D3" s="11">
        <v>124950</v>
      </c>
      <c r="F3" s="12" t="s">
        <v>3</v>
      </c>
      <c r="H3" s="11">
        <v>19950</v>
      </c>
    </row>
    <row r="4" spans="1:8" x14ac:dyDescent="0.25">
      <c r="A4" s="13" t="s">
        <v>29</v>
      </c>
      <c r="C4" s="28">
        <v>350</v>
      </c>
    </row>
    <row r="5" spans="1:8" ht="21" x14ac:dyDescent="0.35">
      <c r="A5" s="2" t="s">
        <v>2</v>
      </c>
    </row>
    <row r="7" spans="1:8" ht="18.75" x14ac:dyDescent="0.3">
      <c r="A7" s="5" t="s">
        <v>197</v>
      </c>
      <c r="D7" s="4">
        <v>77497</v>
      </c>
      <c r="E7" s="27"/>
      <c r="H7" s="4">
        <v>12916</v>
      </c>
    </row>
    <row r="8" spans="1:8" ht="18.75" x14ac:dyDescent="0.3">
      <c r="A8" s="5" t="s">
        <v>51</v>
      </c>
      <c r="D8" s="4">
        <v>10000</v>
      </c>
      <c r="E8" s="27"/>
      <c r="H8" s="4"/>
    </row>
    <row r="9" spans="1:8" ht="18.75" x14ac:dyDescent="0.3">
      <c r="A9" s="5"/>
      <c r="D9" s="4"/>
      <c r="E9" s="27"/>
      <c r="H9" s="4"/>
    </row>
    <row r="10" spans="1:8" ht="18.75" x14ac:dyDescent="0.3">
      <c r="A10" s="5"/>
      <c r="D10" s="4"/>
      <c r="E10" s="27"/>
      <c r="H10" s="4"/>
    </row>
    <row r="11" spans="1:8" ht="18.75" x14ac:dyDescent="0.3">
      <c r="A11" s="5"/>
      <c r="D11" s="4"/>
      <c r="E11" s="27"/>
      <c r="H11" s="4"/>
    </row>
    <row r="12" spans="1:8" ht="18.75" x14ac:dyDescent="0.3">
      <c r="A12" s="5"/>
      <c r="C12" s="3"/>
      <c r="D12" s="30"/>
      <c r="E12" s="27"/>
      <c r="H12" s="30"/>
    </row>
    <row r="13" spans="1:8" ht="18.75" x14ac:dyDescent="0.3">
      <c r="A13" s="5"/>
      <c r="C13" s="3"/>
      <c r="D13" s="31"/>
      <c r="E13" s="27"/>
      <c r="H13" s="31"/>
    </row>
    <row r="14" spans="1:8" ht="19.5" thickBot="1" x14ac:dyDescent="0.35">
      <c r="A14" s="5"/>
      <c r="C14" s="3"/>
      <c r="D14" s="23"/>
      <c r="E14" s="27"/>
      <c r="H14" s="23"/>
    </row>
    <row r="15" spans="1:8" ht="18.75" customHeight="1" x14ac:dyDescent="0.3">
      <c r="D15" s="4">
        <f>SUM(D7:D14)</f>
        <v>87497</v>
      </c>
      <c r="H15" s="4">
        <f>SUM(H7:H14)</f>
        <v>12916</v>
      </c>
    </row>
    <row r="16" spans="1:8" ht="18.75" x14ac:dyDescent="0.3">
      <c r="A16" s="5"/>
      <c r="C16" s="3"/>
      <c r="D16" s="4"/>
      <c r="H16" s="4"/>
    </row>
    <row r="18" spans="1:8" ht="18.75" x14ac:dyDescent="0.3">
      <c r="A18" s="5"/>
      <c r="C18" s="3"/>
      <c r="D18" s="4"/>
      <c r="H18" s="4"/>
    </row>
    <row r="19" spans="1:8" ht="15.75" thickBot="1" x14ac:dyDescent="0.3">
      <c r="D19" s="7"/>
      <c r="H19" s="7"/>
    </row>
    <row r="21" spans="1:8" ht="18.75" x14ac:dyDescent="0.3">
      <c r="C21" t="s">
        <v>4</v>
      </c>
      <c r="D21" s="4">
        <f>D3-D15</f>
        <v>37453</v>
      </c>
      <c r="G21" t="s">
        <v>5</v>
      </c>
      <c r="H21" s="4">
        <f>H3-H15</f>
        <v>7034</v>
      </c>
    </row>
    <row r="24" spans="1:8" ht="15.75" x14ac:dyDescent="0.25">
      <c r="A24" t="s">
        <v>6</v>
      </c>
      <c r="C24" s="8">
        <f>D21</f>
        <v>37453</v>
      </c>
      <c r="E24" t="s">
        <v>10</v>
      </c>
      <c r="H24" s="6">
        <f>C33</f>
        <v>29919.200000000001</v>
      </c>
    </row>
    <row r="26" spans="1:8" ht="15.75" x14ac:dyDescent="0.25">
      <c r="A26" t="s">
        <v>5</v>
      </c>
      <c r="B26" s="9" t="s">
        <v>7</v>
      </c>
      <c r="C26" s="8">
        <f>H21</f>
        <v>7034</v>
      </c>
      <c r="E26" s="13" t="s">
        <v>11</v>
      </c>
      <c r="F26" s="9" t="s">
        <v>12</v>
      </c>
      <c r="G26" s="15" t="s">
        <v>17</v>
      </c>
      <c r="H26" s="3">
        <f>-(F27*0.007)</f>
        <v>-735</v>
      </c>
    </row>
    <row r="27" spans="1:8" x14ac:dyDescent="0.25">
      <c r="F27" s="21">
        <f>D3-H3</f>
        <v>105000</v>
      </c>
    </row>
    <row r="28" spans="1:8" ht="16.5" thickBot="1" x14ac:dyDescent="0.3">
      <c r="A28" t="s">
        <v>8</v>
      </c>
      <c r="B28" s="9" t="s">
        <v>7</v>
      </c>
      <c r="C28" s="8">
        <f>D3*0.004</f>
        <v>499.8</v>
      </c>
      <c r="F28" s="9" t="s">
        <v>13</v>
      </c>
      <c r="G28" s="16">
        <v>0.35</v>
      </c>
      <c r="H28" s="17">
        <f>-(F29*0.35)</f>
        <v>-10471.719999999999</v>
      </c>
    </row>
    <row r="29" spans="1:8" x14ac:dyDescent="0.25">
      <c r="F29" s="21">
        <f>H24</f>
        <v>29919.200000000001</v>
      </c>
    </row>
    <row r="30" spans="1:8" ht="15.75" x14ac:dyDescent="0.25">
      <c r="A30" t="s">
        <v>9</v>
      </c>
      <c r="B30" s="9" t="s">
        <v>7</v>
      </c>
      <c r="C30" s="10"/>
      <c r="G30" s="13" t="s">
        <v>14</v>
      </c>
      <c r="H30" s="6">
        <f>H24+H26+H28</f>
        <v>18712.480000000003</v>
      </c>
    </row>
    <row r="31" spans="1:8" ht="15.75" thickBot="1" x14ac:dyDescent="0.3">
      <c r="A31" s="16"/>
      <c r="B31" s="14"/>
      <c r="C31" s="7"/>
    </row>
    <row r="32" spans="1:8" x14ac:dyDescent="0.25">
      <c r="E32" t="s">
        <v>100</v>
      </c>
      <c r="H32" s="20">
        <f>H30*0.35</f>
        <v>6549.3680000000004</v>
      </c>
    </row>
    <row r="33" spans="1:8" ht="15.75" x14ac:dyDescent="0.25">
      <c r="A33" t="s">
        <v>10</v>
      </c>
      <c r="C33" s="10">
        <f>C24-C26-C28-C30</f>
        <v>29919.200000000001</v>
      </c>
      <c r="H33" s="18"/>
    </row>
    <row r="34" spans="1:8" x14ac:dyDescent="0.25">
      <c r="H34" s="3"/>
    </row>
    <row r="35" spans="1:8" x14ac:dyDescent="0.25">
      <c r="H35" s="18"/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32E5B-76EE-4AB8-AC28-714DD32F498D}">
  <dimension ref="A1:H35"/>
  <sheetViews>
    <sheetView topLeftCell="A10"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3.28515625" bestFit="1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199</v>
      </c>
    </row>
    <row r="3" spans="1:8" ht="21" x14ac:dyDescent="0.35">
      <c r="A3" s="2" t="s">
        <v>1</v>
      </c>
      <c r="D3" s="11">
        <v>230265</v>
      </c>
      <c r="F3" s="12" t="s">
        <v>3</v>
      </c>
      <c r="H3" s="11">
        <v>36765</v>
      </c>
    </row>
    <row r="4" spans="1:8" x14ac:dyDescent="0.25">
      <c r="A4" s="13" t="s">
        <v>29</v>
      </c>
      <c r="C4" s="28">
        <v>351</v>
      </c>
    </row>
    <row r="5" spans="1:8" ht="21" x14ac:dyDescent="0.35">
      <c r="A5" s="2" t="s">
        <v>2</v>
      </c>
    </row>
    <row r="7" spans="1:8" ht="18.75" x14ac:dyDescent="0.3">
      <c r="A7" s="5" t="s">
        <v>119</v>
      </c>
      <c r="D7" s="4">
        <v>139359</v>
      </c>
      <c r="E7" s="27"/>
      <c r="H7" s="4">
        <v>22251</v>
      </c>
    </row>
    <row r="8" spans="1:8" ht="18.75" x14ac:dyDescent="0.3">
      <c r="A8" s="5"/>
      <c r="D8" s="4"/>
      <c r="E8" s="27"/>
      <c r="H8" s="4"/>
    </row>
    <row r="9" spans="1:8" ht="18.75" x14ac:dyDescent="0.3">
      <c r="A9" s="5"/>
      <c r="D9" s="4"/>
      <c r="E9" s="27"/>
      <c r="H9" s="4"/>
    </row>
    <row r="10" spans="1:8" ht="18.75" x14ac:dyDescent="0.3">
      <c r="A10" s="5"/>
      <c r="D10" s="4"/>
      <c r="E10" s="27"/>
      <c r="H10" s="4"/>
    </row>
    <row r="11" spans="1:8" ht="18.75" x14ac:dyDescent="0.3">
      <c r="A11" s="5"/>
      <c r="D11" s="4"/>
      <c r="E11" s="27"/>
      <c r="H11" s="4"/>
    </row>
    <row r="12" spans="1:8" ht="18.75" x14ac:dyDescent="0.3">
      <c r="A12" s="5"/>
      <c r="C12" s="3"/>
      <c r="D12" s="30"/>
      <c r="E12" s="27"/>
      <c r="H12" s="30"/>
    </row>
    <row r="13" spans="1:8" ht="18.75" x14ac:dyDescent="0.3">
      <c r="A13" s="5"/>
      <c r="C13" s="3"/>
      <c r="D13" s="31"/>
      <c r="E13" s="27"/>
      <c r="H13" s="31"/>
    </row>
    <row r="14" spans="1:8" ht="19.5" thickBot="1" x14ac:dyDescent="0.35">
      <c r="A14" s="5"/>
      <c r="C14" s="3"/>
      <c r="D14" s="23"/>
      <c r="E14" s="27"/>
      <c r="H14" s="23"/>
    </row>
    <row r="15" spans="1:8" ht="18.75" customHeight="1" x14ac:dyDescent="0.3">
      <c r="D15" s="4">
        <f>SUM(D7:D14)</f>
        <v>139359</v>
      </c>
      <c r="H15" s="4">
        <f>SUM(H7:H14)</f>
        <v>22251</v>
      </c>
    </row>
    <row r="16" spans="1:8" ht="18.75" x14ac:dyDescent="0.3">
      <c r="A16" s="5"/>
      <c r="C16" s="3"/>
      <c r="D16" s="4"/>
      <c r="H16" s="4"/>
    </row>
    <row r="18" spans="1:8" ht="18.75" x14ac:dyDescent="0.3">
      <c r="A18" s="5"/>
      <c r="C18" s="3"/>
      <c r="D18" s="4"/>
      <c r="H18" s="4"/>
    </row>
    <row r="19" spans="1:8" ht="15.75" thickBot="1" x14ac:dyDescent="0.3">
      <c r="D19" s="7"/>
      <c r="H19" s="7"/>
    </row>
    <row r="21" spans="1:8" ht="18.75" x14ac:dyDescent="0.3">
      <c r="C21" t="s">
        <v>4</v>
      </c>
      <c r="D21" s="4">
        <f>D3-D15</f>
        <v>90906</v>
      </c>
      <c r="G21" t="s">
        <v>5</v>
      </c>
      <c r="H21" s="4">
        <f>H3-H15</f>
        <v>14514</v>
      </c>
    </row>
    <row r="24" spans="1:8" ht="15.75" x14ac:dyDescent="0.25">
      <c r="A24" t="s">
        <v>6</v>
      </c>
      <c r="C24" s="8">
        <f>D21</f>
        <v>90906</v>
      </c>
      <c r="E24" t="s">
        <v>10</v>
      </c>
      <c r="H24" s="6">
        <f>C33</f>
        <v>75470.94</v>
      </c>
    </row>
    <row r="26" spans="1:8" ht="15.75" x14ac:dyDescent="0.25">
      <c r="A26" t="s">
        <v>5</v>
      </c>
      <c r="B26" s="9" t="s">
        <v>7</v>
      </c>
      <c r="C26" s="8">
        <f>H21</f>
        <v>14514</v>
      </c>
      <c r="E26" s="13" t="s">
        <v>11</v>
      </c>
      <c r="F26" s="9" t="s">
        <v>12</v>
      </c>
      <c r="G26" s="15" t="s">
        <v>17</v>
      </c>
      <c r="H26" s="3">
        <f>-(F27*0.007)</f>
        <v>-1354.5</v>
      </c>
    </row>
    <row r="27" spans="1:8" x14ac:dyDescent="0.25">
      <c r="F27" s="21">
        <f>D3-H3</f>
        <v>193500</v>
      </c>
    </row>
    <row r="28" spans="1:8" ht="16.5" thickBot="1" x14ac:dyDescent="0.3">
      <c r="A28" t="s">
        <v>8</v>
      </c>
      <c r="B28" s="9" t="s">
        <v>7</v>
      </c>
      <c r="C28" s="8">
        <f>D3*0.004</f>
        <v>921.06000000000006</v>
      </c>
      <c r="F28" s="9" t="s">
        <v>13</v>
      </c>
      <c r="G28" s="16">
        <v>0.35</v>
      </c>
      <c r="H28" s="17">
        <f>-(F29*0.35)</f>
        <v>-26414.828999999998</v>
      </c>
    </row>
    <row r="29" spans="1:8" x14ac:dyDescent="0.25">
      <c r="F29" s="21">
        <f>H24</f>
        <v>75470.94</v>
      </c>
    </row>
    <row r="30" spans="1:8" ht="15.75" x14ac:dyDescent="0.25">
      <c r="A30" t="s">
        <v>9</v>
      </c>
      <c r="B30" s="9" t="s">
        <v>7</v>
      </c>
      <c r="C30" s="10"/>
      <c r="G30" s="13" t="s">
        <v>14</v>
      </c>
      <c r="H30" s="6">
        <f>H24+H26+H28</f>
        <v>47701.611000000004</v>
      </c>
    </row>
    <row r="31" spans="1:8" ht="15.75" thickBot="1" x14ac:dyDescent="0.3">
      <c r="A31" s="16"/>
      <c r="B31" s="14"/>
      <c r="C31" s="7"/>
    </row>
    <row r="32" spans="1:8" x14ac:dyDescent="0.25">
      <c r="E32" t="s">
        <v>100</v>
      </c>
      <c r="H32" s="20">
        <f>H30*0.35</f>
        <v>16695.563850000002</v>
      </c>
    </row>
    <row r="33" spans="1:8" ht="15.75" x14ac:dyDescent="0.25">
      <c r="A33" t="s">
        <v>10</v>
      </c>
      <c r="C33" s="10">
        <f>C24-C26-C28-C30</f>
        <v>75470.94</v>
      </c>
      <c r="H33" s="18"/>
    </row>
    <row r="34" spans="1:8" x14ac:dyDescent="0.25">
      <c r="H34" s="3"/>
    </row>
    <row r="35" spans="1:8" x14ac:dyDescent="0.25">
      <c r="H35" s="18"/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AF0E3-6577-4845-932F-5BB37B050303}">
  <dimension ref="A1:H35"/>
  <sheetViews>
    <sheetView topLeftCell="A13" workbookViewId="0">
      <selection activeCell="L40" sqref="L40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3.28515625" bestFit="1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200</v>
      </c>
    </row>
    <row r="3" spans="1:8" ht="21" x14ac:dyDescent="0.35">
      <c r="A3" s="2" t="s">
        <v>1</v>
      </c>
      <c r="D3" s="11">
        <v>13427324</v>
      </c>
      <c r="F3" s="12" t="s">
        <v>3</v>
      </c>
      <c r="H3" s="11">
        <v>2189864</v>
      </c>
    </row>
    <row r="4" spans="1:8" x14ac:dyDescent="0.25">
      <c r="A4" s="13" t="s">
        <v>29</v>
      </c>
      <c r="C4" s="28">
        <v>353</v>
      </c>
    </row>
    <row r="5" spans="1:8" ht="21" x14ac:dyDescent="0.35">
      <c r="A5" s="2" t="s">
        <v>2</v>
      </c>
    </row>
    <row r="7" spans="1:8" ht="18.75" x14ac:dyDescent="0.3">
      <c r="A7" s="5" t="s">
        <v>201</v>
      </c>
      <c r="D7" s="4">
        <v>8808782</v>
      </c>
      <c r="E7" s="27"/>
      <c r="H7" s="4">
        <v>1406444</v>
      </c>
    </row>
    <row r="8" spans="1:8" ht="18.75" x14ac:dyDescent="0.3">
      <c r="A8" s="5" t="s">
        <v>202</v>
      </c>
      <c r="D8" s="4">
        <v>286767</v>
      </c>
      <c r="E8" s="27"/>
      <c r="H8" s="4">
        <v>45786</v>
      </c>
    </row>
    <row r="9" spans="1:8" ht="18.75" x14ac:dyDescent="0.3">
      <c r="A9" s="5" t="s">
        <v>203</v>
      </c>
      <c r="D9" s="4">
        <v>1731450</v>
      </c>
      <c r="E9" s="27"/>
      <c r="H9" s="4">
        <v>276450</v>
      </c>
    </row>
    <row r="10" spans="1:8" ht="18.75" x14ac:dyDescent="0.3">
      <c r="A10" s="5" t="s">
        <v>92</v>
      </c>
      <c r="D10" s="4">
        <v>25000</v>
      </c>
      <c r="E10" s="27"/>
      <c r="H10" s="4"/>
    </row>
    <row r="11" spans="1:8" ht="18.75" x14ac:dyDescent="0.3">
      <c r="A11" s="5"/>
      <c r="D11" s="4"/>
      <c r="E11" s="27"/>
      <c r="H11" s="4"/>
    </row>
    <row r="12" spans="1:8" ht="18.75" x14ac:dyDescent="0.3">
      <c r="A12" s="5"/>
      <c r="C12" s="3"/>
      <c r="D12" s="30"/>
      <c r="E12" s="27"/>
      <c r="H12" s="30"/>
    </row>
    <row r="13" spans="1:8" ht="18.75" x14ac:dyDescent="0.3">
      <c r="A13" s="5"/>
      <c r="C13" s="3"/>
      <c r="D13" s="31"/>
      <c r="E13" s="27"/>
      <c r="H13" s="31"/>
    </row>
    <row r="14" spans="1:8" ht="19.5" thickBot="1" x14ac:dyDescent="0.35">
      <c r="A14" s="5"/>
      <c r="C14" s="3"/>
      <c r="D14" s="23"/>
      <c r="E14" s="27"/>
      <c r="H14" s="23"/>
    </row>
    <row r="15" spans="1:8" ht="18.75" customHeight="1" x14ac:dyDescent="0.3">
      <c r="D15" s="4">
        <f>SUM(D7:D14)</f>
        <v>10851999</v>
      </c>
      <c r="H15" s="4">
        <f>SUM(H7:H14)</f>
        <v>1728680</v>
      </c>
    </row>
    <row r="16" spans="1:8" ht="18.75" x14ac:dyDescent="0.3">
      <c r="A16" s="5"/>
      <c r="C16" s="3"/>
      <c r="D16" s="4"/>
      <c r="H16" s="4"/>
    </row>
    <row r="18" spans="1:8" ht="18.75" x14ac:dyDescent="0.3">
      <c r="A18" s="5"/>
      <c r="C18" s="3"/>
      <c r="D18" s="4"/>
      <c r="H18" s="4"/>
    </row>
    <row r="19" spans="1:8" ht="15.75" thickBot="1" x14ac:dyDescent="0.3">
      <c r="D19" s="7"/>
      <c r="H19" s="7"/>
    </row>
    <row r="21" spans="1:8" ht="18.75" x14ac:dyDescent="0.3">
      <c r="C21" t="s">
        <v>4</v>
      </c>
      <c r="D21" s="4">
        <f>D3-D15</f>
        <v>2575325</v>
      </c>
      <c r="G21" t="s">
        <v>5</v>
      </c>
      <c r="H21" s="4">
        <f>H3-H15</f>
        <v>461184</v>
      </c>
    </row>
    <row r="24" spans="1:8" ht="15.75" x14ac:dyDescent="0.25">
      <c r="A24" t="s">
        <v>6</v>
      </c>
      <c r="C24" s="8">
        <f>D21</f>
        <v>2575325</v>
      </c>
      <c r="E24" t="s">
        <v>10</v>
      </c>
      <c r="H24" s="6">
        <f>C33</f>
        <v>2060431.7039999999</v>
      </c>
    </row>
    <row r="26" spans="1:8" ht="15.75" x14ac:dyDescent="0.25">
      <c r="A26" t="s">
        <v>5</v>
      </c>
      <c r="B26" s="9" t="s">
        <v>7</v>
      </c>
      <c r="C26" s="8">
        <f>H21</f>
        <v>461184</v>
      </c>
      <c r="E26" s="13" t="s">
        <v>11</v>
      </c>
      <c r="F26" s="9" t="s">
        <v>12</v>
      </c>
      <c r="G26" s="15" t="s">
        <v>17</v>
      </c>
      <c r="H26" s="3">
        <f>-(F27*0.007)</f>
        <v>-78662.22</v>
      </c>
    </row>
    <row r="27" spans="1:8" x14ac:dyDescent="0.25">
      <c r="F27" s="21">
        <f>D3-H3</f>
        <v>11237460</v>
      </c>
    </row>
    <row r="28" spans="1:8" ht="16.5" thickBot="1" x14ac:dyDescent="0.3">
      <c r="A28" t="s">
        <v>8</v>
      </c>
      <c r="B28" s="9" t="s">
        <v>7</v>
      </c>
      <c r="C28" s="8">
        <f>D3*0.004</f>
        <v>53709.296000000002</v>
      </c>
      <c r="F28" s="9" t="s">
        <v>13</v>
      </c>
      <c r="G28" s="16">
        <v>0.35</v>
      </c>
      <c r="H28" s="17">
        <f>-(F29*0.35)</f>
        <v>-721151.09639999992</v>
      </c>
    </row>
    <row r="29" spans="1:8" x14ac:dyDescent="0.25">
      <c r="F29" s="21">
        <f>H24</f>
        <v>2060431.7039999999</v>
      </c>
    </row>
    <row r="30" spans="1:8" ht="15.75" x14ac:dyDescent="0.25">
      <c r="A30" t="s">
        <v>9</v>
      </c>
      <c r="B30" s="9" t="s">
        <v>7</v>
      </c>
      <c r="C30" s="10"/>
      <c r="G30" s="13" t="s">
        <v>14</v>
      </c>
      <c r="H30" s="6">
        <f>H24+H26+H28</f>
        <v>1260618.3876</v>
      </c>
    </row>
    <row r="31" spans="1:8" ht="15.75" thickBot="1" x14ac:dyDescent="0.3">
      <c r="A31" s="16"/>
      <c r="B31" s="14"/>
      <c r="C31" s="7"/>
    </row>
    <row r="32" spans="1:8" x14ac:dyDescent="0.25">
      <c r="E32" t="s">
        <v>100</v>
      </c>
      <c r="H32" s="20">
        <f>H30*0.35</f>
        <v>441216.43565999996</v>
      </c>
    </row>
    <row r="33" spans="1:8" ht="15.75" x14ac:dyDescent="0.25">
      <c r="A33" t="s">
        <v>10</v>
      </c>
      <c r="C33" s="10">
        <f>C24-C26-C28-C30</f>
        <v>2060431.7039999999</v>
      </c>
      <c r="H33" s="18"/>
    </row>
    <row r="34" spans="1:8" x14ac:dyDescent="0.25">
      <c r="H34" s="3"/>
    </row>
    <row r="35" spans="1:8" x14ac:dyDescent="0.25">
      <c r="H35" s="18"/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72948-0551-4503-BCEF-DFC8498AF9C2}">
  <dimension ref="A1:H35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3.28515625" bestFit="1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232</v>
      </c>
    </row>
    <row r="3" spans="1:8" ht="21" x14ac:dyDescent="0.35">
      <c r="A3" s="2" t="s">
        <v>1</v>
      </c>
      <c r="D3" s="11">
        <v>1130976</v>
      </c>
      <c r="F3" s="12" t="s">
        <v>3</v>
      </c>
      <c r="H3" s="11">
        <v>180576</v>
      </c>
    </row>
    <row r="4" spans="1:8" x14ac:dyDescent="0.25">
      <c r="A4" s="13" t="s">
        <v>29</v>
      </c>
      <c r="C4" s="28">
        <v>354</v>
      </c>
    </row>
    <row r="5" spans="1:8" ht="21" x14ac:dyDescent="0.35">
      <c r="A5" s="2" t="s">
        <v>2</v>
      </c>
    </row>
    <row r="7" spans="1:8" ht="18.75" x14ac:dyDescent="0.3">
      <c r="A7" s="5" t="s">
        <v>204</v>
      </c>
      <c r="D7" s="4">
        <v>539784</v>
      </c>
      <c r="E7" s="27"/>
      <c r="H7" s="4">
        <v>86184</v>
      </c>
    </row>
    <row r="8" spans="1:8" ht="18.75" x14ac:dyDescent="0.3">
      <c r="A8" s="5" t="s">
        <v>205</v>
      </c>
      <c r="D8" s="4">
        <v>25000</v>
      </c>
      <c r="E8" s="27"/>
      <c r="H8" s="4"/>
    </row>
    <row r="9" spans="1:8" ht="18.75" x14ac:dyDescent="0.3">
      <c r="A9" s="5"/>
      <c r="D9" s="4"/>
      <c r="E9" s="27"/>
      <c r="H9" s="4"/>
    </row>
    <row r="10" spans="1:8" ht="18.75" x14ac:dyDescent="0.3">
      <c r="A10" s="5"/>
      <c r="D10" s="4"/>
      <c r="E10" s="27"/>
      <c r="H10" s="4"/>
    </row>
    <row r="11" spans="1:8" ht="18.75" x14ac:dyDescent="0.3">
      <c r="A11" s="5"/>
      <c r="D11" s="4"/>
      <c r="E11" s="27"/>
      <c r="H11" s="4"/>
    </row>
    <row r="12" spans="1:8" ht="18.75" x14ac:dyDescent="0.3">
      <c r="A12" s="5"/>
      <c r="C12" s="3"/>
      <c r="D12" s="30"/>
      <c r="E12" s="27"/>
      <c r="H12" s="30"/>
    </row>
    <row r="13" spans="1:8" ht="18.75" x14ac:dyDescent="0.3">
      <c r="A13" s="5"/>
      <c r="C13" s="3"/>
      <c r="D13" s="31"/>
      <c r="E13" s="27"/>
      <c r="H13" s="31"/>
    </row>
    <row r="14" spans="1:8" ht="19.5" thickBot="1" x14ac:dyDescent="0.35">
      <c r="A14" s="5"/>
      <c r="C14" s="3"/>
      <c r="D14" s="23"/>
      <c r="E14" s="27"/>
      <c r="H14" s="23"/>
    </row>
    <row r="15" spans="1:8" ht="18.75" customHeight="1" x14ac:dyDescent="0.3">
      <c r="D15" s="4">
        <f>SUM(D7:D14)</f>
        <v>564784</v>
      </c>
      <c r="H15" s="4">
        <f>SUM(H7:H14)</f>
        <v>86184</v>
      </c>
    </row>
    <row r="16" spans="1:8" ht="18.75" x14ac:dyDescent="0.3">
      <c r="A16" s="5"/>
      <c r="C16" s="3"/>
      <c r="D16" s="4"/>
      <c r="H16" s="4"/>
    </row>
    <row r="18" spans="1:8" ht="18.75" x14ac:dyDescent="0.3">
      <c r="A18" s="5"/>
      <c r="C18" s="3"/>
      <c r="D18" s="4"/>
      <c r="H18" s="4"/>
    </row>
    <row r="19" spans="1:8" ht="15.75" thickBot="1" x14ac:dyDescent="0.3">
      <c r="D19" s="7"/>
      <c r="H19" s="7"/>
    </row>
    <row r="21" spans="1:8" ht="18.75" x14ac:dyDescent="0.3">
      <c r="C21" t="s">
        <v>4</v>
      </c>
      <c r="D21" s="4">
        <f>D3-D15</f>
        <v>566192</v>
      </c>
      <c r="G21" t="s">
        <v>5</v>
      </c>
      <c r="H21" s="4">
        <f>H3-H15</f>
        <v>94392</v>
      </c>
    </row>
    <row r="24" spans="1:8" ht="15.75" x14ac:dyDescent="0.25">
      <c r="A24" t="s">
        <v>6</v>
      </c>
      <c r="C24" s="8">
        <f>D21</f>
        <v>566192</v>
      </c>
      <c r="E24" t="s">
        <v>10</v>
      </c>
      <c r="H24" s="6">
        <f>C33</f>
        <v>467276.09600000002</v>
      </c>
    </row>
    <row r="26" spans="1:8" ht="15.75" x14ac:dyDescent="0.25">
      <c r="A26" t="s">
        <v>5</v>
      </c>
      <c r="B26" s="9" t="s">
        <v>7</v>
      </c>
      <c r="C26" s="8">
        <f>H21</f>
        <v>94392</v>
      </c>
      <c r="E26" s="13" t="s">
        <v>11</v>
      </c>
      <c r="F26" s="9" t="s">
        <v>12</v>
      </c>
      <c r="G26" s="15" t="s">
        <v>17</v>
      </c>
      <c r="H26" s="3">
        <f>-(F27*0.007)</f>
        <v>-6652.8</v>
      </c>
    </row>
    <row r="27" spans="1:8" x14ac:dyDescent="0.25">
      <c r="F27" s="21">
        <f>D3-H3</f>
        <v>950400</v>
      </c>
    </row>
    <row r="28" spans="1:8" ht="16.5" thickBot="1" x14ac:dyDescent="0.3">
      <c r="A28" t="s">
        <v>8</v>
      </c>
      <c r="B28" s="9" t="s">
        <v>7</v>
      </c>
      <c r="C28" s="8">
        <f>D3*0.004</f>
        <v>4523.9040000000005</v>
      </c>
      <c r="F28" s="9" t="s">
        <v>13</v>
      </c>
      <c r="G28" s="16">
        <v>0.35</v>
      </c>
      <c r="H28" s="17">
        <f>-(F29*0.35)</f>
        <v>-163546.6336</v>
      </c>
    </row>
    <row r="29" spans="1:8" x14ac:dyDescent="0.25">
      <c r="F29" s="21">
        <f>H24</f>
        <v>467276.09600000002</v>
      </c>
    </row>
    <row r="30" spans="1:8" ht="15.75" x14ac:dyDescent="0.25">
      <c r="A30" t="s">
        <v>9</v>
      </c>
      <c r="B30" s="9" t="s">
        <v>7</v>
      </c>
      <c r="C30" s="10"/>
      <c r="G30" s="13" t="s">
        <v>14</v>
      </c>
      <c r="H30" s="6">
        <f>H24+H26+H28</f>
        <v>297076.66240000003</v>
      </c>
    </row>
    <row r="31" spans="1:8" ht="15.75" thickBot="1" x14ac:dyDescent="0.3">
      <c r="A31" s="16"/>
      <c r="B31" s="14"/>
      <c r="C31" s="7"/>
    </row>
    <row r="32" spans="1:8" x14ac:dyDescent="0.25">
      <c r="E32" t="s">
        <v>100</v>
      </c>
      <c r="H32" s="20">
        <f>H30*0.35</f>
        <v>103976.83184</v>
      </c>
    </row>
    <row r="33" spans="1:8" ht="15.75" x14ac:dyDescent="0.25">
      <c r="A33" t="s">
        <v>10</v>
      </c>
      <c r="C33" s="10">
        <f>C24-C26-C28-C30</f>
        <v>467276.09600000002</v>
      </c>
      <c r="H33" s="18"/>
    </row>
    <row r="34" spans="1:8" x14ac:dyDescent="0.25">
      <c r="H34" s="3"/>
    </row>
    <row r="35" spans="1:8" x14ac:dyDescent="0.25">
      <c r="H35" s="18"/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9F201-2C35-4FF1-B707-D66AD1BA2317}">
  <dimension ref="A1:H38"/>
  <sheetViews>
    <sheetView topLeftCell="A19" workbookViewId="0">
      <selection activeCell="F19" sqref="F19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3.28515625" bestFit="1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206</v>
      </c>
    </row>
    <row r="3" spans="1:8" ht="21" x14ac:dyDescent="0.35">
      <c r="A3" s="2" t="s">
        <v>1</v>
      </c>
      <c r="D3" s="11">
        <v>9370181</v>
      </c>
      <c r="F3" s="12" t="s">
        <v>3</v>
      </c>
      <c r="H3" s="11">
        <v>1496079</v>
      </c>
    </row>
    <row r="4" spans="1:8" x14ac:dyDescent="0.25">
      <c r="A4" s="13" t="s">
        <v>29</v>
      </c>
      <c r="C4" s="28">
        <v>355</v>
      </c>
    </row>
    <row r="5" spans="1:8" ht="21" x14ac:dyDescent="0.35">
      <c r="A5" s="2" t="s">
        <v>2</v>
      </c>
    </row>
    <row r="7" spans="1:8" ht="18.75" x14ac:dyDescent="0.3">
      <c r="A7" s="5" t="s">
        <v>207</v>
      </c>
      <c r="D7" s="4">
        <v>240660</v>
      </c>
      <c r="E7" s="27"/>
      <c r="H7" s="4">
        <v>38425</v>
      </c>
    </row>
    <row r="8" spans="1:8" ht="18.75" x14ac:dyDescent="0.3">
      <c r="A8" s="5" t="s">
        <v>208</v>
      </c>
      <c r="D8" s="4">
        <v>1002000</v>
      </c>
      <c r="E8" s="27"/>
      <c r="H8" s="4"/>
    </row>
    <row r="9" spans="1:8" ht="18.75" x14ac:dyDescent="0.3">
      <c r="A9" s="5" t="s">
        <v>209</v>
      </c>
      <c r="D9" s="4">
        <v>954137</v>
      </c>
      <c r="E9" s="27"/>
      <c r="H9" s="4">
        <v>152341</v>
      </c>
    </row>
    <row r="10" spans="1:8" ht="18.75" x14ac:dyDescent="0.3">
      <c r="A10" s="5" t="s">
        <v>210</v>
      </c>
      <c r="D10" s="4">
        <v>56644</v>
      </c>
      <c r="E10" s="27"/>
      <c r="H10" s="4">
        <v>9044</v>
      </c>
    </row>
    <row r="11" spans="1:8" ht="18.75" x14ac:dyDescent="0.3">
      <c r="A11" s="5" t="s">
        <v>211</v>
      </c>
      <c r="D11" s="4">
        <v>1434545</v>
      </c>
      <c r="E11" s="27"/>
      <c r="H11" s="4">
        <v>229045</v>
      </c>
    </row>
    <row r="12" spans="1:8" ht="18.75" x14ac:dyDescent="0.3">
      <c r="A12" s="5" t="s">
        <v>212</v>
      </c>
      <c r="C12" s="3"/>
      <c r="D12" s="30">
        <v>1832600</v>
      </c>
      <c r="E12" s="27"/>
      <c r="H12" s="30">
        <v>292600</v>
      </c>
    </row>
    <row r="13" spans="1:8" ht="18.75" x14ac:dyDescent="0.3">
      <c r="A13" s="5" t="s">
        <v>213</v>
      </c>
      <c r="C13" s="3"/>
      <c r="D13" s="31">
        <v>35605</v>
      </c>
      <c r="E13" s="27"/>
      <c r="H13" s="31">
        <v>5685</v>
      </c>
    </row>
    <row r="14" spans="1:8" ht="18.75" x14ac:dyDescent="0.3">
      <c r="A14" s="5" t="s">
        <v>214</v>
      </c>
      <c r="C14" s="3"/>
      <c r="D14" s="30">
        <v>41650</v>
      </c>
      <c r="E14" s="27"/>
      <c r="H14" s="30">
        <v>6650</v>
      </c>
    </row>
    <row r="15" spans="1:8" ht="18.75" x14ac:dyDescent="0.3">
      <c r="A15" s="5" t="s">
        <v>215</v>
      </c>
      <c r="C15" s="3"/>
      <c r="D15" s="30">
        <v>273105</v>
      </c>
      <c r="E15" s="27"/>
      <c r="H15" s="30">
        <v>43605</v>
      </c>
    </row>
    <row r="16" spans="1:8" ht="18.75" x14ac:dyDescent="0.3">
      <c r="A16" s="5" t="s">
        <v>216</v>
      </c>
      <c r="C16" s="3"/>
      <c r="D16" s="30">
        <v>548517</v>
      </c>
      <c r="E16" s="27"/>
      <c r="H16" s="30">
        <v>87578</v>
      </c>
    </row>
    <row r="17" spans="1:8" ht="18.75" x14ac:dyDescent="0.3">
      <c r="A17" s="5" t="s">
        <v>217</v>
      </c>
      <c r="C17" s="3"/>
      <c r="D17" s="30">
        <v>45091</v>
      </c>
      <c r="E17" s="27"/>
      <c r="H17" s="30">
        <v>7200</v>
      </c>
    </row>
    <row r="18" spans="1:8" ht="19.5" thickBot="1" x14ac:dyDescent="0.35">
      <c r="A18" s="5" t="s">
        <v>92</v>
      </c>
      <c r="D18" s="23">
        <v>80000</v>
      </c>
      <c r="H18" s="7"/>
    </row>
    <row r="19" spans="1:8" ht="18.75" customHeight="1" x14ac:dyDescent="0.3">
      <c r="D19" s="4">
        <f>SUM(D7:D18)</f>
        <v>6544554</v>
      </c>
      <c r="H19" s="4">
        <f>SUM(H7:H17)</f>
        <v>872173</v>
      </c>
    </row>
    <row r="21" spans="1:8" ht="18.75" x14ac:dyDescent="0.3">
      <c r="A21" s="5"/>
      <c r="C21" s="3"/>
      <c r="D21" s="4"/>
      <c r="H21" s="4"/>
    </row>
    <row r="22" spans="1:8" ht="15.75" thickBot="1" x14ac:dyDescent="0.3">
      <c r="D22" s="7"/>
      <c r="H22" s="7"/>
    </row>
    <row r="24" spans="1:8" ht="18.75" x14ac:dyDescent="0.3">
      <c r="C24" t="s">
        <v>4</v>
      </c>
      <c r="D24" s="4">
        <f>D3-D19</f>
        <v>2825627</v>
      </c>
      <c r="G24" t="s">
        <v>5</v>
      </c>
      <c r="H24" s="4">
        <f>H3-H19</f>
        <v>623906</v>
      </c>
    </row>
    <row r="27" spans="1:8" ht="15.75" x14ac:dyDescent="0.25">
      <c r="A27" t="s">
        <v>6</v>
      </c>
      <c r="C27" s="8">
        <f>D24</f>
        <v>2825627</v>
      </c>
      <c r="E27" t="s">
        <v>10</v>
      </c>
      <c r="H27" s="6">
        <f>C36</f>
        <v>2164240.2760000001</v>
      </c>
    </row>
    <row r="29" spans="1:8" ht="15.75" x14ac:dyDescent="0.25">
      <c r="A29" t="s">
        <v>5</v>
      </c>
      <c r="B29" s="9" t="s">
        <v>7</v>
      </c>
      <c r="C29" s="8">
        <f>H24</f>
        <v>623906</v>
      </c>
      <c r="E29" s="13" t="s">
        <v>11</v>
      </c>
      <c r="F29" s="9" t="s">
        <v>12</v>
      </c>
      <c r="G29" s="15" t="s">
        <v>17</v>
      </c>
      <c r="H29" s="3">
        <f>-(F30*0.007)</f>
        <v>-55118.714</v>
      </c>
    </row>
    <row r="30" spans="1:8" x14ac:dyDescent="0.25">
      <c r="F30" s="21">
        <f>D3-H3</f>
        <v>7874102</v>
      </c>
    </row>
    <row r="31" spans="1:8" ht="16.5" thickBot="1" x14ac:dyDescent="0.3">
      <c r="A31" t="s">
        <v>8</v>
      </c>
      <c r="B31" s="9" t="s">
        <v>7</v>
      </c>
      <c r="C31" s="8">
        <f>D3*0.004</f>
        <v>37480.724000000002</v>
      </c>
      <c r="F31" s="9" t="s">
        <v>13</v>
      </c>
      <c r="G31" s="16">
        <v>0.35</v>
      </c>
      <c r="H31" s="17">
        <f>-(F32*0.35)</f>
        <v>-757484.09659999993</v>
      </c>
    </row>
    <row r="32" spans="1:8" x14ac:dyDescent="0.25">
      <c r="F32" s="21">
        <f>H27</f>
        <v>2164240.2760000001</v>
      </c>
    </row>
    <row r="33" spans="1:8" ht="15.75" x14ac:dyDescent="0.25">
      <c r="A33" t="s">
        <v>9</v>
      </c>
      <c r="B33" s="9" t="s">
        <v>7</v>
      </c>
      <c r="C33" s="10"/>
      <c r="G33" s="13" t="s">
        <v>14</v>
      </c>
      <c r="H33" s="6">
        <f>H27+H29+H31</f>
        <v>1351637.4654000001</v>
      </c>
    </row>
    <row r="34" spans="1:8" ht="15.75" thickBot="1" x14ac:dyDescent="0.3">
      <c r="A34" s="16"/>
      <c r="B34" s="14"/>
      <c r="C34" s="7"/>
    </row>
    <row r="35" spans="1:8" x14ac:dyDescent="0.25">
      <c r="E35" t="s">
        <v>100</v>
      </c>
      <c r="H35" s="20">
        <f>H33*0.35</f>
        <v>473073.11288999999</v>
      </c>
    </row>
    <row r="36" spans="1:8" ht="15.75" x14ac:dyDescent="0.25">
      <c r="A36" t="s">
        <v>10</v>
      </c>
      <c r="C36" s="10">
        <f>C27-C29-C31-C33</f>
        <v>2164240.2760000001</v>
      </c>
      <c r="H36" s="18"/>
    </row>
    <row r="37" spans="1:8" x14ac:dyDescent="0.25">
      <c r="H37" s="3"/>
    </row>
    <row r="38" spans="1:8" x14ac:dyDescent="0.25">
      <c r="H38" s="18"/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CC69C-E6A1-468A-9FAE-3701500465F6}">
  <dimension ref="A1:H29"/>
  <sheetViews>
    <sheetView topLeftCell="A4" workbookViewId="0">
      <selection activeCell="A10"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3.28515625" bestFit="1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218</v>
      </c>
    </row>
    <row r="3" spans="1:8" ht="21" x14ac:dyDescent="0.35">
      <c r="A3" s="2" t="s">
        <v>1</v>
      </c>
      <c r="D3" s="11">
        <v>124236</v>
      </c>
      <c r="F3" s="12" t="s">
        <v>3</v>
      </c>
      <c r="H3" s="11">
        <v>19836</v>
      </c>
    </row>
    <row r="4" spans="1:8" x14ac:dyDescent="0.25">
      <c r="A4" s="13" t="s">
        <v>29</v>
      </c>
      <c r="C4" s="28">
        <v>356</v>
      </c>
    </row>
    <row r="5" spans="1:8" ht="21" x14ac:dyDescent="0.35">
      <c r="A5" s="2" t="s">
        <v>2</v>
      </c>
    </row>
    <row r="7" spans="1:8" ht="18.75" x14ac:dyDescent="0.3">
      <c r="A7" s="5" t="s">
        <v>219</v>
      </c>
      <c r="D7" s="4">
        <v>2500</v>
      </c>
      <c r="E7" s="27"/>
      <c r="H7" s="4"/>
    </row>
    <row r="8" spans="1:8" ht="18.75" x14ac:dyDescent="0.3">
      <c r="A8" s="5" t="s">
        <v>220</v>
      </c>
      <c r="D8" s="4">
        <v>15000</v>
      </c>
      <c r="E8" s="27"/>
      <c r="H8" s="4"/>
    </row>
    <row r="9" spans="1:8" ht="18.75" x14ac:dyDescent="0.3">
      <c r="A9" s="5" t="s">
        <v>221</v>
      </c>
      <c r="D9" s="4">
        <v>19687</v>
      </c>
      <c r="E9" s="27"/>
      <c r="H9" s="4">
        <v>3143</v>
      </c>
    </row>
    <row r="10" spans="1:8" ht="19.5" thickBot="1" x14ac:dyDescent="0.35">
      <c r="A10" s="5" t="s">
        <v>222</v>
      </c>
      <c r="D10" s="23">
        <v>23901</v>
      </c>
      <c r="E10" s="27"/>
      <c r="H10" s="23">
        <v>3816</v>
      </c>
    </row>
    <row r="11" spans="1:8" ht="18.75" x14ac:dyDescent="0.3">
      <c r="D11" s="4">
        <f>SUM(D7:D10)</f>
        <v>61088</v>
      </c>
      <c r="H11" s="33">
        <f>SUM(H9:H10)</f>
        <v>6959</v>
      </c>
    </row>
    <row r="12" spans="1:8" ht="18.75" x14ac:dyDescent="0.3">
      <c r="A12" s="5"/>
      <c r="C12" s="3"/>
      <c r="D12" s="4"/>
      <c r="H12" s="4"/>
    </row>
    <row r="13" spans="1:8" ht="15.75" thickBot="1" x14ac:dyDescent="0.3">
      <c r="D13" s="7"/>
      <c r="H13" s="7"/>
    </row>
    <row r="15" spans="1:8" ht="18.75" x14ac:dyDescent="0.3">
      <c r="C15" t="s">
        <v>4</v>
      </c>
      <c r="D15" s="4">
        <f>D3-D11</f>
        <v>63148</v>
      </c>
      <c r="G15" t="s">
        <v>5</v>
      </c>
      <c r="H15" s="4">
        <f>H3-H11</f>
        <v>12877</v>
      </c>
    </row>
    <row r="18" spans="1:8" ht="15.75" x14ac:dyDescent="0.25">
      <c r="A18" t="s">
        <v>6</v>
      </c>
      <c r="C18" s="8">
        <f>D15</f>
        <v>63148</v>
      </c>
      <c r="E18" t="s">
        <v>10</v>
      </c>
      <c r="H18" s="6">
        <f>C27</f>
        <v>49774.055999999997</v>
      </c>
    </row>
    <row r="20" spans="1:8" ht="15.75" x14ac:dyDescent="0.25">
      <c r="A20" t="s">
        <v>5</v>
      </c>
      <c r="B20" s="9" t="s">
        <v>7</v>
      </c>
      <c r="C20" s="8">
        <f>H15</f>
        <v>12877</v>
      </c>
      <c r="E20" s="13" t="s">
        <v>11</v>
      </c>
      <c r="F20" s="9" t="s">
        <v>12</v>
      </c>
      <c r="G20" s="15" t="s">
        <v>17</v>
      </c>
      <c r="H20" s="3">
        <f>-(F21*0.007)</f>
        <v>-730.80000000000007</v>
      </c>
    </row>
    <row r="21" spans="1:8" x14ac:dyDescent="0.25">
      <c r="F21" s="21">
        <f>D3-H3</f>
        <v>104400</v>
      </c>
    </row>
    <row r="22" spans="1:8" ht="16.5" thickBot="1" x14ac:dyDescent="0.3">
      <c r="A22" t="s">
        <v>8</v>
      </c>
      <c r="B22" s="9" t="s">
        <v>7</v>
      </c>
      <c r="C22" s="8">
        <f>D3*0.004</f>
        <v>496.94400000000002</v>
      </c>
      <c r="F22" s="9" t="s">
        <v>13</v>
      </c>
      <c r="G22" s="16">
        <v>0.35</v>
      </c>
      <c r="H22" s="17">
        <f>-(F23*0.35)</f>
        <v>-17420.919599999997</v>
      </c>
    </row>
    <row r="23" spans="1:8" x14ac:dyDescent="0.25">
      <c r="F23" s="21">
        <f>H18</f>
        <v>49774.055999999997</v>
      </c>
    </row>
    <row r="24" spans="1:8" ht="15.75" x14ac:dyDescent="0.25">
      <c r="A24" t="s">
        <v>9</v>
      </c>
      <c r="B24" s="9" t="s">
        <v>7</v>
      </c>
      <c r="C24" s="10"/>
      <c r="G24" s="13" t="s">
        <v>14</v>
      </c>
      <c r="H24" s="6">
        <f>H18+H20+H22</f>
        <v>31622.336399999997</v>
      </c>
    </row>
    <row r="25" spans="1:8" ht="15.75" thickBot="1" x14ac:dyDescent="0.3">
      <c r="A25" s="16"/>
      <c r="B25" s="14"/>
      <c r="C25" s="7"/>
    </row>
    <row r="26" spans="1:8" x14ac:dyDescent="0.25">
      <c r="E26" t="s">
        <v>100</v>
      </c>
      <c r="H26" s="20">
        <f>H24*0.35</f>
        <v>11067.817739999999</v>
      </c>
    </row>
    <row r="27" spans="1:8" ht="15.75" x14ac:dyDescent="0.25">
      <c r="A27" t="s">
        <v>10</v>
      </c>
      <c r="C27" s="10">
        <f>C18-C20-C22-C24</f>
        <v>49774.055999999997</v>
      </c>
      <c r="H27" s="18"/>
    </row>
    <row r="28" spans="1:8" x14ac:dyDescent="0.25">
      <c r="H28" s="3"/>
    </row>
    <row r="29" spans="1:8" x14ac:dyDescent="0.25">
      <c r="H29" s="18"/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9AA72-7455-41B0-909E-C6DB28504405}">
  <dimension ref="A1:H29"/>
  <sheetViews>
    <sheetView topLeftCell="A7"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3.28515625" bestFit="1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223</v>
      </c>
    </row>
    <row r="3" spans="1:8" ht="21" x14ac:dyDescent="0.35">
      <c r="A3" s="2" t="s">
        <v>1</v>
      </c>
      <c r="D3" s="11">
        <v>58905</v>
      </c>
      <c r="F3" s="12" t="s">
        <v>3</v>
      </c>
      <c r="H3" s="11">
        <v>9405</v>
      </c>
    </row>
    <row r="4" spans="1:8" x14ac:dyDescent="0.25">
      <c r="A4" s="13" t="s">
        <v>29</v>
      </c>
      <c r="C4" s="28">
        <v>358</v>
      </c>
    </row>
    <row r="5" spans="1:8" ht="21" x14ac:dyDescent="0.35">
      <c r="A5" s="2" t="s">
        <v>2</v>
      </c>
    </row>
    <row r="7" spans="1:8" ht="18.75" x14ac:dyDescent="0.3">
      <c r="A7" s="5" t="s">
        <v>224</v>
      </c>
      <c r="D7" s="4">
        <v>37299</v>
      </c>
      <c r="E7" s="27"/>
      <c r="H7" s="4">
        <v>5955</v>
      </c>
    </row>
    <row r="8" spans="1:8" ht="18.75" x14ac:dyDescent="0.3">
      <c r="A8" s="5"/>
      <c r="D8" s="4"/>
      <c r="E8" s="27"/>
      <c r="H8" s="4"/>
    </row>
    <row r="9" spans="1:8" ht="18.75" x14ac:dyDescent="0.3">
      <c r="A9" s="5"/>
      <c r="D9" s="4"/>
      <c r="E9" s="27"/>
      <c r="H9" s="4"/>
    </row>
    <row r="10" spans="1:8" ht="19.5" thickBot="1" x14ac:dyDescent="0.35">
      <c r="A10" s="5"/>
      <c r="D10" s="23"/>
      <c r="E10" s="27"/>
      <c r="H10" s="23"/>
    </row>
    <row r="11" spans="1:8" ht="18.75" x14ac:dyDescent="0.3">
      <c r="D11" s="4">
        <f>SUM(D7:D10)</f>
        <v>37299</v>
      </c>
      <c r="H11" s="33">
        <f>SUM(H7:H10)</f>
        <v>5955</v>
      </c>
    </row>
    <row r="12" spans="1:8" ht="18.75" x14ac:dyDescent="0.3">
      <c r="A12" s="5"/>
      <c r="C12" s="3"/>
      <c r="D12" s="4"/>
      <c r="H12" s="4"/>
    </row>
    <row r="13" spans="1:8" ht="15.75" thickBot="1" x14ac:dyDescent="0.3">
      <c r="D13" s="7"/>
      <c r="H13" s="7"/>
    </row>
    <row r="15" spans="1:8" ht="18.75" x14ac:dyDescent="0.3">
      <c r="C15" t="s">
        <v>4</v>
      </c>
      <c r="D15" s="4">
        <f>D3-D11</f>
        <v>21606</v>
      </c>
      <c r="G15" t="s">
        <v>5</v>
      </c>
      <c r="H15" s="4">
        <f>H3-H11</f>
        <v>3450</v>
      </c>
    </row>
    <row r="18" spans="1:8" ht="15.75" x14ac:dyDescent="0.25">
      <c r="A18" t="s">
        <v>6</v>
      </c>
      <c r="C18" s="8">
        <f>D15</f>
        <v>21606</v>
      </c>
      <c r="E18" t="s">
        <v>10</v>
      </c>
      <c r="H18" s="6">
        <f>C27</f>
        <v>17920.38</v>
      </c>
    </row>
    <row r="20" spans="1:8" ht="15.75" x14ac:dyDescent="0.25">
      <c r="A20" t="s">
        <v>5</v>
      </c>
      <c r="B20" s="9" t="s">
        <v>7</v>
      </c>
      <c r="C20" s="8">
        <f>H15</f>
        <v>3450</v>
      </c>
      <c r="E20" s="13" t="s">
        <v>11</v>
      </c>
      <c r="F20" s="9" t="s">
        <v>12</v>
      </c>
      <c r="G20" s="15" t="s">
        <v>17</v>
      </c>
      <c r="H20" s="3">
        <f>-(F21*0.007)</f>
        <v>-346.5</v>
      </c>
    </row>
    <row r="21" spans="1:8" x14ac:dyDescent="0.25">
      <c r="F21" s="21">
        <f>D3-H3</f>
        <v>49500</v>
      </c>
    </row>
    <row r="22" spans="1:8" ht="16.5" thickBot="1" x14ac:dyDescent="0.3">
      <c r="A22" t="s">
        <v>8</v>
      </c>
      <c r="B22" s="9" t="s">
        <v>7</v>
      </c>
      <c r="C22" s="8">
        <f>D3*0.004</f>
        <v>235.62</v>
      </c>
      <c r="F22" s="9" t="s">
        <v>13</v>
      </c>
      <c r="G22" s="16">
        <v>0.35</v>
      </c>
      <c r="H22" s="17">
        <f>-(F23*0.35)</f>
        <v>-6272.1329999999998</v>
      </c>
    </row>
    <row r="23" spans="1:8" x14ac:dyDescent="0.25">
      <c r="F23" s="21">
        <f>H18</f>
        <v>17920.38</v>
      </c>
    </row>
    <row r="24" spans="1:8" ht="15.75" x14ac:dyDescent="0.25">
      <c r="A24" t="s">
        <v>9</v>
      </c>
      <c r="B24" s="9" t="s">
        <v>7</v>
      </c>
      <c r="C24" s="10"/>
      <c r="G24" s="13" t="s">
        <v>14</v>
      </c>
      <c r="H24" s="6">
        <f>H18+H20+H22</f>
        <v>11301.747000000001</v>
      </c>
    </row>
    <row r="25" spans="1:8" ht="15.75" thickBot="1" x14ac:dyDescent="0.3">
      <c r="A25" s="16"/>
      <c r="B25" s="14"/>
      <c r="C25" s="7"/>
    </row>
    <row r="26" spans="1:8" x14ac:dyDescent="0.25">
      <c r="E26" t="s">
        <v>100</v>
      </c>
      <c r="H26" s="20">
        <f>H24*0.35</f>
        <v>3955.6114500000003</v>
      </c>
    </row>
    <row r="27" spans="1:8" ht="15.75" x14ac:dyDescent="0.25">
      <c r="A27" t="s">
        <v>10</v>
      </c>
      <c r="C27" s="10">
        <f>C18-C20-C22-C24</f>
        <v>17920.38</v>
      </c>
      <c r="H27" s="18"/>
    </row>
    <row r="28" spans="1:8" x14ac:dyDescent="0.25">
      <c r="H28" s="3"/>
    </row>
    <row r="29" spans="1:8" x14ac:dyDescent="0.25">
      <c r="H29" s="18"/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8F2EA-A3DB-4200-ABC2-225C6BF9D328}">
  <dimension ref="A1:H29"/>
  <sheetViews>
    <sheetView topLeftCell="A7" workbookViewId="0">
      <selection activeCell="A7"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3.28515625" bestFit="1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225</v>
      </c>
    </row>
    <row r="3" spans="1:8" ht="21" x14ac:dyDescent="0.35">
      <c r="A3" s="2" t="s">
        <v>1</v>
      </c>
      <c r="D3" s="11">
        <v>233002</v>
      </c>
      <c r="F3" s="12" t="s">
        <v>3</v>
      </c>
      <c r="H3" s="11">
        <v>37202</v>
      </c>
    </row>
    <row r="4" spans="1:8" x14ac:dyDescent="0.25">
      <c r="A4" s="13" t="s">
        <v>29</v>
      </c>
      <c r="C4" s="28">
        <v>360</v>
      </c>
    </row>
    <row r="5" spans="1:8" ht="21" x14ac:dyDescent="0.35">
      <c r="A5" s="2" t="s">
        <v>2</v>
      </c>
    </row>
    <row r="7" spans="1:8" ht="18.75" x14ac:dyDescent="0.3">
      <c r="A7" s="5" t="s">
        <v>226</v>
      </c>
      <c r="D7" s="4">
        <v>56863</v>
      </c>
      <c r="E7" s="27"/>
      <c r="H7" s="4">
        <v>9079</v>
      </c>
    </row>
    <row r="8" spans="1:8" ht="18.75" x14ac:dyDescent="0.3">
      <c r="A8" s="5" t="s">
        <v>227</v>
      </c>
      <c r="D8" s="4">
        <v>65000</v>
      </c>
      <c r="E8" s="27"/>
      <c r="H8" s="4"/>
    </row>
    <row r="9" spans="1:8" ht="18.75" x14ac:dyDescent="0.3">
      <c r="A9" s="5"/>
      <c r="D9" s="4"/>
      <c r="E9" s="27"/>
      <c r="H9" s="4"/>
    </row>
    <row r="10" spans="1:8" ht="19.5" thickBot="1" x14ac:dyDescent="0.35">
      <c r="A10" s="5"/>
      <c r="D10" s="23"/>
      <c r="E10" s="27"/>
      <c r="H10" s="23"/>
    </row>
    <row r="11" spans="1:8" ht="18.75" x14ac:dyDescent="0.3">
      <c r="D11" s="4">
        <f>SUM(D7:D10)</f>
        <v>121863</v>
      </c>
      <c r="H11" s="33">
        <f>SUM(H7:H10)</f>
        <v>9079</v>
      </c>
    </row>
    <row r="12" spans="1:8" ht="18.75" x14ac:dyDescent="0.3">
      <c r="A12" s="5"/>
      <c r="C12" s="3"/>
      <c r="D12" s="4"/>
      <c r="H12" s="4"/>
    </row>
    <row r="13" spans="1:8" ht="15.75" thickBot="1" x14ac:dyDescent="0.3">
      <c r="D13" s="7"/>
      <c r="H13" s="7"/>
    </row>
    <row r="15" spans="1:8" ht="18.75" x14ac:dyDescent="0.3">
      <c r="C15" t="s">
        <v>4</v>
      </c>
      <c r="D15" s="4">
        <f>D3-D11</f>
        <v>111139</v>
      </c>
      <c r="G15" t="s">
        <v>5</v>
      </c>
      <c r="H15" s="4">
        <f>H3-H11</f>
        <v>28123</v>
      </c>
    </row>
    <row r="18" spans="1:8" ht="15.75" x14ac:dyDescent="0.25">
      <c r="A18" t="s">
        <v>6</v>
      </c>
      <c r="C18" s="8">
        <f>D15</f>
        <v>111139</v>
      </c>
      <c r="E18" t="s">
        <v>10</v>
      </c>
      <c r="H18" s="6">
        <f>C27</f>
        <v>82083.991999999998</v>
      </c>
    </row>
    <row r="20" spans="1:8" ht="15.75" x14ac:dyDescent="0.25">
      <c r="A20" t="s">
        <v>5</v>
      </c>
      <c r="B20" s="9" t="s">
        <v>7</v>
      </c>
      <c r="C20" s="8">
        <f>H15</f>
        <v>28123</v>
      </c>
      <c r="E20" s="13" t="s">
        <v>11</v>
      </c>
      <c r="F20" s="9" t="s">
        <v>12</v>
      </c>
      <c r="G20" s="15" t="s">
        <v>17</v>
      </c>
      <c r="H20" s="3">
        <f>-(F21*0.007)</f>
        <v>-1370.6000000000001</v>
      </c>
    </row>
    <row r="21" spans="1:8" x14ac:dyDescent="0.25">
      <c r="F21" s="21">
        <f>D3-H3</f>
        <v>195800</v>
      </c>
    </row>
    <row r="22" spans="1:8" ht="16.5" thickBot="1" x14ac:dyDescent="0.3">
      <c r="A22" t="s">
        <v>8</v>
      </c>
      <c r="B22" s="9" t="s">
        <v>7</v>
      </c>
      <c r="C22" s="8">
        <f>D3*0.004</f>
        <v>932.00800000000004</v>
      </c>
      <c r="F22" s="9" t="s">
        <v>13</v>
      </c>
      <c r="G22" s="16">
        <v>0.35</v>
      </c>
      <c r="H22" s="17">
        <f>-(F23*0.35)</f>
        <v>-28729.397199999996</v>
      </c>
    </row>
    <row r="23" spans="1:8" x14ac:dyDescent="0.25">
      <c r="F23" s="21">
        <f>H18</f>
        <v>82083.991999999998</v>
      </c>
    </row>
    <row r="24" spans="1:8" ht="15.75" x14ac:dyDescent="0.25">
      <c r="A24" t="s">
        <v>9</v>
      </c>
      <c r="B24" s="9" t="s">
        <v>7</v>
      </c>
      <c r="C24" s="10"/>
      <c r="G24" s="13" t="s">
        <v>14</v>
      </c>
      <c r="H24" s="6">
        <f>H18+H20+H22</f>
        <v>51983.9948</v>
      </c>
    </row>
    <row r="25" spans="1:8" ht="15.75" thickBot="1" x14ac:dyDescent="0.3">
      <c r="A25" s="16"/>
      <c r="B25" s="14"/>
      <c r="C25" s="7"/>
    </row>
    <row r="26" spans="1:8" x14ac:dyDescent="0.25">
      <c r="E26" t="s">
        <v>100</v>
      </c>
      <c r="H26" s="20">
        <f>H24*0.35</f>
        <v>18194.39818</v>
      </c>
    </row>
    <row r="27" spans="1:8" ht="15.75" x14ac:dyDescent="0.25">
      <c r="A27" t="s">
        <v>10</v>
      </c>
      <c r="C27" s="10">
        <f>C18-C20-C22-C24</f>
        <v>82083.991999999998</v>
      </c>
      <c r="H27" s="18"/>
    </row>
    <row r="28" spans="1:8" x14ac:dyDescent="0.25">
      <c r="H28" s="3"/>
    </row>
    <row r="29" spans="1:8" x14ac:dyDescent="0.25">
      <c r="H29" s="18"/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1BB52-023D-427D-A88D-0B5DDB60CC61}">
  <dimension ref="A1:H29"/>
  <sheetViews>
    <sheetView topLeftCell="A10" workbookViewId="0">
      <selection activeCell="A7"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3.28515625" bestFit="1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228</v>
      </c>
    </row>
    <row r="3" spans="1:8" ht="21" x14ac:dyDescent="0.35">
      <c r="A3" s="2" t="s">
        <v>1</v>
      </c>
      <c r="D3" s="11">
        <v>201467</v>
      </c>
      <c r="F3" s="12" t="s">
        <v>3</v>
      </c>
      <c r="H3" s="11">
        <v>32167</v>
      </c>
    </row>
    <row r="4" spans="1:8" x14ac:dyDescent="0.25">
      <c r="A4" s="13" t="s">
        <v>29</v>
      </c>
      <c r="C4" s="28">
        <v>361</v>
      </c>
    </row>
    <row r="5" spans="1:8" ht="21" x14ac:dyDescent="0.35">
      <c r="A5" s="2" t="s">
        <v>2</v>
      </c>
    </row>
    <row r="7" spans="1:8" ht="18.75" x14ac:dyDescent="0.3">
      <c r="A7" s="5" t="s">
        <v>229</v>
      </c>
      <c r="D7" s="4">
        <v>154140</v>
      </c>
      <c r="E7" s="27"/>
      <c r="H7" s="4">
        <v>24611</v>
      </c>
    </row>
    <row r="8" spans="1:8" ht="18.75" x14ac:dyDescent="0.3">
      <c r="A8" s="5"/>
      <c r="D8" s="4"/>
      <c r="E8" s="27"/>
      <c r="H8" s="4"/>
    </row>
    <row r="9" spans="1:8" ht="18.75" x14ac:dyDescent="0.3">
      <c r="A9" s="5"/>
      <c r="D9" s="4"/>
      <c r="E9" s="27"/>
      <c r="H9" s="4"/>
    </row>
    <row r="10" spans="1:8" ht="19.5" thickBot="1" x14ac:dyDescent="0.35">
      <c r="A10" s="5"/>
      <c r="D10" s="23"/>
      <c r="E10" s="27"/>
      <c r="H10" s="23"/>
    </row>
    <row r="11" spans="1:8" ht="18.75" x14ac:dyDescent="0.3">
      <c r="D11" s="4">
        <f>SUM(D7:D10)</f>
        <v>154140</v>
      </c>
      <c r="H11" s="33">
        <f>SUM(H7:H10)</f>
        <v>24611</v>
      </c>
    </row>
    <row r="12" spans="1:8" ht="18.75" x14ac:dyDescent="0.3">
      <c r="A12" s="5"/>
      <c r="C12" s="3"/>
      <c r="D12" s="4"/>
      <c r="H12" s="4"/>
    </row>
    <row r="13" spans="1:8" ht="15.75" thickBot="1" x14ac:dyDescent="0.3">
      <c r="D13" s="7"/>
      <c r="H13" s="7"/>
    </row>
    <row r="15" spans="1:8" ht="18.75" x14ac:dyDescent="0.3">
      <c r="C15" t="s">
        <v>4</v>
      </c>
      <c r="D15" s="4">
        <f>D3-D11</f>
        <v>47327</v>
      </c>
      <c r="G15" t="s">
        <v>5</v>
      </c>
      <c r="H15" s="4">
        <f>H3-H11</f>
        <v>7556</v>
      </c>
    </row>
    <row r="18" spans="1:8" ht="15.75" x14ac:dyDescent="0.25">
      <c r="A18" t="s">
        <v>6</v>
      </c>
      <c r="C18" s="8">
        <f>D15</f>
        <v>47327</v>
      </c>
      <c r="E18" t="s">
        <v>10</v>
      </c>
      <c r="H18" s="6">
        <f>C27</f>
        <v>38965.131999999998</v>
      </c>
    </row>
    <row r="20" spans="1:8" ht="15.75" x14ac:dyDescent="0.25">
      <c r="A20" t="s">
        <v>5</v>
      </c>
      <c r="B20" s="9" t="s">
        <v>7</v>
      </c>
      <c r="C20" s="8">
        <f>H15</f>
        <v>7556</v>
      </c>
      <c r="E20" s="13" t="s">
        <v>11</v>
      </c>
      <c r="F20" s="9" t="s">
        <v>12</v>
      </c>
      <c r="G20" s="15" t="s">
        <v>17</v>
      </c>
      <c r="H20" s="3">
        <f>-(F21*0.007)</f>
        <v>-1185.1000000000001</v>
      </c>
    </row>
    <row r="21" spans="1:8" x14ac:dyDescent="0.25">
      <c r="F21" s="21">
        <f>D3-H3</f>
        <v>169300</v>
      </c>
    </row>
    <row r="22" spans="1:8" ht="16.5" thickBot="1" x14ac:dyDescent="0.3">
      <c r="A22" t="s">
        <v>8</v>
      </c>
      <c r="B22" s="9" t="s">
        <v>7</v>
      </c>
      <c r="C22" s="8">
        <f>D3*0.004</f>
        <v>805.86800000000005</v>
      </c>
      <c r="F22" s="9" t="s">
        <v>13</v>
      </c>
      <c r="G22" s="16">
        <v>0.35</v>
      </c>
      <c r="H22" s="17">
        <f>-(F23*0.35)</f>
        <v>-13637.796199999999</v>
      </c>
    </row>
    <row r="23" spans="1:8" x14ac:dyDescent="0.25">
      <c r="F23" s="21">
        <f>H18</f>
        <v>38965.131999999998</v>
      </c>
    </row>
    <row r="24" spans="1:8" ht="15.75" x14ac:dyDescent="0.25">
      <c r="A24" t="s">
        <v>9</v>
      </c>
      <c r="B24" s="9" t="s">
        <v>7</v>
      </c>
      <c r="C24" s="10"/>
      <c r="G24" s="13" t="s">
        <v>14</v>
      </c>
      <c r="H24" s="6">
        <f>H18+H20+H22</f>
        <v>24142.235800000002</v>
      </c>
    </row>
    <row r="25" spans="1:8" ht="15.75" thickBot="1" x14ac:dyDescent="0.3">
      <c r="A25" s="16"/>
      <c r="B25" s="14"/>
      <c r="C25" s="7"/>
    </row>
    <row r="26" spans="1:8" x14ac:dyDescent="0.25">
      <c r="E26" t="s">
        <v>100</v>
      </c>
      <c r="H26" s="20">
        <f>H24*0.35</f>
        <v>8449.7825300000004</v>
      </c>
    </row>
    <row r="27" spans="1:8" ht="15.75" x14ac:dyDescent="0.25">
      <c r="A27" t="s">
        <v>10</v>
      </c>
      <c r="C27" s="10">
        <f>C18-C20-C22-C24</f>
        <v>38965.131999999998</v>
      </c>
      <c r="H27" s="18"/>
    </row>
    <row r="28" spans="1:8" x14ac:dyDescent="0.25">
      <c r="H28" s="3"/>
    </row>
    <row r="29" spans="1:8" x14ac:dyDescent="0.25">
      <c r="H29" s="18"/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8ABF0-68E9-44FE-8B98-0885AF628987}">
  <dimension ref="A1:H29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3.28515625" bestFit="1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230</v>
      </c>
    </row>
    <row r="3" spans="1:8" ht="21" x14ac:dyDescent="0.35">
      <c r="A3" s="2" t="s">
        <v>1</v>
      </c>
      <c r="D3" s="11">
        <v>14399</v>
      </c>
      <c r="F3" s="12" t="s">
        <v>3</v>
      </c>
      <c r="H3" s="11">
        <v>2299</v>
      </c>
    </row>
    <row r="4" spans="1:8" x14ac:dyDescent="0.25">
      <c r="A4" s="13" t="s">
        <v>29</v>
      </c>
      <c r="C4" s="28">
        <v>362</v>
      </c>
    </row>
    <row r="5" spans="1:8" ht="21" x14ac:dyDescent="0.35">
      <c r="A5" s="2" t="s">
        <v>2</v>
      </c>
    </row>
    <row r="7" spans="1:8" ht="18.75" x14ac:dyDescent="0.3">
      <c r="A7" s="5" t="s">
        <v>231</v>
      </c>
      <c r="D7" s="4">
        <v>10960</v>
      </c>
      <c r="E7" s="27"/>
      <c r="H7" s="4">
        <v>920</v>
      </c>
    </row>
    <row r="8" spans="1:8" ht="18.75" x14ac:dyDescent="0.3">
      <c r="A8" s="5"/>
      <c r="D8" s="4"/>
      <c r="E8" s="27"/>
      <c r="H8" s="4"/>
    </row>
    <row r="9" spans="1:8" ht="18.75" x14ac:dyDescent="0.3">
      <c r="A9" s="5"/>
      <c r="D9" s="4"/>
      <c r="E9" s="27"/>
      <c r="H9" s="4"/>
    </row>
    <row r="10" spans="1:8" ht="19.5" thickBot="1" x14ac:dyDescent="0.35">
      <c r="A10" s="5"/>
      <c r="D10" s="23"/>
      <c r="E10" s="27"/>
      <c r="H10" s="23"/>
    </row>
    <row r="11" spans="1:8" ht="18.75" x14ac:dyDescent="0.3">
      <c r="D11" s="4">
        <f>SUM(D7:D10)</f>
        <v>10960</v>
      </c>
      <c r="H11" s="33">
        <f>SUM(H7:H10)</f>
        <v>920</v>
      </c>
    </row>
    <row r="12" spans="1:8" ht="18.75" x14ac:dyDescent="0.3">
      <c r="A12" s="5"/>
      <c r="C12" s="3"/>
      <c r="D12" s="4"/>
      <c r="H12" s="4"/>
    </row>
    <row r="13" spans="1:8" ht="15.75" thickBot="1" x14ac:dyDescent="0.3">
      <c r="D13" s="7"/>
      <c r="H13" s="7"/>
    </row>
    <row r="15" spans="1:8" ht="18.75" x14ac:dyDescent="0.3">
      <c r="C15" t="s">
        <v>4</v>
      </c>
      <c r="D15" s="4">
        <f>D3-D11</f>
        <v>3439</v>
      </c>
      <c r="G15" t="s">
        <v>5</v>
      </c>
      <c r="H15" s="4">
        <f>H3-H11</f>
        <v>1379</v>
      </c>
    </row>
    <row r="18" spans="1:8" ht="15.75" x14ac:dyDescent="0.25">
      <c r="A18" t="s">
        <v>6</v>
      </c>
      <c r="C18" s="8">
        <f>D15</f>
        <v>3439</v>
      </c>
      <c r="E18" t="s">
        <v>10</v>
      </c>
      <c r="H18" s="6">
        <f>C27</f>
        <v>2002.404</v>
      </c>
    </row>
    <row r="20" spans="1:8" ht="15.75" x14ac:dyDescent="0.25">
      <c r="A20" t="s">
        <v>5</v>
      </c>
      <c r="B20" s="9" t="s">
        <v>7</v>
      </c>
      <c r="C20" s="8">
        <f>H15</f>
        <v>1379</v>
      </c>
      <c r="E20" s="13" t="s">
        <v>11</v>
      </c>
      <c r="F20" s="9" t="s">
        <v>12</v>
      </c>
      <c r="G20" s="15" t="s">
        <v>17</v>
      </c>
      <c r="H20" s="3">
        <f>-(F21*0.007)</f>
        <v>-84.7</v>
      </c>
    </row>
    <row r="21" spans="1:8" x14ac:dyDescent="0.25">
      <c r="F21" s="21">
        <f>D3-H3</f>
        <v>12100</v>
      </c>
    </row>
    <row r="22" spans="1:8" ht="16.5" thickBot="1" x14ac:dyDescent="0.3">
      <c r="A22" t="s">
        <v>8</v>
      </c>
      <c r="B22" s="9" t="s">
        <v>7</v>
      </c>
      <c r="C22" s="8">
        <f>D3*0.004</f>
        <v>57.596000000000004</v>
      </c>
      <c r="F22" s="9" t="s">
        <v>13</v>
      </c>
      <c r="G22" s="16">
        <v>0.35</v>
      </c>
      <c r="H22" s="17">
        <f>-(F23*0.35)</f>
        <v>-700.84139999999991</v>
      </c>
    </row>
    <row r="23" spans="1:8" x14ac:dyDescent="0.25">
      <c r="F23" s="21">
        <f>H18</f>
        <v>2002.404</v>
      </c>
    </row>
    <row r="24" spans="1:8" ht="15.75" x14ac:dyDescent="0.25">
      <c r="A24" t="s">
        <v>9</v>
      </c>
      <c r="B24" s="9" t="s">
        <v>7</v>
      </c>
      <c r="C24" s="10"/>
      <c r="G24" s="13" t="s">
        <v>14</v>
      </c>
      <c r="H24" s="6">
        <f>H18+H20+H22</f>
        <v>1216.8625999999999</v>
      </c>
    </row>
    <row r="25" spans="1:8" ht="15.75" thickBot="1" x14ac:dyDescent="0.3">
      <c r="A25" s="16"/>
      <c r="B25" s="14"/>
      <c r="C25" s="7"/>
    </row>
    <row r="26" spans="1:8" x14ac:dyDescent="0.25">
      <c r="E26" t="s">
        <v>100</v>
      </c>
      <c r="H26" s="20">
        <f>H24*0.35</f>
        <v>425.90190999999993</v>
      </c>
    </row>
    <row r="27" spans="1:8" ht="15.75" x14ac:dyDescent="0.25">
      <c r="A27" t="s">
        <v>10</v>
      </c>
      <c r="C27" s="10">
        <f>C18-C20-C22-C24</f>
        <v>2002.404</v>
      </c>
      <c r="H27" s="18"/>
    </row>
    <row r="28" spans="1:8" x14ac:dyDescent="0.25">
      <c r="H28" s="3"/>
    </row>
    <row r="29" spans="1:8" x14ac:dyDescent="0.25">
      <c r="H29" s="18"/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93E40-CA1E-4300-997B-925774E8C137}">
  <dimension ref="A1:H29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3.28515625" bestFit="1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233</v>
      </c>
    </row>
    <row r="3" spans="1:8" ht="21" x14ac:dyDescent="0.35">
      <c r="A3" s="2" t="s">
        <v>1</v>
      </c>
      <c r="D3" s="11">
        <v>464100</v>
      </c>
      <c r="F3" s="12" t="s">
        <v>3</v>
      </c>
      <c r="H3" s="11">
        <v>74100</v>
      </c>
    </row>
    <row r="4" spans="1:8" x14ac:dyDescent="0.25">
      <c r="A4" s="13" t="s">
        <v>29</v>
      </c>
      <c r="C4" s="28">
        <v>367</v>
      </c>
    </row>
    <row r="5" spans="1:8" ht="21" x14ac:dyDescent="0.35">
      <c r="A5" s="2" t="s">
        <v>2</v>
      </c>
    </row>
    <row r="7" spans="1:8" ht="18.75" x14ac:dyDescent="0.3">
      <c r="A7" s="5" t="s">
        <v>234</v>
      </c>
      <c r="D7" s="4">
        <v>345100</v>
      </c>
      <c r="E7" s="27"/>
      <c r="H7" s="4">
        <v>55100</v>
      </c>
    </row>
    <row r="8" spans="1:8" ht="18.75" x14ac:dyDescent="0.3">
      <c r="A8" s="5"/>
      <c r="D8" s="4"/>
      <c r="E8" s="27"/>
      <c r="H8" s="4"/>
    </row>
    <row r="9" spans="1:8" ht="18.75" x14ac:dyDescent="0.3">
      <c r="A9" s="5"/>
      <c r="D9" s="4"/>
      <c r="E9" s="27"/>
      <c r="H9" s="4"/>
    </row>
    <row r="10" spans="1:8" ht="19.5" thickBot="1" x14ac:dyDescent="0.35">
      <c r="A10" s="5"/>
      <c r="D10" s="23"/>
      <c r="E10" s="27"/>
      <c r="H10" s="23"/>
    </row>
    <row r="11" spans="1:8" ht="18.75" x14ac:dyDescent="0.3">
      <c r="D11" s="4">
        <f>SUM(D7:D10)</f>
        <v>345100</v>
      </c>
      <c r="H11" s="33">
        <f>SUM(H7:H10)</f>
        <v>55100</v>
      </c>
    </row>
    <row r="12" spans="1:8" ht="18.75" x14ac:dyDescent="0.3">
      <c r="A12" s="5"/>
      <c r="C12" s="3"/>
      <c r="D12" s="4"/>
      <c r="H12" s="4"/>
    </row>
    <row r="13" spans="1:8" ht="15.75" thickBot="1" x14ac:dyDescent="0.3">
      <c r="D13" s="7"/>
      <c r="H13" s="7"/>
    </row>
    <row r="15" spans="1:8" ht="18.75" x14ac:dyDescent="0.3">
      <c r="C15" t="s">
        <v>4</v>
      </c>
      <c r="D15" s="4">
        <f>D3-D11</f>
        <v>119000</v>
      </c>
      <c r="G15" t="s">
        <v>5</v>
      </c>
      <c r="H15" s="4">
        <f>H3-H11</f>
        <v>19000</v>
      </c>
    </row>
    <row r="18" spans="1:8" ht="15.75" x14ac:dyDescent="0.25">
      <c r="A18" t="s">
        <v>6</v>
      </c>
      <c r="C18" s="8">
        <f>D15</f>
        <v>119000</v>
      </c>
      <c r="E18" t="s">
        <v>10</v>
      </c>
      <c r="H18" s="6">
        <f>C27</f>
        <v>98143.6</v>
      </c>
    </row>
    <row r="20" spans="1:8" ht="15.75" x14ac:dyDescent="0.25">
      <c r="A20" t="s">
        <v>5</v>
      </c>
      <c r="B20" s="9" t="s">
        <v>7</v>
      </c>
      <c r="C20" s="8">
        <f>H15</f>
        <v>19000</v>
      </c>
      <c r="E20" s="13" t="s">
        <v>11</v>
      </c>
      <c r="F20" s="9" t="s">
        <v>12</v>
      </c>
      <c r="G20" s="15" t="s">
        <v>17</v>
      </c>
      <c r="H20" s="3">
        <f>-(F21*0.007)</f>
        <v>-2730</v>
      </c>
    </row>
    <row r="21" spans="1:8" x14ac:dyDescent="0.25">
      <c r="F21" s="21">
        <f>D3-H3</f>
        <v>390000</v>
      </c>
    </row>
    <row r="22" spans="1:8" ht="16.5" thickBot="1" x14ac:dyDescent="0.3">
      <c r="A22" t="s">
        <v>8</v>
      </c>
      <c r="B22" s="9" t="s">
        <v>7</v>
      </c>
      <c r="C22" s="8">
        <f>D3*0.004</f>
        <v>1856.4</v>
      </c>
      <c r="F22" s="9" t="s">
        <v>13</v>
      </c>
      <c r="G22" s="16">
        <v>0.35</v>
      </c>
      <c r="H22" s="17">
        <f>-(F23*0.35)</f>
        <v>-34350.26</v>
      </c>
    </row>
    <row r="23" spans="1:8" x14ac:dyDescent="0.25">
      <c r="F23" s="21">
        <f>H18</f>
        <v>98143.6</v>
      </c>
    </row>
    <row r="24" spans="1:8" ht="15.75" x14ac:dyDescent="0.25">
      <c r="A24" t="s">
        <v>9</v>
      </c>
      <c r="B24" s="9" t="s">
        <v>7</v>
      </c>
      <c r="C24" s="10"/>
      <c r="G24" s="13" t="s">
        <v>14</v>
      </c>
      <c r="H24" s="6">
        <f>H18+H20+H22</f>
        <v>61063.340000000004</v>
      </c>
    </row>
    <row r="25" spans="1:8" ht="15.75" thickBot="1" x14ac:dyDescent="0.3">
      <c r="A25" s="16"/>
      <c r="B25" s="14"/>
      <c r="C25" s="7"/>
    </row>
    <row r="26" spans="1:8" x14ac:dyDescent="0.25">
      <c r="E26" t="s">
        <v>100</v>
      </c>
      <c r="H26" s="20">
        <f>H24*0.35</f>
        <v>21372.169000000002</v>
      </c>
    </row>
    <row r="27" spans="1:8" ht="15.75" x14ac:dyDescent="0.25">
      <c r="A27" t="s">
        <v>10</v>
      </c>
      <c r="C27" s="10">
        <f>C18-C20-C22-C24</f>
        <v>98143.6</v>
      </c>
      <c r="H27" s="18"/>
    </row>
    <row r="28" spans="1:8" x14ac:dyDescent="0.25">
      <c r="H28" s="3"/>
    </row>
    <row r="29" spans="1:8" x14ac:dyDescent="0.25">
      <c r="H29" s="18"/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A563E-0550-4182-BCE5-5EEFB4C71E1E}">
  <dimension ref="A1:H30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3.28515625" bestFit="1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189</v>
      </c>
    </row>
    <row r="3" spans="1:8" ht="21" x14ac:dyDescent="0.35">
      <c r="A3" s="2" t="s">
        <v>1</v>
      </c>
      <c r="D3" s="11">
        <v>7996094</v>
      </c>
      <c r="F3" s="12" t="s">
        <v>3</v>
      </c>
      <c r="H3" s="11">
        <v>1304084</v>
      </c>
    </row>
    <row r="4" spans="1:8" x14ac:dyDescent="0.25">
      <c r="A4" s="13" t="s">
        <v>29</v>
      </c>
      <c r="C4" s="28">
        <v>368</v>
      </c>
    </row>
    <row r="5" spans="1:8" ht="21" x14ac:dyDescent="0.35">
      <c r="A5" s="2" t="s">
        <v>2</v>
      </c>
    </row>
    <row r="7" spans="1:8" ht="18.75" x14ac:dyDescent="0.3">
      <c r="A7" s="5" t="s">
        <v>235</v>
      </c>
      <c r="D7" s="4">
        <v>50882</v>
      </c>
      <c r="E7" s="27"/>
      <c r="H7" s="4">
        <v>8132</v>
      </c>
    </row>
    <row r="8" spans="1:8" ht="18.75" x14ac:dyDescent="0.3">
      <c r="A8" s="5" t="s">
        <v>167</v>
      </c>
      <c r="D8" s="4">
        <v>707926</v>
      </c>
      <c r="E8" s="27"/>
      <c r="H8" s="4">
        <v>113030</v>
      </c>
    </row>
    <row r="9" spans="1:8" ht="18.75" x14ac:dyDescent="0.3">
      <c r="A9" s="5" t="s">
        <v>236</v>
      </c>
      <c r="D9" s="4">
        <v>1698910</v>
      </c>
      <c r="E9" s="27"/>
      <c r="H9" s="4">
        <v>271255</v>
      </c>
    </row>
    <row r="10" spans="1:8" ht="18.75" x14ac:dyDescent="0.3">
      <c r="A10" s="5" t="s">
        <v>238</v>
      </c>
      <c r="D10" s="4">
        <v>2281889</v>
      </c>
      <c r="E10" s="27"/>
      <c r="H10" s="4">
        <v>364335</v>
      </c>
    </row>
    <row r="11" spans="1:8" ht="19.5" thickBot="1" x14ac:dyDescent="0.35">
      <c r="A11" s="5" t="s">
        <v>237</v>
      </c>
      <c r="D11" s="23">
        <v>1444303</v>
      </c>
      <c r="E11" s="27"/>
      <c r="H11" s="23">
        <v>230603</v>
      </c>
    </row>
    <row r="12" spans="1:8" ht="18.75" x14ac:dyDescent="0.3">
      <c r="D12" s="4">
        <f>SUM(D7:D11)</f>
        <v>6183910</v>
      </c>
      <c r="H12" s="33">
        <f>SUM(H7:H11)</f>
        <v>987355</v>
      </c>
    </row>
    <row r="13" spans="1:8" ht="18.75" x14ac:dyDescent="0.3">
      <c r="A13" s="5"/>
      <c r="C13" s="3"/>
      <c r="D13" s="4"/>
      <c r="H13" s="4"/>
    </row>
    <row r="14" spans="1:8" ht="15.75" thickBot="1" x14ac:dyDescent="0.3">
      <c r="D14" s="7"/>
      <c r="H14" s="7"/>
    </row>
    <row r="16" spans="1:8" ht="18.75" x14ac:dyDescent="0.3">
      <c r="C16" t="s">
        <v>4</v>
      </c>
      <c r="D16" s="4">
        <f>D3-D12</f>
        <v>1812184</v>
      </c>
      <c r="G16" t="s">
        <v>5</v>
      </c>
      <c r="H16" s="4">
        <f>H3-H12</f>
        <v>316729</v>
      </c>
    </row>
    <row r="19" spans="1:8" ht="15.75" x14ac:dyDescent="0.25">
      <c r="A19" t="s">
        <v>6</v>
      </c>
      <c r="C19" s="8">
        <f>D16</f>
        <v>1812184</v>
      </c>
      <c r="E19" t="s">
        <v>10</v>
      </c>
      <c r="H19" s="6">
        <f>C28</f>
        <v>1463470.6240000001</v>
      </c>
    </row>
    <row r="21" spans="1:8" ht="15.75" x14ac:dyDescent="0.25">
      <c r="A21" t="s">
        <v>5</v>
      </c>
      <c r="B21" s="9" t="s">
        <v>7</v>
      </c>
      <c r="C21" s="8">
        <f>H16</f>
        <v>316729</v>
      </c>
      <c r="E21" s="13" t="s">
        <v>11</v>
      </c>
      <c r="F21" s="9" t="s">
        <v>12</v>
      </c>
      <c r="G21" s="15" t="s">
        <v>17</v>
      </c>
      <c r="H21" s="3">
        <f>-(F22*0.007)</f>
        <v>-46844.07</v>
      </c>
    </row>
    <row r="22" spans="1:8" x14ac:dyDescent="0.25">
      <c r="F22" s="21">
        <f>D3-H3</f>
        <v>6692010</v>
      </c>
    </row>
    <row r="23" spans="1:8" ht="16.5" thickBot="1" x14ac:dyDescent="0.3">
      <c r="A23" t="s">
        <v>8</v>
      </c>
      <c r="B23" s="9" t="s">
        <v>7</v>
      </c>
      <c r="C23" s="8">
        <f>D3*0.004</f>
        <v>31984.376</v>
      </c>
      <c r="F23" s="9" t="s">
        <v>13</v>
      </c>
      <c r="G23" s="16">
        <v>0.35</v>
      </c>
      <c r="H23" s="17">
        <f>-(F24*0.35)</f>
        <v>-512214.71840000001</v>
      </c>
    </row>
    <row r="24" spans="1:8" x14ac:dyDescent="0.25">
      <c r="F24" s="21">
        <f>H19</f>
        <v>1463470.6240000001</v>
      </c>
    </row>
    <row r="25" spans="1:8" ht="15.75" x14ac:dyDescent="0.25">
      <c r="A25" t="s">
        <v>9</v>
      </c>
      <c r="B25" s="9" t="s">
        <v>7</v>
      </c>
      <c r="C25" s="10"/>
      <c r="G25" s="13" t="s">
        <v>14</v>
      </c>
      <c r="H25" s="6">
        <f>H19+H21+H23</f>
        <v>904411.83559999999</v>
      </c>
    </row>
    <row r="26" spans="1:8" ht="15.75" thickBot="1" x14ac:dyDescent="0.3">
      <c r="A26" s="16"/>
      <c r="B26" s="14"/>
      <c r="C26" s="7"/>
    </row>
    <row r="27" spans="1:8" x14ac:dyDescent="0.25">
      <c r="E27" t="s">
        <v>100</v>
      </c>
      <c r="H27" s="20">
        <f>H25*0.35</f>
        <v>316544.14246</v>
      </c>
    </row>
    <row r="28" spans="1:8" ht="15.75" x14ac:dyDescent="0.25">
      <c r="A28" t="s">
        <v>10</v>
      </c>
      <c r="C28" s="10">
        <f>C19-C21-C23-C25</f>
        <v>1463470.6240000001</v>
      </c>
      <c r="H28" s="18"/>
    </row>
    <row r="29" spans="1:8" x14ac:dyDescent="0.25">
      <c r="H29" s="3"/>
    </row>
    <row r="30" spans="1:8" x14ac:dyDescent="0.25">
      <c r="H30" s="18"/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4F92B-47EA-4785-8D59-60DE9EC85CED}">
  <dimension ref="A1:H30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3.28515625" bestFit="1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239</v>
      </c>
    </row>
    <row r="3" spans="1:8" ht="21" x14ac:dyDescent="0.35">
      <c r="A3" s="2" t="s">
        <v>1</v>
      </c>
      <c r="D3" s="11">
        <v>452200</v>
      </c>
      <c r="F3" s="12" t="s">
        <v>3</v>
      </c>
      <c r="H3" s="11">
        <v>72200</v>
      </c>
    </row>
    <row r="4" spans="1:8" x14ac:dyDescent="0.25">
      <c r="A4" s="13" t="s">
        <v>29</v>
      </c>
      <c r="C4" s="28">
        <v>372</v>
      </c>
    </row>
    <row r="5" spans="1:8" ht="21" x14ac:dyDescent="0.35">
      <c r="A5" s="2" t="s">
        <v>2</v>
      </c>
    </row>
    <row r="7" spans="1:8" ht="18.75" x14ac:dyDescent="0.3">
      <c r="A7" s="5" t="s">
        <v>240</v>
      </c>
      <c r="D7" s="4">
        <v>241200</v>
      </c>
      <c r="E7" s="27"/>
      <c r="H7" s="4">
        <v>34200</v>
      </c>
    </row>
    <row r="8" spans="1:8" ht="18.75" x14ac:dyDescent="0.3">
      <c r="A8" s="5"/>
      <c r="D8" s="4"/>
      <c r="E8" s="27"/>
      <c r="H8" s="4"/>
    </row>
    <row r="9" spans="1:8" ht="18.75" x14ac:dyDescent="0.3">
      <c r="A9" s="5"/>
      <c r="D9" s="4"/>
      <c r="E9" s="27"/>
      <c r="H9" s="4"/>
    </row>
    <row r="10" spans="1:8" ht="18.75" x14ac:dyDescent="0.3">
      <c r="A10" s="5"/>
      <c r="D10" s="4"/>
      <c r="E10" s="27"/>
      <c r="H10" s="4"/>
    </row>
    <row r="11" spans="1:8" ht="19.5" thickBot="1" x14ac:dyDescent="0.35">
      <c r="A11" s="5"/>
      <c r="D11" s="23"/>
      <c r="E11" s="27"/>
      <c r="H11" s="23"/>
    </row>
    <row r="12" spans="1:8" ht="18.75" x14ac:dyDescent="0.3">
      <c r="D12" s="4">
        <f>SUM(D7:D11)</f>
        <v>241200</v>
      </c>
      <c r="H12" s="33">
        <f>SUM(H7:H11)</f>
        <v>34200</v>
      </c>
    </row>
    <row r="13" spans="1:8" ht="18.75" x14ac:dyDescent="0.3">
      <c r="A13" s="5"/>
      <c r="C13" s="3"/>
      <c r="D13" s="4"/>
      <c r="H13" s="4"/>
    </row>
    <row r="14" spans="1:8" ht="15.75" thickBot="1" x14ac:dyDescent="0.3">
      <c r="D14" s="7"/>
      <c r="H14" s="7"/>
    </row>
    <row r="16" spans="1:8" ht="18.75" x14ac:dyDescent="0.3">
      <c r="C16" t="s">
        <v>4</v>
      </c>
      <c r="D16" s="4">
        <f>D3-D12</f>
        <v>211000</v>
      </c>
      <c r="G16" t="s">
        <v>5</v>
      </c>
      <c r="H16" s="4">
        <f>H3-H12</f>
        <v>38000</v>
      </c>
    </row>
    <row r="19" spans="1:8" ht="15.75" x14ac:dyDescent="0.25">
      <c r="A19" t="s">
        <v>6</v>
      </c>
      <c r="C19" s="8">
        <f>D16</f>
        <v>211000</v>
      </c>
      <c r="E19" t="s">
        <v>10</v>
      </c>
      <c r="H19" s="6">
        <f>C28</f>
        <v>171191.2</v>
      </c>
    </row>
    <row r="21" spans="1:8" ht="15.75" x14ac:dyDescent="0.25">
      <c r="A21" t="s">
        <v>5</v>
      </c>
      <c r="B21" s="9" t="s">
        <v>7</v>
      </c>
      <c r="C21" s="8">
        <f>H16</f>
        <v>38000</v>
      </c>
      <c r="E21" s="13" t="s">
        <v>11</v>
      </c>
      <c r="F21" s="9" t="s">
        <v>12</v>
      </c>
      <c r="G21" s="15" t="s">
        <v>17</v>
      </c>
      <c r="H21" s="3">
        <f>-(F22*0.007)</f>
        <v>-2660</v>
      </c>
    </row>
    <row r="22" spans="1:8" x14ac:dyDescent="0.25">
      <c r="F22" s="21">
        <f>D3-H3</f>
        <v>380000</v>
      </c>
    </row>
    <row r="23" spans="1:8" ht="16.5" thickBot="1" x14ac:dyDescent="0.3">
      <c r="A23" t="s">
        <v>8</v>
      </c>
      <c r="B23" s="9" t="s">
        <v>7</v>
      </c>
      <c r="C23" s="8">
        <f>D3*0.004</f>
        <v>1808.8</v>
      </c>
      <c r="F23" s="9" t="s">
        <v>13</v>
      </c>
      <c r="G23" s="16">
        <v>0.35</v>
      </c>
      <c r="H23" s="17">
        <f>-(F24*0.35)</f>
        <v>-59916.92</v>
      </c>
    </row>
    <row r="24" spans="1:8" x14ac:dyDescent="0.25">
      <c r="F24" s="21">
        <f>H19</f>
        <v>171191.2</v>
      </c>
    </row>
    <row r="25" spans="1:8" ht="15.75" x14ac:dyDescent="0.25">
      <c r="A25" t="s">
        <v>9</v>
      </c>
      <c r="B25" s="9" t="s">
        <v>7</v>
      </c>
      <c r="C25" s="10"/>
      <c r="G25" s="13" t="s">
        <v>14</v>
      </c>
      <c r="H25" s="6">
        <f>H19+H21+H23</f>
        <v>108614.28000000001</v>
      </c>
    </row>
    <row r="26" spans="1:8" ht="15.75" thickBot="1" x14ac:dyDescent="0.3">
      <c r="A26" s="16"/>
      <c r="B26" s="14"/>
      <c r="C26" s="7"/>
    </row>
    <row r="27" spans="1:8" x14ac:dyDescent="0.25">
      <c r="E27" t="s">
        <v>100</v>
      </c>
      <c r="H27" s="20">
        <f>H25*0.35</f>
        <v>38014.998</v>
      </c>
    </row>
    <row r="28" spans="1:8" ht="15.75" x14ac:dyDescent="0.25">
      <c r="A28" t="s">
        <v>10</v>
      </c>
      <c r="C28" s="10">
        <f>C19-C21-C23-C25</f>
        <v>171191.2</v>
      </c>
      <c r="H28" s="18"/>
    </row>
    <row r="29" spans="1:8" x14ac:dyDescent="0.25">
      <c r="H29" s="3"/>
    </row>
    <row r="30" spans="1:8" x14ac:dyDescent="0.25">
      <c r="H30" s="18"/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9946A-8A0E-46CC-842F-7CBEA5BB88B3}">
  <dimension ref="A1:H30"/>
  <sheetViews>
    <sheetView topLeftCell="A7" workbookViewId="0">
      <selection activeCell="J17" sqref="J17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3.28515625" bestFit="1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280</v>
      </c>
    </row>
    <row r="3" spans="1:8" ht="21" x14ac:dyDescent="0.35">
      <c r="A3" s="2" t="s">
        <v>1</v>
      </c>
      <c r="D3" s="11">
        <v>37009</v>
      </c>
      <c r="F3" s="12" t="s">
        <v>3</v>
      </c>
      <c r="H3" s="11">
        <v>5909</v>
      </c>
    </row>
    <row r="4" spans="1:8" x14ac:dyDescent="0.25">
      <c r="A4" s="13" t="s">
        <v>29</v>
      </c>
      <c r="C4" s="28">
        <v>373</v>
      </c>
    </row>
    <row r="5" spans="1:8" ht="21" x14ac:dyDescent="0.35">
      <c r="A5" s="2" t="s">
        <v>2</v>
      </c>
    </row>
    <row r="7" spans="1:8" ht="18.75" x14ac:dyDescent="0.3">
      <c r="A7" s="5" t="s">
        <v>281</v>
      </c>
      <c r="D7" s="4">
        <v>24735</v>
      </c>
      <c r="E7" s="27"/>
      <c r="H7" s="4">
        <v>3949</v>
      </c>
    </row>
    <row r="8" spans="1:8" ht="18.75" x14ac:dyDescent="0.3">
      <c r="A8" s="5"/>
      <c r="D8" s="4"/>
      <c r="E8" s="27"/>
      <c r="H8" s="4"/>
    </row>
    <row r="9" spans="1:8" ht="18.75" x14ac:dyDescent="0.3">
      <c r="A9" s="5"/>
      <c r="D9" s="4"/>
      <c r="E9" s="27"/>
      <c r="H9" s="4"/>
    </row>
    <row r="10" spans="1:8" ht="18.75" x14ac:dyDescent="0.3">
      <c r="A10" s="5"/>
      <c r="D10" s="4"/>
      <c r="E10" s="27"/>
      <c r="H10" s="4"/>
    </row>
    <row r="11" spans="1:8" ht="19.5" thickBot="1" x14ac:dyDescent="0.35">
      <c r="A11" s="5"/>
      <c r="D11" s="23"/>
      <c r="E11" s="27"/>
      <c r="H11" s="23"/>
    </row>
    <row r="12" spans="1:8" ht="18.75" x14ac:dyDescent="0.3">
      <c r="D12" s="4">
        <f>SUM(D7:D11)</f>
        <v>24735</v>
      </c>
      <c r="H12" s="33">
        <f>SUM(H7:H11)</f>
        <v>3949</v>
      </c>
    </row>
    <row r="13" spans="1:8" ht="18.75" x14ac:dyDescent="0.3">
      <c r="A13" s="5"/>
      <c r="C13" s="3"/>
      <c r="D13" s="4"/>
      <c r="H13" s="4"/>
    </row>
    <row r="14" spans="1:8" ht="15.75" thickBot="1" x14ac:dyDescent="0.3">
      <c r="D14" s="7"/>
      <c r="H14" s="7"/>
    </row>
    <row r="16" spans="1:8" ht="18.75" x14ac:dyDescent="0.3">
      <c r="C16" t="s">
        <v>4</v>
      </c>
      <c r="D16" s="4">
        <f>D3-D12</f>
        <v>12274</v>
      </c>
      <c r="G16" t="s">
        <v>5</v>
      </c>
      <c r="H16" s="4">
        <f>H3-H12</f>
        <v>1960</v>
      </c>
    </row>
    <row r="19" spans="1:8" ht="15.75" x14ac:dyDescent="0.25">
      <c r="A19" t="s">
        <v>6</v>
      </c>
      <c r="C19" s="8">
        <f>D16</f>
        <v>12274</v>
      </c>
      <c r="E19" t="s">
        <v>10</v>
      </c>
      <c r="H19" s="6">
        <f>C28</f>
        <v>10165.964</v>
      </c>
    </row>
    <row r="21" spans="1:8" ht="15.75" x14ac:dyDescent="0.25">
      <c r="A21" t="s">
        <v>5</v>
      </c>
      <c r="B21" s="9" t="s">
        <v>7</v>
      </c>
      <c r="C21" s="8">
        <f>H16</f>
        <v>1960</v>
      </c>
      <c r="E21" s="13" t="s">
        <v>11</v>
      </c>
      <c r="F21" s="9" t="s">
        <v>12</v>
      </c>
      <c r="G21" s="15" t="s">
        <v>17</v>
      </c>
      <c r="H21" s="3">
        <f>-(F22*0.007)</f>
        <v>-217.70000000000002</v>
      </c>
    </row>
    <row r="22" spans="1:8" x14ac:dyDescent="0.25">
      <c r="F22" s="21">
        <f>D3-H3</f>
        <v>31100</v>
      </c>
    </row>
    <row r="23" spans="1:8" ht="16.5" thickBot="1" x14ac:dyDescent="0.3">
      <c r="A23" t="s">
        <v>8</v>
      </c>
      <c r="B23" s="9" t="s">
        <v>7</v>
      </c>
      <c r="C23" s="8">
        <f>D3*0.004</f>
        <v>148.036</v>
      </c>
      <c r="F23" s="9" t="s">
        <v>13</v>
      </c>
      <c r="G23" s="16">
        <v>0.35</v>
      </c>
      <c r="H23" s="17">
        <f>-(F24*0.35)</f>
        <v>-3558.0873999999999</v>
      </c>
    </row>
    <row r="24" spans="1:8" x14ac:dyDescent="0.25">
      <c r="F24" s="21">
        <f>H19</f>
        <v>10165.964</v>
      </c>
    </row>
    <row r="25" spans="1:8" ht="15.75" x14ac:dyDescent="0.25">
      <c r="A25" t="s">
        <v>9</v>
      </c>
      <c r="B25" s="9" t="s">
        <v>7</v>
      </c>
      <c r="C25" s="10"/>
      <c r="G25" s="13" t="s">
        <v>14</v>
      </c>
      <c r="H25" s="6">
        <f>H19+H21+H23</f>
        <v>6390.1765999999989</v>
      </c>
    </row>
    <row r="26" spans="1:8" ht="15.75" thickBot="1" x14ac:dyDescent="0.3">
      <c r="A26" s="16"/>
      <c r="B26" s="14"/>
      <c r="C26" s="7"/>
    </row>
    <row r="27" spans="1:8" x14ac:dyDescent="0.25">
      <c r="E27" t="s">
        <v>100</v>
      </c>
      <c r="H27" s="20">
        <f>H25*0.35</f>
        <v>2236.5618099999992</v>
      </c>
    </row>
    <row r="28" spans="1:8" ht="15.75" x14ac:dyDescent="0.25">
      <c r="A28" t="s">
        <v>10</v>
      </c>
      <c r="C28" s="10">
        <f>C19-C21-C23-C25</f>
        <v>10165.964</v>
      </c>
      <c r="H28" s="18"/>
    </row>
    <row r="29" spans="1:8" x14ac:dyDescent="0.25">
      <c r="H29" s="3"/>
    </row>
    <row r="30" spans="1:8" x14ac:dyDescent="0.25">
      <c r="H30" s="18"/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78D4E-5DA4-4E08-B899-C8D792FD069A}">
  <dimension ref="A1:H30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3.28515625" bestFit="1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241</v>
      </c>
    </row>
    <row r="3" spans="1:8" ht="21" x14ac:dyDescent="0.35">
      <c r="A3" s="2" t="s">
        <v>1</v>
      </c>
      <c r="D3" s="11">
        <v>2346152</v>
      </c>
      <c r="F3" s="12" t="s">
        <v>3</v>
      </c>
      <c r="H3" s="11">
        <v>382634</v>
      </c>
    </row>
    <row r="4" spans="1:8" x14ac:dyDescent="0.25">
      <c r="A4" s="13" t="s">
        <v>29</v>
      </c>
      <c r="C4" s="28">
        <v>378</v>
      </c>
    </row>
    <row r="5" spans="1:8" ht="21" x14ac:dyDescent="0.35">
      <c r="A5" s="2" t="s">
        <v>2</v>
      </c>
    </row>
    <row r="7" spans="1:8" ht="18.75" x14ac:dyDescent="0.3">
      <c r="A7" s="5" t="s">
        <v>242</v>
      </c>
      <c r="D7" s="4">
        <v>804646</v>
      </c>
      <c r="E7" s="27"/>
      <c r="H7" s="4">
        <v>128473</v>
      </c>
    </row>
    <row r="8" spans="1:8" ht="18.75" x14ac:dyDescent="0.3">
      <c r="A8" s="5" t="s">
        <v>243</v>
      </c>
      <c r="D8" s="4">
        <v>183260</v>
      </c>
      <c r="E8" s="27"/>
      <c r="H8" s="4">
        <v>29260</v>
      </c>
    </row>
    <row r="9" spans="1:8" ht="18.75" x14ac:dyDescent="0.3">
      <c r="A9" s="5" t="s">
        <v>244</v>
      </c>
      <c r="D9" s="4">
        <v>11520</v>
      </c>
      <c r="E9" s="27"/>
      <c r="H9" s="4"/>
    </row>
    <row r="10" spans="1:8" ht="18.75" x14ac:dyDescent="0.3">
      <c r="A10" s="5" t="s">
        <v>245</v>
      </c>
      <c r="D10" s="4">
        <v>653143</v>
      </c>
      <c r="E10" s="27"/>
      <c r="H10" s="4">
        <v>104283</v>
      </c>
    </row>
    <row r="11" spans="1:8" ht="19.5" thickBot="1" x14ac:dyDescent="0.35">
      <c r="A11" s="5" t="s">
        <v>246</v>
      </c>
      <c r="D11" s="23">
        <v>17821</v>
      </c>
      <c r="E11" s="27"/>
      <c r="H11" s="23">
        <v>2845</v>
      </c>
    </row>
    <row r="12" spans="1:8" ht="18.75" x14ac:dyDescent="0.3">
      <c r="D12" s="4">
        <f>SUM(D7:D11)</f>
        <v>1670390</v>
      </c>
      <c r="H12" s="33">
        <f>SUM(H7:H11)</f>
        <v>264861</v>
      </c>
    </row>
    <row r="13" spans="1:8" ht="18.75" x14ac:dyDescent="0.3">
      <c r="A13" s="5"/>
      <c r="C13" s="3"/>
      <c r="D13" s="4"/>
      <c r="H13" s="4"/>
    </row>
    <row r="14" spans="1:8" ht="15.75" thickBot="1" x14ac:dyDescent="0.3">
      <c r="D14" s="7"/>
      <c r="H14" s="7"/>
    </row>
    <row r="16" spans="1:8" ht="18.75" x14ac:dyDescent="0.3">
      <c r="C16" t="s">
        <v>4</v>
      </c>
      <c r="D16" s="4">
        <f>D3-D12</f>
        <v>675762</v>
      </c>
      <c r="G16" t="s">
        <v>5</v>
      </c>
      <c r="H16" s="4">
        <f>H3-H12</f>
        <v>117773</v>
      </c>
    </row>
    <row r="19" spans="1:8" ht="15.75" x14ac:dyDescent="0.25">
      <c r="A19" t="s">
        <v>6</v>
      </c>
      <c r="C19" s="8">
        <f>D16</f>
        <v>675762</v>
      </c>
      <c r="E19" t="s">
        <v>10</v>
      </c>
      <c r="H19" s="6">
        <f>C28</f>
        <v>548604.39199999999</v>
      </c>
    </row>
    <row r="21" spans="1:8" ht="15.75" x14ac:dyDescent="0.25">
      <c r="A21" t="s">
        <v>5</v>
      </c>
      <c r="B21" s="9" t="s">
        <v>7</v>
      </c>
      <c r="C21" s="8">
        <f>H16</f>
        <v>117773</v>
      </c>
      <c r="E21" s="13" t="s">
        <v>11</v>
      </c>
      <c r="F21" s="9" t="s">
        <v>12</v>
      </c>
      <c r="G21" s="15" t="s">
        <v>17</v>
      </c>
      <c r="H21" s="3">
        <f>-(F22*0.007)</f>
        <v>-13744.626</v>
      </c>
    </row>
    <row r="22" spans="1:8" x14ac:dyDescent="0.25">
      <c r="F22" s="21">
        <f>D3-H3</f>
        <v>1963518</v>
      </c>
    </row>
    <row r="23" spans="1:8" ht="16.5" thickBot="1" x14ac:dyDescent="0.3">
      <c r="A23" t="s">
        <v>8</v>
      </c>
      <c r="B23" s="9" t="s">
        <v>7</v>
      </c>
      <c r="C23" s="8">
        <f>D3*0.004</f>
        <v>9384.6080000000002</v>
      </c>
      <c r="F23" s="9" t="s">
        <v>13</v>
      </c>
      <c r="G23" s="16">
        <v>0.35</v>
      </c>
      <c r="H23" s="17">
        <f>-(F24*0.35)</f>
        <v>-192011.53719999999</v>
      </c>
    </row>
    <row r="24" spans="1:8" x14ac:dyDescent="0.25">
      <c r="F24" s="21">
        <f>H19</f>
        <v>548604.39199999999</v>
      </c>
    </row>
    <row r="25" spans="1:8" ht="15.75" x14ac:dyDescent="0.25">
      <c r="A25" t="s">
        <v>9</v>
      </c>
      <c r="B25" s="9" t="s">
        <v>7</v>
      </c>
      <c r="C25" s="10"/>
      <c r="G25" s="13" t="s">
        <v>14</v>
      </c>
      <c r="H25" s="6">
        <f>H19+H21+H23</f>
        <v>342848.22879999992</v>
      </c>
    </row>
    <row r="26" spans="1:8" ht="15.75" thickBot="1" x14ac:dyDescent="0.3">
      <c r="A26" s="16"/>
      <c r="B26" s="14"/>
      <c r="C26" s="7"/>
    </row>
    <row r="27" spans="1:8" x14ac:dyDescent="0.25">
      <c r="E27" t="s">
        <v>100</v>
      </c>
      <c r="H27" s="20">
        <f>H25*0.35</f>
        <v>119996.88007999996</v>
      </c>
    </row>
    <row r="28" spans="1:8" ht="15.75" x14ac:dyDescent="0.25">
      <c r="A28" t="s">
        <v>10</v>
      </c>
      <c r="C28" s="10">
        <f>C19-C21-C23-C25</f>
        <v>548604.39199999999</v>
      </c>
      <c r="H28" s="18"/>
    </row>
    <row r="29" spans="1:8" x14ac:dyDescent="0.25">
      <c r="H29" s="3"/>
    </row>
    <row r="30" spans="1:8" x14ac:dyDescent="0.25">
      <c r="H30" s="18"/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799E7-F5BD-47D8-8D41-8C961DDC153A}">
  <dimension ref="A1:H30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3.28515625" bestFit="1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247</v>
      </c>
    </row>
    <row r="3" spans="1:8" ht="21" x14ac:dyDescent="0.35">
      <c r="A3" s="2" t="s">
        <v>1</v>
      </c>
      <c r="D3" s="11">
        <v>43435</v>
      </c>
      <c r="F3" s="12" t="s">
        <v>3</v>
      </c>
      <c r="H3" s="11">
        <v>6935</v>
      </c>
    </row>
    <row r="4" spans="1:8" x14ac:dyDescent="0.25">
      <c r="A4" s="13" t="s">
        <v>29</v>
      </c>
      <c r="C4" s="28">
        <v>379</v>
      </c>
    </row>
    <row r="5" spans="1:8" ht="21" x14ac:dyDescent="0.35">
      <c r="A5" s="2" t="s">
        <v>2</v>
      </c>
    </row>
    <row r="7" spans="1:8" ht="18.75" x14ac:dyDescent="0.3">
      <c r="A7" s="5" t="s">
        <v>248</v>
      </c>
      <c r="D7" s="4">
        <v>26180</v>
      </c>
      <c r="E7" s="27"/>
      <c r="H7" s="4">
        <v>4180</v>
      </c>
    </row>
    <row r="8" spans="1:8" ht="18.75" x14ac:dyDescent="0.3">
      <c r="A8" s="5"/>
      <c r="D8" s="4"/>
      <c r="E8" s="27"/>
      <c r="H8" s="4"/>
    </row>
    <row r="9" spans="1:8" ht="18.75" x14ac:dyDescent="0.3">
      <c r="A9" s="5"/>
      <c r="D9" s="4"/>
      <c r="E9" s="27"/>
      <c r="H9" s="4"/>
    </row>
    <row r="10" spans="1:8" ht="18.75" x14ac:dyDescent="0.3">
      <c r="A10" s="5"/>
      <c r="D10" s="4"/>
      <c r="E10" s="27"/>
      <c r="H10" s="4"/>
    </row>
    <row r="11" spans="1:8" ht="19.5" thickBot="1" x14ac:dyDescent="0.35">
      <c r="A11" s="5"/>
      <c r="D11" s="23"/>
      <c r="E11" s="27"/>
      <c r="H11" s="23"/>
    </row>
    <row r="12" spans="1:8" ht="18.75" x14ac:dyDescent="0.3">
      <c r="D12" s="4">
        <f>SUM(D7:D11)</f>
        <v>26180</v>
      </c>
      <c r="H12" s="33">
        <f>SUM(H7:H11)</f>
        <v>4180</v>
      </c>
    </row>
    <row r="13" spans="1:8" ht="18.75" x14ac:dyDescent="0.3">
      <c r="A13" s="5"/>
      <c r="C13" s="3"/>
      <c r="D13" s="4"/>
      <c r="H13" s="4"/>
    </row>
    <row r="14" spans="1:8" ht="15.75" thickBot="1" x14ac:dyDescent="0.3">
      <c r="D14" s="7"/>
      <c r="H14" s="7"/>
    </row>
    <row r="16" spans="1:8" ht="18.75" x14ac:dyDescent="0.3">
      <c r="C16" t="s">
        <v>4</v>
      </c>
      <c r="D16" s="4">
        <f>D3-D12</f>
        <v>17255</v>
      </c>
      <c r="G16" t="s">
        <v>5</v>
      </c>
      <c r="H16" s="4">
        <f>H3-H12</f>
        <v>2755</v>
      </c>
    </row>
    <row r="19" spans="1:8" ht="15.75" x14ac:dyDescent="0.25">
      <c r="A19" t="s">
        <v>6</v>
      </c>
      <c r="C19" s="8">
        <f>D16</f>
        <v>17255</v>
      </c>
      <c r="E19" t="s">
        <v>10</v>
      </c>
      <c r="H19" s="6">
        <f>C28</f>
        <v>14326.26</v>
      </c>
    </row>
    <row r="21" spans="1:8" ht="15.75" x14ac:dyDescent="0.25">
      <c r="A21" t="s">
        <v>5</v>
      </c>
      <c r="B21" s="9" t="s">
        <v>7</v>
      </c>
      <c r="C21" s="8">
        <f>H16</f>
        <v>2755</v>
      </c>
      <c r="E21" s="13" t="s">
        <v>11</v>
      </c>
      <c r="F21" s="9" t="s">
        <v>12</v>
      </c>
      <c r="G21" s="15" t="s">
        <v>17</v>
      </c>
      <c r="H21" s="3">
        <f>-(F22*0.007)</f>
        <v>-255.5</v>
      </c>
    </row>
    <row r="22" spans="1:8" x14ac:dyDescent="0.25">
      <c r="F22" s="21">
        <f>D3-H3</f>
        <v>36500</v>
      </c>
    </row>
    <row r="23" spans="1:8" ht="16.5" thickBot="1" x14ac:dyDescent="0.3">
      <c r="A23" t="s">
        <v>8</v>
      </c>
      <c r="B23" s="9" t="s">
        <v>7</v>
      </c>
      <c r="C23" s="8">
        <f>D3*0.004</f>
        <v>173.74</v>
      </c>
      <c r="F23" s="9" t="s">
        <v>13</v>
      </c>
      <c r="G23" s="16">
        <v>0.35</v>
      </c>
      <c r="H23" s="17">
        <f>-(F24*0.35)</f>
        <v>-5014.1909999999998</v>
      </c>
    </row>
    <row r="24" spans="1:8" x14ac:dyDescent="0.25">
      <c r="F24" s="21">
        <f>H19</f>
        <v>14326.26</v>
      </c>
    </row>
    <row r="25" spans="1:8" ht="15.75" x14ac:dyDescent="0.25">
      <c r="A25" t="s">
        <v>9</v>
      </c>
      <c r="B25" s="9" t="s">
        <v>7</v>
      </c>
      <c r="C25" s="10"/>
      <c r="G25" s="13" t="s">
        <v>14</v>
      </c>
      <c r="H25" s="6">
        <f>H19+H21+H23</f>
        <v>9056.5689999999995</v>
      </c>
    </row>
    <row r="26" spans="1:8" ht="15.75" thickBot="1" x14ac:dyDescent="0.3">
      <c r="A26" s="16"/>
      <c r="B26" s="14"/>
      <c r="C26" s="7"/>
    </row>
    <row r="27" spans="1:8" x14ac:dyDescent="0.25">
      <c r="E27" t="s">
        <v>100</v>
      </c>
      <c r="H27" s="20">
        <f>H25*0.35</f>
        <v>3169.7991499999998</v>
      </c>
    </row>
    <row r="28" spans="1:8" ht="15.75" x14ac:dyDescent="0.25">
      <c r="A28" t="s">
        <v>10</v>
      </c>
      <c r="C28" s="10">
        <f>C19-C21-C23-C25</f>
        <v>14326.26</v>
      </c>
      <c r="H28" s="18"/>
    </row>
    <row r="29" spans="1:8" x14ac:dyDescent="0.25">
      <c r="H29" s="3"/>
    </row>
    <row r="30" spans="1:8" x14ac:dyDescent="0.25">
      <c r="H30" s="18"/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B4AB4-69E2-43FB-BEBA-F78783D7B02C}">
  <dimension ref="A1:H30"/>
  <sheetViews>
    <sheetView topLeftCell="A7" workbookViewId="0">
      <selection activeCell="A7"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3.28515625" bestFit="1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249</v>
      </c>
    </row>
    <row r="3" spans="1:8" ht="21" x14ac:dyDescent="0.35">
      <c r="A3" s="2" t="s">
        <v>1</v>
      </c>
      <c r="D3" s="11">
        <v>354263</v>
      </c>
      <c r="F3" s="12" t="s">
        <v>3</v>
      </c>
      <c r="H3" s="11">
        <v>56563</v>
      </c>
    </row>
    <row r="4" spans="1:8" x14ac:dyDescent="0.25">
      <c r="A4" s="13" t="s">
        <v>29</v>
      </c>
      <c r="C4" s="28">
        <v>380</v>
      </c>
    </row>
    <row r="5" spans="1:8" ht="21" x14ac:dyDescent="0.35">
      <c r="A5" s="2" t="s">
        <v>2</v>
      </c>
    </row>
    <row r="7" spans="1:8" ht="18.75" x14ac:dyDescent="0.3">
      <c r="A7" s="5" t="s">
        <v>250</v>
      </c>
      <c r="D7" s="4">
        <v>64736</v>
      </c>
      <c r="E7" s="27"/>
      <c r="H7" s="4">
        <v>10336</v>
      </c>
    </row>
    <row r="8" spans="1:8" ht="18.75" x14ac:dyDescent="0.3">
      <c r="A8" s="5" t="s">
        <v>251</v>
      </c>
      <c r="D8" s="4">
        <v>153510</v>
      </c>
      <c r="E8" s="27"/>
      <c r="H8" s="4">
        <v>24510</v>
      </c>
    </row>
    <row r="9" spans="1:8" ht="18.75" x14ac:dyDescent="0.3">
      <c r="A9" s="5" t="s">
        <v>252</v>
      </c>
      <c r="D9" s="4">
        <v>7425</v>
      </c>
      <c r="E9" s="27"/>
      <c r="H9" s="4">
        <v>1185</v>
      </c>
    </row>
    <row r="10" spans="1:8" ht="18.75" x14ac:dyDescent="0.3">
      <c r="A10" s="5"/>
      <c r="D10" s="4"/>
      <c r="E10" s="27"/>
      <c r="H10" s="4"/>
    </row>
    <row r="11" spans="1:8" ht="19.5" thickBot="1" x14ac:dyDescent="0.35">
      <c r="A11" s="5"/>
      <c r="D11" s="23"/>
      <c r="E11" s="27"/>
      <c r="H11" s="23"/>
    </row>
    <row r="12" spans="1:8" ht="18.75" x14ac:dyDescent="0.3">
      <c r="D12" s="4">
        <f>SUM(D7:D11)</f>
        <v>225671</v>
      </c>
      <c r="H12" s="33">
        <f>SUM(H7:H11)</f>
        <v>36031</v>
      </c>
    </row>
    <row r="13" spans="1:8" ht="18.75" x14ac:dyDescent="0.3">
      <c r="A13" s="5"/>
      <c r="C13" s="3"/>
      <c r="D13" s="4"/>
      <c r="H13" s="4"/>
    </row>
    <row r="14" spans="1:8" ht="15.75" thickBot="1" x14ac:dyDescent="0.3">
      <c r="D14" s="7"/>
      <c r="H14" s="7"/>
    </row>
    <row r="16" spans="1:8" ht="18.75" x14ac:dyDescent="0.3">
      <c r="C16" t="s">
        <v>4</v>
      </c>
      <c r="D16" s="4">
        <f>D3-D12</f>
        <v>128592</v>
      </c>
      <c r="G16" t="s">
        <v>5</v>
      </c>
      <c r="H16" s="4">
        <f>H3-H12</f>
        <v>20532</v>
      </c>
    </row>
    <row r="19" spans="1:8" ht="15.75" x14ac:dyDescent="0.25">
      <c r="A19" t="s">
        <v>6</v>
      </c>
      <c r="C19" s="8">
        <f>D16</f>
        <v>128592</v>
      </c>
      <c r="E19" t="s">
        <v>10</v>
      </c>
      <c r="H19" s="6">
        <f>C28</f>
        <v>106642.948</v>
      </c>
    </row>
    <row r="21" spans="1:8" ht="15.75" x14ac:dyDescent="0.25">
      <c r="A21" t="s">
        <v>5</v>
      </c>
      <c r="B21" s="9" t="s">
        <v>7</v>
      </c>
      <c r="C21" s="8">
        <f>H16</f>
        <v>20532</v>
      </c>
      <c r="E21" s="13" t="s">
        <v>11</v>
      </c>
      <c r="F21" s="9" t="s">
        <v>12</v>
      </c>
      <c r="G21" s="15" t="s">
        <v>17</v>
      </c>
      <c r="H21" s="3">
        <f>-(F22*0.007)</f>
        <v>-2083.9</v>
      </c>
    </row>
    <row r="22" spans="1:8" x14ac:dyDescent="0.25">
      <c r="F22" s="21">
        <f>D3-H3</f>
        <v>297700</v>
      </c>
    </row>
    <row r="23" spans="1:8" ht="16.5" thickBot="1" x14ac:dyDescent="0.3">
      <c r="A23" t="s">
        <v>8</v>
      </c>
      <c r="B23" s="9" t="s">
        <v>7</v>
      </c>
      <c r="C23" s="8">
        <f>D3*0.004</f>
        <v>1417.0520000000001</v>
      </c>
      <c r="F23" s="9" t="s">
        <v>13</v>
      </c>
      <c r="G23" s="16">
        <v>0.35</v>
      </c>
      <c r="H23" s="17">
        <f>-(F24*0.35)</f>
        <v>-37325.031799999997</v>
      </c>
    </row>
    <row r="24" spans="1:8" x14ac:dyDescent="0.25">
      <c r="F24" s="21">
        <f>H19</f>
        <v>106642.948</v>
      </c>
    </row>
    <row r="25" spans="1:8" ht="15.75" x14ac:dyDescent="0.25">
      <c r="A25" t="s">
        <v>9</v>
      </c>
      <c r="B25" s="9" t="s">
        <v>7</v>
      </c>
      <c r="C25" s="10"/>
      <c r="G25" s="13" t="s">
        <v>14</v>
      </c>
      <c r="H25" s="6">
        <f>H19+H21+H23</f>
        <v>67234.016200000013</v>
      </c>
    </row>
    <row r="26" spans="1:8" ht="15.75" thickBot="1" x14ac:dyDescent="0.3">
      <c r="A26" s="16"/>
      <c r="B26" s="14"/>
      <c r="C26" s="7"/>
    </row>
    <row r="27" spans="1:8" x14ac:dyDescent="0.25">
      <c r="E27" t="s">
        <v>100</v>
      </c>
      <c r="H27" s="20">
        <f>H25*0.35</f>
        <v>23531.905670000004</v>
      </c>
    </row>
    <row r="28" spans="1:8" ht="15.75" x14ac:dyDescent="0.25">
      <c r="A28" t="s">
        <v>10</v>
      </c>
      <c r="C28" s="10">
        <f>C19-C21-C23-C25</f>
        <v>106642.948</v>
      </c>
      <c r="H28" s="18"/>
    </row>
    <row r="29" spans="1:8" x14ac:dyDescent="0.25">
      <c r="H29" s="3"/>
    </row>
    <row r="30" spans="1:8" x14ac:dyDescent="0.25">
      <c r="H30" s="18"/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AFD45-6D99-4812-9790-E4A175E8BF54}">
  <dimension ref="A1:H30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3.28515625" bestFit="1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253</v>
      </c>
    </row>
    <row r="3" spans="1:8" ht="21" x14ac:dyDescent="0.35">
      <c r="A3" s="2" t="s">
        <v>1</v>
      </c>
      <c r="D3" s="11">
        <v>967470</v>
      </c>
      <c r="F3" s="12" t="s">
        <v>3</v>
      </c>
      <c r="H3" s="11">
        <v>154470</v>
      </c>
    </row>
    <row r="4" spans="1:8" x14ac:dyDescent="0.25">
      <c r="A4" s="13" t="s">
        <v>29</v>
      </c>
      <c r="C4" s="28">
        <v>385</v>
      </c>
    </row>
    <row r="5" spans="1:8" ht="21" x14ac:dyDescent="0.35">
      <c r="A5" s="2" t="s">
        <v>2</v>
      </c>
    </row>
    <row r="7" spans="1:8" ht="18.75" x14ac:dyDescent="0.3">
      <c r="A7" s="5" t="s">
        <v>254</v>
      </c>
      <c r="D7" s="4">
        <v>598944</v>
      </c>
      <c r="E7" s="27"/>
      <c r="H7" s="4">
        <v>95630</v>
      </c>
    </row>
    <row r="8" spans="1:8" ht="18.75" x14ac:dyDescent="0.3">
      <c r="A8" s="5"/>
      <c r="D8" s="4"/>
      <c r="E8" s="27"/>
      <c r="H8" s="4"/>
    </row>
    <row r="9" spans="1:8" ht="18.75" x14ac:dyDescent="0.3">
      <c r="A9" s="5"/>
      <c r="D9" s="4"/>
      <c r="E9" s="27"/>
      <c r="H9" s="4"/>
    </row>
    <row r="10" spans="1:8" ht="18.75" x14ac:dyDescent="0.3">
      <c r="A10" s="5"/>
      <c r="D10" s="4"/>
      <c r="E10" s="27"/>
      <c r="H10" s="4"/>
    </row>
    <row r="11" spans="1:8" ht="19.5" thickBot="1" x14ac:dyDescent="0.35">
      <c r="A11" s="5"/>
      <c r="D11" s="23"/>
      <c r="E11" s="27"/>
      <c r="H11" s="23"/>
    </row>
    <row r="12" spans="1:8" ht="18.75" x14ac:dyDescent="0.3">
      <c r="D12" s="4">
        <f>SUM(D7:D11)</f>
        <v>598944</v>
      </c>
      <c r="H12" s="33">
        <f>SUM(H7:H11)</f>
        <v>95630</v>
      </c>
    </row>
    <row r="13" spans="1:8" ht="18.75" x14ac:dyDescent="0.3">
      <c r="A13" s="5"/>
      <c r="C13" s="3"/>
      <c r="D13" s="4"/>
      <c r="H13" s="4"/>
    </row>
    <row r="14" spans="1:8" ht="15.75" thickBot="1" x14ac:dyDescent="0.3">
      <c r="D14" s="7"/>
      <c r="H14" s="7"/>
    </row>
    <row r="16" spans="1:8" ht="18.75" x14ac:dyDescent="0.3">
      <c r="C16" t="s">
        <v>4</v>
      </c>
      <c r="D16" s="4">
        <f>D3-D12</f>
        <v>368526</v>
      </c>
      <c r="G16" t="s">
        <v>5</v>
      </c>
      <c r="H16" s="4">
        <f>H3-H12</f>
        <v>58840</v>
      </c>
    </row>
    <row r="19" spans="1:8" ht="15.75" x14ac:dyDescent="0.25">
      <c r="A19" t="s">
        <v>6</v>
      </c>
      <c r="C19" s="8">
        <f>D16</f>
        <v>368526</v>
      </c>
      <c r="E19" t="s">
        <v>10</v>
      </c>
      <c r="H19" s="6">
        <f>C28</f>
        <v>305816.12</v>
      </c>
    </row>
    <row r="21" spans="1:8" ht="15.75" x14ac:dyDescent="0.25">
      <c r="A21" t="s">
        <v>5</v>
      </c>
      <c r="B21" s="9" t="s">
        <v>7</v>
      </c>
      <c r="C21" s="8">
        <f>H16</f>
        <v>58840</v>
      </c>
      <c r="E21" s="13" t="s">
        <v>11</v>
      </c>
      <c r="F21" s="9" t="s">
        <v>12</v>
      </c>
      <c r="G21" s="15" t="s">
        <v>17</v>
      </c>
      <c r="H21" s="3">
        <f>-(F22*0.007)</f>
        <v>-5691</v>
      </c>
    </row>
    <row r="22" spans="1:8" x14ac:dyDescent="0.25">
      <c r="F22" s="21">
        <f>D3-H3</f>
        <v>813000</v>
      </c>
    </row>
    <row r="23" spans="1:8" ht="16.5" thickBot="1" x14ac:dyDescent="0.3">
      <c r="A23" t="s">
        <v>8</v>
      </c>
      <c r="B23" s="9" t="s">
        <v>7</v>
      </c>
      <c r="C23" s="8">
        <f>D3*0.004</f>
        <v>3869.88</v>
      </c>
      <c r="F23" s="9" t="s">
        <v>13</v>
      </c>
      <c r="G23" s="16">
        <v>0.35</v>
      </c>
      <c r="H23" s="17">
        <f>-(F24*0.35)</f>
        <v>-107035.64199999999</v>
      </c>
    </row>
    <row r="24" spans="1:8" x14ac:dyDescent="0.25">
      <c r="F24" s="21">
        <f>H19</f>
        <v>305816.12</v>
      </c>
    </row>
    <row r="25" spans="1:8" ht="15.75" x14ac:dyDescent="0.25">
      <c r="A25" t="s">
        <v>9</v>
      </c>
      <c r="B25" s="9" t="s">
        <v>7</v>
      </c>
      <c r="C25" s="10"/>
      <c r="G25" s="13" t="s">
        <v>14</v>
      </c>
      <c r="H25" s="6">
        <f>H19+H21+H23</f>
        <v>193089.478</v>
      </c>
    </row>
    <row r="26" spans="1:8" ht="15.75" thickBot="1" x14ac:dyDescent="0.3">
      <c r="A26" s="16"/>
      <c r="B26" s="14"/>
      <c r="C26" s="7"/>
    </row>
    <row r="27" spans="1:8" x14ac:dyDescent="0.25">
      <c r="E27" t="s">
        <v>100</v>
      </c>
      <c r="H27" s="20">
        <f>H25*0.35</f>
        <v>67581.317299999995</v>
      </c>
    </row>
    <row r="28" spans="1:8" ht="15.75" x14ac:dyDescent="0.25">
      <c r="A28" t="s">
        <v>10</v>
      </c>
      <c r="C28" s="10">
        <f>C19-C21-C23-C25</f>
        <v>305816.12</v>
      </c>
      <c r="H28" s="18"/>
    </row>
    <row r="29" spans="1:8" x14ac:dyDescent="0.25">
      <c r="H29" s="3"/>
    </row>
    <row r="30" spans="1:8" x14ac:dyDescent="0.25">
      <c r="H30" s="18"/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7634C-1BA4-4B9F-B260-938F428DF726}">
  <dimension ref="A1:H31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255</v>
      </c>
    </row>
    <row r="3" spans="1:8" ht="21" x14ac:dyDescent="0.35">
      <c r="A3" s="2" t="s">
        <v>1</v>
      </c>
      <c r="D3" s="11">
        <v>4088957</v>
      </c>
      <c r="F3" s="12" t="s">
        <v>3</v>
      </c>
      <c r="H3" s="11">
        <v>666868</v>
      </c>
    </row>
    <row r="4" spans="1:8" x14ac:dyDescent="0.25">
      <c r="A4" s="13" t="s">
        <v>29</v>
      </c>
      <c r="C4" s="28">
        <v>390</v>
      </c>
    </row>
    <row r="5" spans="1:8" ht="21" x14ac:dyDescent="0.35">
      <c r="A5" s="2" t="s">
        <v>2</v>
      </c>
    </row>
    <row r="7" spans="1:8" ht="18.75" x14ac:dyDescent="0.3">
      <c r="A7" s="5" t="s">
        <v>254</v>
      </c>
      <c r="D7" s="4">
        <v>1113099</v>
      </c>
      <c r="E7" s="27"/>
      <c r="H7" s="4">
        <v>177722</v>
      </c>
    </row>
    <row r="8" spans="1:8" ht="18.75" x14ac:dyDescent="0.3">
      <c r="A8" s="5" t="s">
        <v>256</v>
      </c>
      <c r="D8" s="4">
        <v>851069</v>
      </c>
      <c r="E8" s="27"/>
      <c r="H8" s="4">
        <v>135885</v>
      </c>
    </row>
    <row r="9" spans="1:8" ht="18.75" x14ac:dyDescent="0.3">
      <c r="A9" s="5" t="s">
        <v>257</v>
      </c>
      <c r="D9" s="4">
        <v>158527</v>
      </c>
      <c r="E9" s="27"/>
      <c r="H9" s="4">
        <v>25311</v>
      </c>
    </row>
    <row r="10" spans="1:8" ht="18.75" x14ac:dyDescent="0.3">
      <c r="A10" s="5" t="s">
        <v>109</v>
      </c>
      <c r="D10" s="4">
        <v>570240</v>
      </c>
      <c r="E10" s="27"/>
      <c r="H10" s="4"/>
    </row>
    <row r="11" spans="1:8" ht="18.75" x14ac:dyDescent="0.3">
      <c r="A11" s="5" t="s">
        <v>167</v>
      </c>
      <c r="D11" s="30">
        <v>96000</v>
      </c>
      <c r="E11" s="27"/>
      <c r="H11" s="30"/>
    </row>
    <row r="12" spans="1:8" ht="19.5" thickBot="1" x14ac:dyDescent="0.35">
      <c r="A12" s="5" t="s">
        <v>258</v>
      </c>
      <c r="D12" s="23">
        <v>19968</v>
      </c>
      <c r="E12" s="27"/>
      <c r="H12" s="23">
        <v>3188</v>
      </c>
    </row>
    <row r="13" spans="1:8" ht="18.75" x14ac:dyDescent="0.3">
      <c r="D13" s="4">
        <f>SUM(D7:D12)</f>
        <v>2808903</v>
      </c>
      <c r="H13" s="33">
        <f>SUM(H7:H12)</f>
        <v>342106</v>
      </c>
    </row>
    <row r="14" spans="1:8" ht="18.75" x14ac:dyDescent="0.3">
      <c r="A14" s="5"/>
      <c r="C14" s="3"/>
      <c r="D14" s="4"/>
      <c r="H14" s="4"/>
    </row>
    <row r="15" spans="1:8" ht="15.75" thickBot="1" x14ac:dyDescent="0.3">
      <c r="D15" s="7"/>
      <c r="H15" s="7"/>
    </row>
    <row r="17" spans="1:8" ht="18.75" x14ac:dyDescent="0.3">
      <c r="C17" t="s">
        <v>4</v>
      </c>
      <c r="D17" s="4">
        <f>D3-D13</f>
        <v>1280054</v>
      </c>
      <c r="G17" t="s">
        <v>5</v>
      </c>
      <c r="H17" s="4">
        <f>H3-H13</f>
        <v>324762</v>
      </c>
    </row>
    <row r="20" spans="1:8" ht="15.75" x14ac:dyDescent="0.25">
      <c r="A20" t="s">
        <v>6</v>
      </c>
      <c r="C20" s="8">
        <f>D17</f>
        <v>1280054</v>
      </c>
      <c r="E20" t="s">
        <v>10</v>
      </c>
      <c r="H20" s="6">
        <f>C29</f>
        <v>938936.17200000002</v>
      </c>
    </row>
    <row r="22" spans="1:8" ht="15.75" x14ac:dyDescent="0.25">
      <c r="A22" t="s">
        <v>5</v>
      </c>
      <c r="B22" s="9" t="s">
        <v>7</v>
      </c>
      <c r="C22" s="8">
        <f>H17</f>
        <v>324762</v>
      </c>
      <c r="E22" s="13" t="s">
        <v>11</v>
      </c>
      <c r="F22" s="9" t="s">
        <v>12</v>
      </c>
      <c r="G22" s="15" t="s">
        <v>17</v>
      </c>
      <c r="H22" s="3">
        <f>-(F23*0.007)</f>
        <v>-23954.623</v>
      </c>
    </row>
    <row r="23" spans="1:8" x14ac:dyDescent="0.25">
      <c r="F23" s="21">
        <f>D3-H3</f>
        <v>3422089</v>
      </c>
    </row>
    <row r="24" spans="1:8" ht="16.5" thickBot="1" x14ac:dyDescent="0.3">
      <c r="A24" t="s">
        <v>8</v>
      </c>
      <c r="B24" s="9" t="s">
        <v>7</v>
      </c>
      <c r="C24" s="8">
        <f>D3*0.004</f>
        <v>16355.828</v>
      </c>
      <c r="F24" s="9" t="s">
        <v>13</v>
      </c>
      <c r="G24" s="16">
        <v>0.35</v>
      </c>
      <c r="H24" s="17">
        <f>-(F25*0.35)</f>
        <v>-328627.66019999998</v>
      </c>
    </row>
    <row r="25" spans="1:8" x14ac:dyDescent="0.25">
      <c r="F25" s="21">
        <f>H20</f>
        <v>938936.17200000002</v>
      </c>
    </row>
    <row r="26" spans="1:8" ht="15.75" x14ac:dyDescent="0.25">
      <c r="A26" t="s">
        <v>9</v>
      </c>
      <c r="B26" s="9" t="s">
        <v>7</v>
      </c>
      <c r="C26" s="10"/>
      <c r="G26" s="13" t="s">
        <v>14</v>
      </c>
      <c r="H26" s="6">
        <f>H20+H22+H24</f>
        <v>586353.88880000007</v>
      </c>
    </row>
    <row r="27" spans="1:8" ht="15.75" thickBot="1" x14ac:dyDescent="0.3">
      <c r="A27" s="16"/>
      <c r="B27" s="14"/>
      <c r="C27" s="7"/>
    </row>
    <row r="28" spans="1:8" x14ac:dyDescent="0.25">
      <c r="E28" t="s">
        <v>100</v>
      </c>
      <c r="H28" s="20">
        <f>H26*0.35</f>
        <v>205223.86108</v>
      </c>
    </row>
    <row r="29" spans="1:8" ht="15.75" x14ac:dyDescent="0.25">
      <c r="A29" t="s">
        <v>10</v>
      </c>
      <c r="C29" s="10">
        <f>C20-C22-C24-C26</f>
        <v>938936.17200000002</v>
      </c>
      <c r="H29" s="18"/>
    </row>
    <row r="30" spans="1:8" x14ac:dyDescent="0.25">
      <c r="H30" s="3"/>
    </row>
    <row r="31" spans="1:8" x14ac:dyDescent="0.25">
      <c r="H31" s="18"/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9A4D1-403D-40DC-824E-330528DF5F00}">
  <dimension ref="A1:H31"/>
  <sheetViews>
    <sheetView workbookViewId="0">
      <selection activeCell="D9" sqref="D9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259</v>
      </c>
    </row>
    <row r="3" spans="1:8" ht="21" x14ac:dyDescent="0.35">
      <c r="A3" s="2" t="s">
        <v>1</v>
      </c>
      <c r="D3" s="11">
        <v>2682413</v>
      </c>
      <c r="F3" s="12" t="s">
        <v>3</v>
      </c>
      <c r="H3" s="11">
        <v>437475</v>
      </c>
    </row>
    <row r="4" spans="1:8" x14ac:dyDescent="0.25">
      <c r="A4" s="13" t="s">
        <v>29</v>
      </c>
      <c r="C4" s="28">
        <v>390</v>
      </c>
    </row>
    <row r="5" spans="1:8" ht="21" x14ac:dyDescent="0.35">
      <c r="A5" s="2" t="s">
        <v>2</v>
      </c>
    </row>
    <row r="7" spans="1:8" ht="18.75" x14ac:dyDescent="0.3">
      <c r="A7" s="5" t="s">
        <v>260</v>
      </c>
      <c r="D7" s="4">
        <v>172550</v>
      </c>
      <c r="E7" s="27"/>
      <c r="H7" s="4">
        <v>27550</v>
      </c>
    </row>
    <row r="8" spans="1:8" ht="18.75" x14ac:dyDescent="0.3">
      <c r="A8" s="5" t="s">
        <v>282</v>
      </c>
      <c r="D8" s="4">
        <v>761600</v>
      </c>
      <c r="E8" s="27"/>
      <c r="H8" s="4">
        <v>121600</v>
      </c>
    </row>
    <row r="9" spans="1:8" ht="18.75" x14ac:dyDescent="0.3">
      <c r="A9" s="5" t="s">
        <v>261</v>
      </c>
      <c r="D9" s="4">
        <v>1065110</v>
      </c>
      <c r="E9" s="27"/>
      <c r="H9" s="4">
        <v>170060</v>
      </c>
    </row>
    <row r="10" spans="1:8" ht="18.75" x14ac:dyDescent="0.3">
      <c r="A10" s="5"/>
      <c r="D10" s="4"/>
      <c r="E10" s="27"/>
      <c r="H10" s="4"/>
    </row>
    <row r="11" spans="1:8" ht="18.75" x14ac:dyDescent="0.3">
      <c r="A11" s="5"/>
      <c r="D11" s="30"/>
      <c r="E11" s="27"/>
      <c r="H11" s="30"/>
    </row>
    <row r="12" spans="1:8" ht="19.5" thickBot="1" x14ac:dyDescent="0.35">
      <c r="A12" s="5"/>
      <c r="D12" s="23"/>
      <c r="E12" s="27"/>
      <c r="H12" s="23"/>
    </row>
    <row r="13" spans="1:8" ht="18.75" x14ac:dyDescent="0.3">
      <c r="D13" s="4">
        <f>SUM(D7:D12)</f>
        <v>1999260</v>
      </c>
      <c r="H13" s="33">
        <f>SUM(H7:H12)</f>
        <v>319210</v>
      </c>
    </row>
    <row r="14" spans="1:8" ht="18.75" x14ac:dyDescent="0.3">
      <c r="A14" s="5"/>
      <c r="C14" s="3"/>
      <c r="D14" s="4"/>
      <c r="H14" s="4"/>
    </row>
    <row r="15" spans="1:8" ht="15.75" thickBot="1" x14ac:dyDescent="0.3">
      <c r="D15" s="7"/>
      <c r="H15" s="7"/>
    </row>
    <row r="17" spans="1:8" ht="18.75" x14ac:dyDescent="0.3">
      <c r="C17" t="s">
        <v>4</v>
      </c>
      <c r="D17" s="4">
        <f>D3-D13</f>
        <v>683153</v>
      </c>
      <c r="G17" t="s">
        <v>5</v>
      </c>
      <c r="H17" s="4">
        <f>H3-H13</f>
        <v>118265</v>
      </c>
    </row>
    <row r="20" spans="1:8" ht="15.75" x14ac:dyDescent="0.25">
      <c r="A20" t="s">
        <v>6</v>
      </c>
      <c r="C20" s="8">
        <f>D17</f>
        <v>683153</v>
      </c>
      <c r="E20" t="s">
        <v>10</v>
      </c>
      <c r="H20" s="6">
        <f>C29</f>
        <v>554158.348</v>
      </c>
    </row>
    <row r="22" spans="1:8" ht="15.75" x14ac:dyDescent="0.25">
      <c r="A22" t="s">
        <v>5</v>
      </c>
      <c r="B22" s="9" t="s">
        <v>7</v>
      </c>
      <c r="C22" s="8">
        <f>H17</f>
        <v>118265</v>
      </c>
      <c r="E22" s="13" t="s">
        <v>11</v>
      </c>
      <c r="F22" s="9" t="s">
        <v>12</v>
      </c>
      <c r="G22" s="15" t="s">
        <v>17</v>
      </c>
      <c r="H22" s="3">
        <f>-(F23*0.007)</f>
        <v>-15714.566000000001</v>
      </c>
    </row>
    <row r="23" spans="1:8" x14ac:dyDescent="0.25">
      <c r="F23" s="21">
        <f>D3-H3</f>
        <v>2244938</v>
      </c>
    </row>
    <row r="24" spans="1:8" ht="16.5" thickBot="1" x14ac:dyDescent="0.3">
      <c r="A24" t="s">
        <v>8</v>
      </c>
      <c r="B24" s="9" t="s">
        <v>7</v>
      </c>
      <c r="C24" s="8">
        <f>D3*0.004</f>
        <v>10729.652</v>
      </c>
      <c r="F24" s="9" t="s">
        <v>13</v>
      </c>
      <c r="G24" s="16">
        <v>0.35</v>
      </c>
      <c r="H24" s="17">
        <f>-(F25*0.35)</f>
        <v>-193955.42179999998</v>
      </c>
    </row>
    <row r="25" spans="1:8" x14ac:dyDescent="0.25">
      <c r="F25" s="21">
        <f>H20</f>
        <v>554158.348</v>
      </c>
    </row>
    <row r="26" spans="1:8" ht="15.75" x14ac:dyDescent="0.25">
      <c r="A26" t="s">
        <v>9</v>
      </c>
      <c r="B26" s="9" t="s">
        <v>7</v>
      </c>
      <c r="C26" s="10"/>
      <c r="G26" s="13" t="s">
        <v>14</v>
      </c>
      <c r="H26" s="6">
        <f>H20+H22+H24</f>
        <v>344488.3602</v>
      </c>
    </row>
    <row r="27" spans="1:8" ht="15.75" thickBot="1" x14ac:dyDescent="0.3">
      <c r="A27" s="16"/>
      <c r="B27" s="14"/>
      <c r="C27" s="7"/>
    </row>
    <row r="28" spans="1:8" x14ac:dyDescent="0.25">
      <c r="E28" t="s">
        <v>100</v>
      </c>
      <c r="H28" s="20">
        <f>H26*0.35</f>
        <v>120570.92606999999</v>
      </c>
    </row>
    <row r="29" spans="1:8" ht="15.75" x14ac:dyDescent="0.25">
      <c r="A29" t="s">
        <v>10</v>
      </c>
      <c r="C29" s="10">
        <f>C20-C22-C24-C26</f>
        <v>554158.348</v>
      </c>
      <c r="H29" s="18"/>
    </row>
    <row r="30" spans="1:8" x14ac:dyDescent="0.25">
      <c r="H30" s="3"/>
    </row>
    <row r="31" spans="1:8" x14ac:dyDescent="0.25">
      <c r="H31" s="18"/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03AAE-AC5E-4FA4-81AA-FD6D701FB149}">
  <dimension ref="A1:H31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262</v>
      </c>
    </row>
    <row r="3" spans="1:8" ht="21" x14ac:dyDescent="0.35">
      <c r="A3" s="2" t="s">
        <v>1</v>
      </c>
      <c r="D3" s="11">
        <v>336175</v>
      </c>
      <c r="F3" s="12" t="s">
        <v>3</v>
      </c>
      <c r="H3" s="11">
        <v>53675</v>
      </c>
    </row>
    <row r="4" spans="1:8" x14ac:dyDescent="0.25">
      <c r="A4" s="13" t="s">
        <v>29</v>
      </c>
      <c r="C4" s="28">
        <v>1</v>
      </c>
    </row>
    <row r="5" spans="1:8" ht="21" x14ac:dyDescent="0.35">
      <c r="A5" s="2" t="s">
        <v>2</v>
      </c>
    </row>
    <row r="7" spans="1:8" ht="18.75" x14ac:dyDescent="0.3">
      <c r="A7" s="5" t="s">
        <v>263</v>
      </c>
      <c r="D7" s="4">
        <v>194700</v>
      </c>
      <c r="E7" s="27"/>
      <c r="H7" s="4">
        <v>31087</v>
      </c>
    </row>
    <row r="8" spans="1:8" ht="18.75" x14ac:dyDescent="0.3">
      <c r="A8" s="5"/>
      <c r="D8" s="4"/>
      <c r="E8" s="27"/>
      <c r="H8" s="4"/>
    </row>
    <row r="9" spans="1:8" ht="18.75" x14ac:dyDescent="0.3">
      <c r="A9" s="5"/>
      <c r="D9" s="4"/>
      <c r="E9" s="27"/>
      <c r="H9" s="4"/>
    </row>
    <row r="10" spans="1:8" ht="18.75" x14ac:dyDescent="0.3">
      <c r="A10" s="5"/>
      <c r="D10" s="4"/>
      <c r="E10" s="27"/>
      <c r="H10" s="4"/>
    </row>
    <row r="11" spans="1:8" ht="18.75" x14ac:dyDescent="0.3">
      <c r="A11" s="5"/>
      <c r="D11" s="30"/>
      <c r="E11" s="27"/>
      <c r="H11" s="30"/>
    </row>
    <row r="12" spans="1:8" ht="19.5" thickBot="1" x14ac:dyDescent="0.35">
      <c r="A12" s="5"/>
      <c r="D12" s="23"/>
      <c r="E12" s="27"/>
      <c r="H12" s="23"/>
    </row>
    <row r="13" spans="1:8" ht="18.75" x14ac:dyDescent="0.3">
      <c r="D13" s="4">
        <f>SUM(D7:D12)</f>
        <v>194700</v>
      </c>
      <c r="H13" s="33">
        <f>SUM(H7:H12)</f>
        <v>31087</v>
      </c>
    </row>
    <row r="14" spans="1:8" ht="18.75" x14ac:dyDescent="0.3">
      <c r="A14" s="5"/>
      <c r="C14" s="3"/>
      <c r="D14" s="4"/>
      <c r="H14" s="4"/>
    </row>
    <row r="15" spans="1:8" ht="15.75" thickBot="1" x14ac:dyDescent="0.3">
      <c r="D15" s="7"/>
      <c r="H15" s="7"/>
    </row>
    <row r="17" spans="1:8" ht="18.75" x14ac:dyDescent="0.3">
      <c r="C17" t="s">
        <v>4</v>
      </c>
      <c r="D17" s="4">
        <f>D3-D13</f>
        <v>141475</v>
      </c>
      <c r="G17" t="s">
        <v>5</v>
      </c>
      <c r="H17" s="4">
        <f>H3-H13</f>
        <v>22588</v>
      </c>
    </row>
    <row r="20" spans="1:8" ht="15.75" x14ac:dyDescent="0.25">
      <c r="A20" t="s">
        <v>6</v>
      </c>
      <c r="C20" s="8">
        <f>D17</f>
        <v>141475</v>
      </c>
      <c r="E20" t="s">
        <v>10</v>
      </c>
      <c r="H20" s="6">
        <f>C29</f>
        <v>117542.3</v>
      </c>
    </row>
    <row r="22" spans="1:8" ht="15.75" x14ac:dyDescent="0.25">
      <c r="A22" t="s">
        <v>5</v>
      </c>
      <c r="B22" s="9" t="s">
        <v>7</v>
      </c>
      <c r="C22" s="8">
        <f>H17</f>
        <v>22588</v>
      </c>
      <c r="E22" s="13" t="s">
        <v>11</v>
      </c>
      <c r="F22" s="9" t="s">
        <v>12</v>
      </c>
      <c r="G22" s="15" t="s">
        <v>17</v>
      </c>
      <c r="H22" s="3">
        <f>-(F23*0.007)</f>
        <v>-1977.5</v>
      </c>
    </row>
    <row r="23" spans="1:8" x14ac:dyDescent="0.25">
      <c r="F23" s="21">
        <f>D3-H3</f>
        <v>282500</v>
      </c>
    </row>
    <row r="24" spans="1:8" ht="16.5" thickBot="1" x14ac:dyDescent="0.3">
      <c r="A24" t="s">
        <v>8</v>
      </c>
      <c r="B24" s="9" t="s">
        <v>7</v>
      </c>
      <c r="C24" s="8">
        <f>D3*0.004</f>
        <v>1344.7</v>
      </c>
      <c r="F24" s="9" t="s">
        <v>13</v>
      </c>
      <c r="G24" s="16">
        <v>0.35</v>
      </c>
      <c r="H24" s="17">
        <f>-(F25*0.35)</f>
        <v>-41139.805</v>
      </c>
    </row>
    <row r="25" spans="1:8" x14ac:dyDescent="0.25">
      <c r="F25" s="21">
        <f>H20</f>
        <v>117542.3</v>
      </c>
    </row>
    <row r="26" spans="1:8" ht="15.75" x14ac:dyDescent="0.25">
      <c r="A26" t="s">
        <v>9</v>
      </c>
      <c r="B26" s="9" t="s">
        <v>7</v>
      </c>
      <c r="C26" s="10"/>
      <c r="G26" s="13" t="s">
        <v>14</v>
      </c>
      <c r="H26" s="6">
        <f>H20+H22+H24</f>
        <v>74424.994999999995</v>
      </c>
    </row>
    <row r="27" spans="1:8" ht="15.75" thickBot="1" x14ac:dyDescent="0.3">
      <c r="A27" s="16"/>
      <c r="B27" s="14"/>
      <c r="C27" s="7"/>
    </row>
    <row r="28" spans="1:8" x14ac:dyDescent="0.25">
      <c r="E28" t="s">
        <v>100</v>
      </c>
      <c r="H28" s="20">
        <f>H26*0.35</f>
        <v>26048.748249999997</v>
      </c>
    </row>
    <row r="29" spans="1:8" ht="15.75" x14ac:dyDescent="0.25">
      <c r="A29" t="s">
        <v>10</v>
      </c>
      <c r="C29" s="10">
        <f>C20-C22-C24-C26</f>
        <v>117542.3</v>
      </c>
      <c r="H29" s="18"/>
    </row>
    <row r="30" spans="1:8" x14ac:dyDescent="0.25">
      <c r="H30" s="3"/>
    </row>
    <row r="31" spans="1:8" x14ac:dyDescent="0.25">
      <c r="H31" s="18"/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C0164-0EC0-4ED7-B155-E476265D2A6D}">
  <dimension ref="A1:H35"/>
  <sheetViews>
    <sheetView topLeftCell="A10" workbookViewId="0">
      <selection activeCell="I15" sqref="I15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264</v>
      </c>
    </row>
    <row r="3" spans="1:8" ht="21" x14ac:dyDescent="0.35">
      <c r="A3" s="2" t="s">
        <v>1</v>
      </c>
      <c r="D3" s="11">
        <v>1737192</v>
      </c>
      <c r="F3" s="12" t="s">
        <v>3</v>
      </c>
      <c r="H3" s="11">
        <v>283319</v>
      </c>
    </row>
    <row r="4" spans="1:8" x14ac:dyDescent="0.25">
      <c r="A4" s="13" t="s">
        <v>29</v>
      </c>
      <c r="C4" s="28">
        <v>394</v>
      </c>
    </row>
    <row r="5" spans="1:8" ht="21" x14ac:dyDescent="0.35">
      <c r="A5" s="2" t="s">
        <v>2</v>
      </c>
    </row>
    <row r="7" spans="1:8" ht="18.75" x14ac:dyDescent="0.3">
      <c r="A7" s="5" t="s">
        <v>273</v>
      </c>
      <c r="D7" s="4">
        <v>30000</v>
      </c>
      <c r="E7" s="27"/>
      <c r="H7" s="4"/>
    </row>
    <row r="8" spans="1:8" ht="18.75" x14ac:dyDescent="0.3">
      <c r="A8" s="5" t="s">
        <v>274</v>
      </c>
      <c r="D8" s="4">
        <v>160000</v>
      </c>
      <c r="E8" s="27"/>
      <c r="H8" s="4"/>
    </row>
    <row r="9" spans="1:8" ht="18.75" x14ac:dyDescent="0.3">
      <c r="A9" s="5" t="s">
        <v>275</v>
      </c>
      <c r="D9" s="4">
        <v>7069</v>
      </c>
      <c r="E9" s="27"/>
      <c r="H9" s="4">
        <v>1129</v>
      </c>
    </row>
    <row r="10" spans="1:8" ht="18.75" x14ac:dyDescent="0.3">
      <c r="A10" s="5" t="s">
        <v>257</v>
      </c>
      <c r="D10" s="4">
        <v>30753</v>
      </c>
      <c r="E10" s="27"/>
      <c r="H10" s="4">
        <v>4910</v>
      </c>
    </row>
    <row r="11" spans="1:8" ht="18.75" x14ac:dyDescent="0.3">
      <c r="A11" s="5" t="s">
        <v>260</v>
      </c>
      <c r="D11" s="30">
        <v>5950</v>
      </c>
      <c r="E11" s="27"/>
      <c r="H11" s="30">
        <v>950</v>
      </c>
    </row>
    <row r="12" spans="1:8" ht="18.75" x14ac:dyDescent="0.3">
      <c r="A12" s="5" t="s">
        <v>276</v>
      </c>
      <c r="D12" s="4">
        <v>748191</v>
      </c>
      <c r="E12" s="27"/>
      <c r="H12" s="4">
        <v>119459</v>
      </c>
    </row>
    <row r="13" spans="1:8" ht="18.75" x14ac:dyDescent="0.3">
      <c r="A13" s="5" t="s">
        <v>277</v>
      </c>
      <c r="D13" s="4">
        <v>202419</v>
      </c>
      <c r="E13" s="27"/>
      <c r="H13" s="4">
        <v>32319</v>
      </c>
    </row>
    <row r="14" spans="1:8" ht="18.75" x14ac:dyDescent="0.3">
      <c r="A14" s="5" t="s">
        <v>278</v>
      </c>
      <c r="D14" s="30">
        <v>66648</v>
      </c>
      <c r="E14" s="27"/>
      <c r="H14" s="30">
        <v>10641</v>
      </c>
    </row>
    <row r="15" spans="1:8" ht="18.75" x14ac:dyDescent="0.3">
      <c r="A15" s="5" t="s">
        <v>279</v>
      </c>
      <c r="D15" s="30">
        <v>34493</v>
      </c>
      <c r="E15" s="27"/>
      <c r="H15" s="30">
        <v>5507</v>
      </c>
    </row>
    <row r="16" spans="1:8" ht="19.5" thickBot="1" x14ac:dyDescent="0.35">
      <c r="A16" s="5"/>
      <c r="D16" s="23"/>
      <c r="E16" s="27"/>
      <c r="H16" s="23"/>
    </row>
    <row r="17" spans="1:8" ht="18.75" x14ac:dyDescent="0.3">
      <c r="D17" s="4">
        <f>SUM(D7:D16)</f>
        <v>1285523</v>
      </c>
      <c r="H17" s="33">
        <f>SUM(H7:H16)</f>
        <v>174915</v>
      </c>
    </row>
    <row r="18" spans="1:8" ht="18.75" x14ac:dyDescent="0.3">
      <c r="A18" s="5"/>
      <c r="C18" s="3"/>
      <c r="D18" s="4"/>
      <c r="H18" s="4"/>
    </row>
    <row r="19" spans="1:8" ht="15.75" thickBot="1" x14ac:dyDescent="0.3">
      <c r="D19" s="7"/>
      <c r="H19" s="7"/>
    </row>
    <row r="21" spans="1:8" ht="18.75" x14ac:dyDescent="0.3">
      <c r="C21" t="s">
        <v>4</v>
      </c>
      <c r="D21" s="4">
        <f>D3-D17</f>
        <v>451669</v>
      </c>
      <c r="G21" t="s">
        <v>5</v>
      </c>
      <c r="H21" s="4">
        <f>H3-H17</f>
        <v>108404</v>
      </c>
    </row>
    <row r="24" spans="1:8" ht="15.75" x14ac:dyDescent="0.25">
      <c r="A24" t="s">
        <v>6</v>
      </c>
      <c r="C24" s="8">
        <f>D21</f>
        <v>451669</v>
      </c>
      <c r="E24" t="s">
        <v>10</v>
      </c>
      <c r="H24" s="6">
        <f>C33</f>
        <v>336316.23200000002</v>
      </c>
    </row>
    <row r="26" spans="1:8" ht="15.75" x14ac:dyDescent="0.25">
      <c r="A26" t="s">
        <v>5</v>
      </c>
      <c r="B26" s="9" t="s">
        <v>7</v>
      </c>
      <c r="C26" s="8">
        <f>H21</f>
        <v>108404</v>
      </c>
      <c r="E26" s="13" t="s">
        <v>11</v>
      </c>
      <c r="F26" s="9" t="s">
        <v>12</v>
      </c>
      <c r="G26" s="15" t="s">
        <v>17</v>
      </c>
      <c r="H26" s="3">
        <f>-(F27*0.007)</f>
        <v>-10177.111000000001</v>
      </c>
    </row>
    <row r="27" spans="1:8" x14ac:dyDescent="0.25">
      <c r="F27" s="21">
        <f>D3-H3</f>
        <v>1453873</v>
      </c>
    </row>
    <row r="28" spans="1:8" ht="16.5" thickBot="1" x14ac:dyDescent="0.3">
      <c r="A28" t="s">
        <v>8</v>
      </c>
      <c r="B28" s="9" t="s">
        <v>7</v>
      </c>
      <c r="C28" s="8">
        <f>D3*0.004</f>
        <v>6948.768</v>
      </c>
      <c r="F28" s="9" t="s">
        <v>13</v>
      </c>
      <c r="G28" s="16">
        <v>0.35</v>
      </c>
      <c r="H28" s="17">
        <f>-(F29*0.35)</f>
        <v>-117710.68119999999</v>
      </c>
    </row>
    <row r="29" spans="1:8" x14ac:dyDescent="0.25">
      <c r="F29" s="21">
        <f>H24</f>
        <v>336316.23200000002</v>
      </c>
    </row>
    <row r="30" spans="1:8" ht="15.75" x14ac:dyDescent="0.25">
      <c r="A30" t="s">
        <v>9</v>
      </c>
      <c r="B30" s="9" t="s">
        <v>7</v>
      </c>
      <c r="C30" s="10"/>
      <c r="G30" s="13" t="s">
        <v>14</v>
      </c>
      <c r="H30" s="6">
        <f>H24+H26+H28</f>
        <v>208428.43980000005</v>
      </c>
    </row>
    <row r="31" spans="1:8" ht="15.75" thickBot="1" x14ac:dyDescent="0.3">
      <c r="A31" s="16"/>
      <c r="B31" s="14"/>
      <c r="C31" s="7"/>
    </row>
    <row r="32" spans="1:8" x14ac:dyDescent="0.25">
      <c r="E32" t="s">
        <v>100</v>
      </c>
      <c r="H32" s="20">
        <f>H30*0.35</f>
        <v>72949.953930000018</v>
      </c>
    </row>
    <row r="33" spans="1:8" ht="15.75" x14ac:dyDescent="0.25">
      <c r="A33" t="s">
        <v>10</v>
      </c>
      <c r="C33" s="10">
        <f>C24-C26-C28-C30</f>
        <v>336316.23200000002</v>
      </c>
      <c r="H33" s="18"/>
    </row>
    <row r="34" spans="1:8" x14ac:dyDescent="0.25">
      <c r="H34" s="3"/>
    </row>
    <row r="35" spans="1:8" x14ac:dyDescent="0.25">
      <c r="H35" s="18"/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D880F-05C3-4787-9BBA-397D4D796B66}">
  <dimension ref="A1:H31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264</v>
      </c>
    </row>
    <row r="3" spans="1:8" ht="21" x14ac:dyDescent="0.35">
      <c r="A3" s="2" t="s">
        <v>1</v>
      </c>
      <c r="D3" s="11">
        <v>1635660</v>
      </c>
      <c r="F3" s="12" t="s">
        <v>3</v>
      </c>
      <c r="H3" s="11">
        <v>266760</v>
      </c>
    </row>
    <row r="4" spans="1:8" x14ac:dyDescent="0.25">
      <c r="A4" s="13" t="s">
        <v>29</v>
      </c>
      <c r="C4" s="28">
        <v>395</v>
      </c>
    </row>
    <row r="5" spans="1:8" ht="21" x14ac:dyDescent="0.35">
      <c r="A5" s="2" t="s">
        <v>2</v>
      </c>
    </row>
    <row r="7" spans="1:8" ht="18.75" x14ac:dyDescent="0.3">
      <c r="A7" s="5" t="s">
        <v>265</v>
      </c>
      <c r="D7" s="4">
        <v>1213800</v>
      </c>
      <c r="E7" s="27"/>
      <c r="H7" s="4">
        <v>193800</v>
      </c>
    </row>
    <row r="8" spans="1:8" ht="18.75" x14ac:dyDescent="0.3">
      <c r="A8" s="5" t="s">
        <v>266</v>
      </c>
      <c r="D8" s="4">
        <v>8000</v>
      </c>
      <c r="E8" s="27"/>
      <c r="H8" s="4"/>
    </row>
    <row r="9" spans="1:8" ht="18.75" x14ac:dyDescent="0.3">
      <c r="A9" s="5"/>
      <c r="D9" s="4"/>
      <c r="E9" s="27"/>
      <c r="H9" s="4"/>
    </row>
    <row r="10" spans="1:8" ht="18.75" x14ac:dyDescent="0.3">
      <c r="A10" s="5"/>
      <c r="D10" s="4"/>
      <c r="E10" s="27"/>
      <c r="H10" s="4"/>
    </row>
    <row r="11" spans="1:8" ht="18.75" x14ac:dyDescent="0.3">
      <c r="A11" s="5"/>
      <c r="D11" s="30"/>
      <c r="E11" s="27"/>
      <c r="H11" s="30"/>
    </row>
    <row r="12" spans="1:8" ht="19.5" thickBot="1" x14ac:dyDescent="0.35">
      <c r="A12" s="5"/>
      <c r="D12" s="23"/>
      <c r="E12" s="27"/>
      <c r="H12" s="23"/>
    </row>
    <row r="13" spans="1:8" ht="18.75" x14ac:dyDescent="0.3">
      <c r="D13" s="4">
        <f>SUM(D7:D12)</f>
        <v>1221800</v>
      </c>
      <c r="H13" s="33">
        <f>SUM(H7:H12)</f>
        <v>193800</v>
      </c>
    </row>
    <row r="14" spans="1:8" ht="18.75" x14ac:dyDescent="0.3">
      <c r="A14" s="5"/>
      <c r="C14" s="3"/>
      <c r="D14" s="4"/>
      <c r="H14" s="4"/>
    </row>
    <row r="15" spans="1:8" ht="15.75" thickBot="1" x14ac:dyDescent="0.3">
      <c r="D15" s="7"/>
      <c r="H15" s="7"/>
    </row>
    <row r="17" spans="1:8" ht="18.75" x14ac:dyDescent="0.3">
      <c r="C17" t="s">
        <v>4</v>
      </c>
      <c r="D17" s="4">
        <f>D3-D13</f>
        <v>413860</v>
      </c>
      <c r="G17" t="s">
        <v>5</v>
      </c>
      <c r="H17" s="4">
        <f>H3-H13</f>
        <v>72960</v>
      </c>
    </row>
    <row r="20" spans="1:8" ht="15.75" x14ac:dyDescent="0.25">
      <c r="A20" t="s">
        <v>6</v>
      </c>
      <c r="C20" s="8">
        <f>D17</f>
        <v>413860</v>
      </c>
      <c r="E20" t="s">
        <v>10</v>
      </c>
      <c r="H20" s="6">
        <f>C29</f>
        <v>334357.36</v>
      </c>
    </row>
    <row r="22" spans="1:8" ht="15.75" x14ac:dyDescent="0.25">
      <c r="A22" t="s">
        <v>5</v>
      </c>
      <c r="B22" s="9" t="s">
        <v>7</v>
      </c>
      <c r="C22" s="8">
        <f>H17</f>
        <v>72960</v>
      </c>
      <c r="E22" s="13" t="s">
        <v>11</v>
      </c>
      <c r="F22" s="9" t="s">
        <v>12</v>
      </c>
      <c r="G22" s="15" t="s">
        <v>17</v>
      </c>
      <c r="H22" s="3">
        <f>-(F23*0.007)</f>
        <v>-9582.3000000000011</v>
      </c>
    </row>
    <row r="23" spans="1:8" x14ac:dyDescent="0.25">
      <c r="F23" s="21">
        <f>D3-H3</f>
        <v>1368900</v>
      </c>
    </row>
    <row r="24" spans="1:8" ht="16.5" thickBot="1" x14ac:dyDescent="0.3">
      <c r="A24" t="s">
        <v>8</v>
      </c>
      <c r="B24" s="9" t="s">
        <v>7</v>
      </c>
      <c r="C24" s="8">
        <f>D3*0.004</f>
        <v>6542.64</v>
      </c>
      <c r="F24" s="9" t="s">
        <v>13</v>
      </c>
      <c r="G24" s="16">
        <v>0.35</v>
      </c>
      <c r="H24" s="17">
        <f>-(F25*0.35)</f>
        <v>-117025.07599999999</v>
      </c>
    </row>
    <row r="25" spans="1:8" x14ac:dyDescent="0.25">
      <c r="F25" s="21">
        <f>H20</f>
        <v>334357.36</v>
      </c>
    </row>
    <row r="26" spans="1:8" ht="15.75" x14ac:dyDescent="0.25">
      <c r="A26" t="s">
        <v>9</v>
      </c>
      <c r="B26" s="9" t="s">
        <v>7</v>
      </c>
      <c r="C26" s="10"/>
      <c r="G26" s="13" t="s">
        <v>14</v>
      </c>
      <c r="H26" s="6">
        <f>H20+H22+H24</f>
        <v>207749.984</v>
      </c>
    </row>
    <row r="27" spans="1:8" ht="15.75" thickBot="1" x14ac:dyDescent="0.3">
      <c r="A27" s="16"/>
      <c r="B27" s="14"/>
      <c r="C27" s="7"/>
    </row>
    <row r="28" spans="1:8" x14ac:dyDescent="0.25">
      <c r="E28" t="s">
        <v>100</v>
      </c>
      <c r="H28" s="20">
        <f>H26*0.35</f>
        <v>72712.494399999996</v>
      </c>
    </row>
    <row r="29" spans="1:8" ht="15.75" x14ac:dyDescent="0.25">
      <c r="A29" t="s">
        <v>10</v>
      </c>
      <c r="C29" s="10">
        <f>C20-C22-C24-C26</f>
        <v>334357.36</v>
      </c>
      <c r="H29" s="18"/>
    </row>
    <row r="30" spans="1:8" x14ac:dyDescent="0.25">
      <c r="H30" s="3"/>
    </row>
    <row r="31" spans="1:8" x14ac:dyDescent="0.25">
      <c r="H31" s="18"/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F7E80-FADA-48FC-81E3-CE18ABAAEC82}">
  <dimension ref="A1:H31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267</v>
      </c>
    </row>
    <row r="3" spans="1:8" ht="21" x14ac:dyDescent="0.35">
      <c r="A3" s="2" t="s">
        <v>1</v>
      </c>
      <c r="D3" s="11">
        <v>428400</v>
      </c>
      <c r="F3" s="12" t="s">
        <v>3</v>
      </c>
      <c r="H3" s="11">
        <v>68400</v>
      </c>
    </row>
    <row r="4" spans="1:8" x14ac:dyDescent="0.25">
      <c r="A4" s="13" t="s">
        <v>29</v>
      </c>
      <c r="C4" s="28">
        <v>396</v>
      </c>
    </row>
    <row r="5" spans="1:8" ht="21" x14ac:dyDescent="0.35">
      <c r="A5" s="2" t="s">
        <v>2</v>
      </c>
    </row>
    <row r="7" spans="1:8" ht="18.75" x14ac:dyDescent="0.3">
      <c r="A7" s="5" t="s">
        <v>268</v>
      </c>
      <c r="D7" s="4">
        <v>155831</v>
      </c>
      <c r="E7" s="27"/>
      <c r="H7" s="4">
        <v>24881</v>
      </c>
    </row>
    <row r="8" spans="1:8" ht="18.75" x14ac:dyDescent="0.3">
      <c r="A8" s="5"/>
      <c r="D8" s="4"/>
      <c r="E8" s="27"/>
      <c r="H8" s="4"/>
    </row>
    <row r="9" spans="1:8" ht="18.75" x14ac:dyDescent="0.3">
      <c r="A9" s="5"/>
      <c r="D9" s="4"/>
      <c r="E9" s="27"/>
      <c r="H9" s="4"/>
    </row>
    <row r="10" spans="1:8" ht="18.75" x14ac:dyDescent="0.3">
      <c r="A10" s="5"/>
      <c r="D10" s="4"/>
      <c r="E10" s="27"/>
      <c r="H10" s="4"/>
    </row>
    <row r="11" spans="1:8" ht="18.75" x14ac:dyDescent="0.3">
      <c r="A11" s="5"/>
      <c r="D11" s="30"/>
      <c r="E11" s="27"/>
      <c r="H11" s="30"/>
    </row>
    <row r="12" spans="1:8" ht="19.5" thickBot="1" x14ac:dyDescent="0.35">
      <c r="A12" s="5"/>
      <c r="D12" s="23"/>
      <c r="E12" s="27"/>
      <c r="H12" s="23"/>
    </row>
    <row r="13" spans="1:8" ht="18.75" x14ac:dyDescent="0.3">
      <c r="D13" s="4">
        <f>SUM(D7:D12)</f>
        <v>155831</v>
      </c>
      <c r="H13" s="33">
        <f>SUM(H7:H12)</f>
        <v>24881</v>
      </c>
    </row>
    <row r="14" spans="1:8" ht="18.75" x14ac:dyDescent="0.3">
      <c r="A14" s="5"/>
      <c r="C14" s="3"/>
      <c r="D14" s="4"/>
      <c r="H14" s="4"/>
    </row>
    <row r="15" spans="1:8" ht="15.75" thickBot="1" x14ac:dyDescent="0.3">
      <c r="D15" s="7"/>
      <c r="H15" s="7"/>
    </row>
    <row r="17" spans="1:8" ht="18.75" x14ac:dyDescent="0.3">
      <c r="C17" t="s">
        <v>4</v>
      </c>
      <c r="D17" s="4">
        <f>D3-D13</f>
        <v>272569</v>
      </c>
      <c r="G17" t="s">
        <v>5</v>
      </c>
      <c r="H17" s="4">
        <f>H3-H13</f>
        <v>43519</v>
      </c>
    </row>
    <row r="20" spans="1:8" ht="15.75" x14ac:dyDescent="0.25">
      <c r="A20" t="s">
        <v>6</v>
      </c>
      <c r="C20" s="8">
        <f>D17</f>
        <v>272569</v>
      </c>
      <c r="E20" t="s">
        <v>10</v>
      </c>
      <c r="H20" s="6">
        <f>C29</f>
        <v>227336.4</v>
      </c>
    </row>
    <row r="22" spans="1:8" ht="15.75" x14ac:dyDescent="0.25">
      <c r="A22" t="s">
        <v>5</v>
      </c>
      <c r="B22" s="9" t="s">
        <v>7</v>
      </c>
      <c r="C22" s="8">
        <f>H17</f>
        <v>43519</v>
      </c>
      <c r="E22" s="13" t="s">
        <v>11</v>
      </c>
      <c r="F22" s="9" t="s">
        <v>12</v>
      </c>
      <c r="G22" s="15" t="s">
        <v>17</v>
      </c>
      <c r="H22" s="3">
        <f>-(F23*0.007)</f>
        <v>-2520</v>
      </c>
    </row>
    <row r="23" spans="1:8" x14ac:dyDescent="0.25">
      <c r="F23" s="21">
        <f>D3-H3</f>
        <v>360000</v>
      </c>
    </row>
    <row r="24" spans="1:8" ht="16.5" thickBot="1" x14ac:dyDescent="0.3">
      <c r="A24" t="s">
        <v>8</v>
      </c>
      <c r="B24" s="9" t="s">
        <v>7</v>
      </c>
      <c r="C24" s="8">
        <f>D3*0.004</f>
        <v>1713.6000000000001</v>
      </c>
      <c r="F24" s="9" t="s">
        <v>13</v>
      </c>
      <c r="G24" s="16">
        <v>0.35</v>
      </c>
      <c r="H24" s="17">
        <f>-(F25*0.35)</f>
        <v>-79567.739999999991</v>
      </c>
    </row>
    <row r="25" spans="1:8" x14ac:dyDescent="0.25">
      <c r="F25" s="21">
        <f>H20</f>
        <v>227336.4</v>
      </c>
    </row>
    <row r="26" spans="1:8" ht="15.75" x14ac:dyDescent="0.25">
      <c r="A26" t="s">
        <v>9</v>
      </c>
      <c r="B26" s="9" t="s">
        <v>7</v>
      </c>
      <c r="C26" s="10"/>
      <c r="G26" s="13" t="s">
        <v>14</v>
      </c>
      <c r="H26" s="6">
        <f>H20+H22+H24</f>
        <v>145248.66</v>
      </c>
    </row>
    <row r="27" spans="1:8" ht="15.75" thickBot="1" x14ac:dyDescent="0.3">
      <c r="A27" s="16"/>
      <c r="B27" s="14"/>
      <c r="C27" s="7"/>
    </row>
    <row r="28" spans="1:8" x14ac:dyDescent="0.25">
      <c r="E28" t="s">
        <v>100</v>
      </c>
      <c r="H28" s="20">
        <f>H26*0.35</f>
        <v>50837.030999999995</v>
      </c>
    </row>
    <row r="29" spans="1:8" ht="15.75" x14ac:dyDescent="0.25">
      <c r="A29" t="s">
        <v>10</v>
      </c>
      <c r="C29" s="10">
        <f>C20-C22-C24-C26</f>
        <v>227336.4</v>
      </c>
      <c r="H29" s="18"/>
    </row>
    <row r="30" spans="1:8" x14ac:dyDescent="0.25">
      <c r="H30" s="3"/>
    </row>
    <row r="31" spans="1:8" x14ac:dyDescent="0.25">
      <c r="H31" s="18"/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2F555-BF40-455F-B908-1E1443DFFF94}">
  <dimension ref="A1:H31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269</v>
      </c>
    </row>
    <row r="3" spans="1:8" ht="21" x14ac:dyDescent="0.35">
      <c r="A3" s="2" t="s">
        <v>1</v>
      </c>
      <c r="D3" s="11">
        <v>192780</v>
      </c>
      <c r="F3" s="12" t="s">
        <v>3</v>
      </c>
      <c r="H3" s="11">
        <v>30780</v>
      </c>
    </row>
    <row r="4" spans="1:8" x14ac:dyDescent="0.25">
      <c r="A4" s="13" t="s">
        <v>29</v>
      </c>
      <c r="C4" s="28">
        <v>397</v>
      </c>
    </row>
    <row r="5" spans="1:8" ht="21" x14ac:dyDescent="0.35">
      <c r="A5" s="2" t="s">
        <v>2</v>
      </c>
    </row>
    <row r="7" spans="1:8" ht="18.75" x14ac:dyDescent="0.3">
      <c r="A7" s="5" t="s">
        <v>268</v>
      </c>
      <c r="D7" s="4">
        <v>143338</v>
      </c>
      <c r="E7" s="27"/>
      <c r="H7" s="4">
        <v>22886</v>
      </c>
    </row>
    <row r="8" spans="1:8" ht="18.75" x14ac:dyDescent="0.3">
      <c r="A8" s="5"/>
      <c r="D8" s="4"/>
      <c r="E8" s="27"/>
      <c r="H8" s="4"/>
    </row>
    <row r="9" spans="1:8" ht="18.75" x14ac:dyDescent="0.3">
      <c r="A9" s="5"/>
      <c r="D9" s="4"/>
      <c r="E9" s="27"/>
      <c r="H9" s="4"/>
    </row>
    <row r="10" spans="1:8" ht="18.75" x14ac:dyDescent="0.3">
      <c r="A10" s="5"/>
      <c r="D10" s="4"/>
      <c r="E10" s="27"/>
      <c r="H10" s="4"/>
    </row>
    <row r="11" spans="1:8" ht="18.75" x14ac:dyDescent="0.3">
      <c r="A11" s="5"/>
      <c r="D11" s="30"/>
      <c r="E11" s="27"/>
      <c r="H11" s="30"/>
    </row>
    <row r="12" spans="1:8" ht="19.5" thickBot="1" x14ac:dyDescent="0.35">
      <c r="A12" s="5"/>
      <c r="D12" s="23"/>
      <c r="E12" s="27"/>
      <c r="H12" s="23"/>
    </row>
    <row r="13" spans="1:8" ht="18.75" x14ac:dyDescent="0.3">
      <c r="D13" s="4">
        <f>SUM(D7:D12)</f>
        <v>143338</v>
      </c>
      <c r="H13" s="33">
        <f>SUM(H7:H12)</f>
        <v>22886</v>
      </c>
    </row>
    <row r="14" spans="1:8" ht="18.75" x14ac:dyDescent="0.3">
      <c r="A14" s="5"/>
      <c r="C14" s="3"/>
      <c r="D14" s="4"/>
      <c r="H14" s="4"/>
    </row>
    <row r="15" spans="1:8" ht="15.75" thickBot="1" x14ac:dyDescent="0.3">
      <c r="D15" s="7"/>
      <c r="H15" s="7"/>
    </row>
    <row r="17" spans="1:8" ht="18.75" x14ac:dyDescent="0.3">
      <c r="C17" t="s">
        <v>4</v>
      </c>
      <c r="D17" s="4">
        <f>D3-D13</f>
        <v>49442</v>
      </c>
      <c r="G17" t="s">
        <v>5</v>
      </c>
      <c r="H17" s="4">
        <f>H3-H13</f>
        <v>7894</v>
      </c>
    </row>
    <row r="20" spans="1:8" ht="15.75" x14ac:dyDescent="0.25">
      <c r="A20" t="s">
        <v>6</v>
      </c>
      <c r="C20" s="8">
        <f>D17</f>
        <v>49442</v>
      </c>
      <c r="E20" t="s">
        <v>10</v>
      </c>
      <c r="H20" s="6">
        <f>C29</f>
        <v>40776.879999999997</v>
      </c>
    </row>
    <row r="22" spans="1:8" ht="15.75" x14ac:dyDescent="0.25">
      <c r="A22" t="s">
        <v>5</v>
      </c>
      <c r="B22" s="9" t="s">
        <v>7</v>
      </c>
      <c r="C22" s="8">
        <f>H17</f>
        <v>7894</v>
      </c>
      <c r="E22" s="13" t="s">
        <v>11</v>
      </c>
      <c r="F22" s="9" t="s">
        <v>12</v>
      </c>
      <c r="G22" s="15" t="s">
        <v>17</v>
      </c>
      <c r="H22" s="3">
        <f>-(F23*0.007)</f>
        <v>-1134</v>
      </c>
    </row>
    <row r="23" spans="1:8" x14ac:dyDescent="0.25">
      <c r="F23" s="21">
        <f>D3-H3</f>
        <v>162000</v>
      </c>
    </row>
    <row r="24" spans="1:8" ht="16.5" thickBot="1" x14ac:dyDescent="0.3">
      <c r="A24" t="s">
        <v>8</v>
      </c>
      <c r="B24" s="9" t="s">
        <v>7</v>
      </c>
      <c r="C24" s="8">
        <f>D3*0.004</f>
        <v>771.12</v>
      </c>
      <c r="F24" s="9" t="s">
        <v>13</v>
      </c>
      <c r="G24" s="16">
        <v>0.35</v>
      </c>
      <c r="H24" s="17">
        <f>-(F25*0.35)</f>
        <v>-14271.907999999998</v>
      </c>
    </row>
    <row r="25" spans="1:8" x14ac:dyDescent="0.25">
      <c r="F25" s="21">
        <f>H20</f>
        <v>40776.879999999997</v>
      </c>
    </row>
    <row r="26" spans="1:8" ht="15.75" x14ac:dyDescent="0.25">
      <c r="A26" t="s">
        <v>9</v>
      </c>
      <c r="B26" s="9" t="s">
        <v>7</v>
      </c>
      <c r="C26" s="10"/>
      <c r="G26" s="13" t="s">
        <v>14</v>
      </c>
      <c r="H26" s="6">
        <f>H20+H22+H24</f>
        <v>25370.972000000002</v>
      </c>
    </row>
    <row r="27" spans="1:8" ht="15.75" thickBot="1" x14ac:dyDescent="0.3">
      <c r="A27" s="16"/>
      <c r="B27" s="14"/>
      <c r="C27" s="7"/>
    </row>
    <row r="28" spans="1:8" x14ac:dyDescent="0.25">
      <c r="E28" t="s">
        <v>100</v>
      </c>
      <c r="H28" s="20">
        <f>H26*0.35</f>
        <v>8879.8402000000006</v>
      </c>
    </row>
    <row r="29" spans="1:8" ht="15.75" x14ac:dyDescent="0.25">
      <c r="A29" t="s">
        <v>10</v>
      </c>
      <c r="C29" s="10">
        <f>C20-C22-C24-C26</f>
        <v>40776.879999999997</v>
      </c>
      <c r="H29" s="18"/>
    </row>
    <row r="30" spans="1:8" x14ac:dyDescent="0.25">
      <c r="H30" s="3"/>
    </row>
    <row r="31" spans="1:8" x14ac:dyDescent="0.25">
      <c r="H31" s="18"/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5B521-467C-45EB-82CE-58768CE18B1B}">
  <dimension ref="A1:H31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270</v>
      </c>
    </row>
    <row r="3" spans="1:8" ht="21" x14ac:dyDescent="0.35">
      <c r="A3" s="2" t="s">
        <v>1</v>
      </c>
      <c r="D3" s="11">
        <v>703290</v>
      </c>
      <c r="F3" s="12" t="s">
        <v>3</v>
      </c>
      <c r="H3" s="11">
        <v>112290</v>
      </c>
    </row>
    <row r="4" spans="1:8" x14ac:dyDescent="0.25">
      <c r="A4" s="13" t="s">
        <v>29</v>
      </c>
      <c r="C4" s="28">
        <v>397</v>
      </c>
    </row>
    <row r="5" spans="1:8" ht="21" x14ac:dyDescent="0.35">
      <c r="A5" s="2" t="s">
        <v>2</v>
      </c>
    </row>
    <row r="7" spans="1:8" ht="18.75" x14ac:dyDescent="0.3">
      <c r="A7" s="5" t="s">
        <v>271</v>
      </c>
      <c r="D7" s="4">
        <v>343559</v>
      </c>
      <c r="E7" s="27"/>
      <c r="H7" s="4">
        <v>54854</v>
      </c>
    </row>
    <row r="8" spans="1:8" ht="18.75" x14ac:dyDescent="0.3">
      <c r="A8" s="5"/>
      <c r="D8" s="4"/>
      <c r="E8" s="27"/>
      <c r="H8" s="4"/>
    </row>
    <row r="9" spans="1:8" ht="18.75" x14ac:dyDescent="0.3">
      <c r="A9" s="5"/>
      <c r="D9" s="4"/>
      <c r="E9" s="27"/>
      <c r="H9" s="4"/>
    </row>
    <row r="10" spans="1:8" ht="18.75" x14ac:dyDescent="0.3">
      <c r="A10" s="5"/>
      <c r="D10" s="4"/>
      <c r="E10" s="27"/>
      <c r="H10" s="4"/>
    </row>
    <row r="11" spans="1:8" ht="18.75" x14ac:dyDescent="0.3">
      <c r="A11" s="5"/>
      <c r="D11" s="30"/>
      <c r="E11" s="27"/>
      <c r="H11" s="30"/>
    </row>
    <row r="12" spans="1:8" ht="19.5" thickBot="1" x14ac:dyDescent="0.35">
      <c r="A12" s="5"/>
      <c r="D12" s="23"/>
      <c r="E12" s="27"/>
      <c r="H12" s="23"/>
    </row>
    <row r="13" spans="1:8" ht="18.75" x14ac:dyDescent="0.3">
      <c r="D13" s="4">
        <f>SUM(D7:D12)</f>
        <v>343559</v>
      </c>
      <c r="H13" s="33">
        <f>SUM(H7:H12)</f>
        <v>54854</v>
      </c>
    </row>
    <row r="14" spans="1:8" ht="18.75" x14ac:dyDescent="0.3">
      <c r="A14" s="5"/>
      <c r="C14" s="3"/>
      <c r="D14" s="4"/>
      <c r="H14" s="4"/>
    </row>
    <row r="15" spans="1:8" ht="15.75" thickBot="1" x14ac:dyDescent="0.3">
      <c r="D15" s="7"/>
      <c r="H15" s="7"/>
    </row>
    <row r="17" spans="1:8" ht="18.75" x14ac:dyDescent="0.3">
      <c r="C17" t="s">
        <v>4</v>
      </c>
      <c r="D17" s="4">
        <f>D3-D13</f>
        <v>359731</v>
      </c>
      <c r="G17" t="s">
        <v>5</v>
      </c>
      <c r="H17" s="4">
        <f>H3-H13</f>
        <v>57436</v>
      </c>
    </row>
    <row r="20" spans="1:8" ht="15.75" x14ac:dyDescent="0.25">
      <c r="A20" t="s">
        <v>6</v>
      </c>
      <c r="C20" s="8">
        <f>D17</f>
        <v>359731</v>
      </c>
      <c r="E20" t="s">
        <v>10</v>
      </c>
      <c r="H20" s="6">
        <f>C29</f>
        <v>299481.84000000003</v>
      </c>
    </row>
    <row r="22" spans="1:8" ht="15.75" x14ac:dyDescent="0.25">
      <c r="A22" t="s">
        <v>5</v>
      </c>
      <c r="B22" s="9" t="s">
        <v>7</v>
      </c>
      <c r="C22" s="8">
        <f>H17</f>
        <v>57436</v>
      </c>
      <c r="E22" s="13" t="s">
        <v>11</v>
      </c>
      <c r="F22" s="9" t="s">
        <v>12</v>
      </c>
      <c r="G22" s="15" t="s">
        <v>17</v>
      </c>
      <c r="H22" s="3">
        <f>-(F23*0.007)</f>
        <v>-4137</v>
      </c>
    </row>
    <row r="23" spans="1:8" x14ac:dyDescent="0.25">
      <c r="F23" s="21">
        <f>D3-H3</f>
        <v>591000</v>
      </c>
    </row>
    <row r="24" spans="1:8" ht="16.5" thickBot="1" x14ac:dyDescent="0.3">
      <c r="A24" t="s">
        <v>8</v>
      </c>
      <c r="B24" s="9" t="s">
        <v>7</v>
      </c>
      <c r="C24" s="8">
        <f>D3*0.004</f>
        <v>2813.16</v>
      </c>
      <c r="F24" s="9" t="s">
        <v>13</v>
      </c>
      <c r="G24" s="16">
        <v>0.35</v>
      </c>
      <c r="H24" s="17">
        <f>-(F25*0.35)</f>
        <v>-104818.644</v>
      </c>
    </row>
    <row r="25" spans="1:8" x14ac:dyDescent="0.25">
      <c r="F25" s="21">
        <f>H20</f>
        <v>299481.84000000003</v>
      </c>
    </row>
    <row r="26" spans="1:8" ht="15.75" x14ac:dyDescent="0.25">
      <c r="A26" t="s">
        <v>9</v>
      </c>
      <c r="B26" s="9" t="s">
        <v>7</v>
      </c>
      <c r="C26" s="10"/>
      <c r="G26" s="13" t="s">
        <v>14</v>
      </c>
      <c r="H26" s="6">
        <f>H20+H22+H24</f>
        <v>190526.19600000003</v>
      </c>
    </row>
    <row r="27" spans="1:8" ht="15.75" thickBot="1" x14ac:dyDescent="0.3">
      <c r="A27" s="16"/>
      <c r="B27" s="14"/>
      <c r="C27" s="7"/>
    </row>
    <row r="28" spans="1:8" x14ac:dyDescent="0.25">
      <c r="E28" t="s">
        <v>100</v>
      </c>
      <c r="H28" s="20">
        <f>H26*0.35</f>
        <v>66684.168600000005</v>
      </c>
    </row>
    <row r="29" spans="1:8" ht="15.75" x14ac:dyDescent="0.25">
      <c r="A29" t="s">
        <v>10</v>
      </c>
      <c r="C29" s="10">
        <f>C20-C22-C24-C26</f>
        <v>299481.84000000003</v>
      </c>
      <c r="H29" s="18"/>
    </row>
    <row r="30" spans="1:8" x14ac:dyDescent="0.25">
      <c r="H30" s="3"/>
    </row>
    <row r="31" spans="1:8" x14ac:dyDescent="0.25">
      <c r="H31" s="18"/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96AFA-D8BB-4D69-8D0A-B43CA486B14F}">
  <dimension ref="A1:H31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272</v>
      </c>
    </row>
    <row r="3" spans="1:8" ht="21" x14ac:dyDescent="0.35">
      <c r="A3" s="2" t="s">
        <v>1</v>
      </c>
      <c r="D3" s="11">
        <v>321300</v>
      </c>
      <c r="F3" s="12" t="s">
        <v>3</v>
      </c>
      <c r="H3" s="11">
        <v>51300</v>
      </c>
    </row>
    <row r="4" spans="1:8" x14ac:dyDescent="0.25">
      <c r="A4" s="13" t="s">
        <v>29</v>
      </c>
      <c r="C4" s="28">
        <v>401</v>
      </c>
    </row>
    <row r="5" spans="1:8" ht="21" x14ac:dyDescent="0.35">
      <c r="A5" s="2" t="s">
        <v>2</v>
      </c>
    </row>
    <row r="7" spans="1:8" ht="18.75" x14ac:dyDescent="0.3">
      <c r="A7" s="5" t="s">
        <v>271</v>
      </c>
      <c r="D7" s="4">
        <v>241832</v>
      </c>
      <c r="E7" s="27"/>
      <c r="H7" s="4">
        <v>38612</v>
      </c>
    </row>
    <row r="8" spans="1:8" ht="18.75" x14ac:dyDescent="0.3">
      <c r="A8" s="5"/>
      <c r="D8" s="4"/>
      <c r="E8" s="27"/>
      <c r="H8" s="4"/>
    </row>
    <row r="9" spans="1:8" ht="18.75" x14ac:dyDescent="0.3">
      <c r="A9" s="5"/>
      <c r="D9" s="4"/>
      <c r="E9" s="27"/>
      <c r="H9" s="4"/>
    </row>
    <row r="10" spans="1:8" ht="18.75" x14ac:dyDescent="0.3">
      <c r="A10" s="5"/>
      <c r="D10" s="4"/>
      <c r="E10" s="27"/>
      <c r="H10" s="4"/>
    </row>
    <row r="11" spans="1:8" ht="18.75" x14ac:dyDescent="0.3">
      <c r="A11" s="5"/>
      <c r="D11" s="30"/>
      <c r="E11" s="27"/>
      <c r="H11" s="30"/>
    </row>
    <row r="12" spans="1:8" ht="19.5" thickBot="1" x14ac:dyDescent="0.35">
      <c r="A12" s="5"/>
      <c r="D12" s="23"/>
      <c r="E12" s="27"/>
      <c r="H12" s="23"/>
    </row>
    <row r="13" spans="1:8" ht="18.75" x14ac:dyDescent="0.3">
      <c r="D13" s="4">
        <f>SUM(D7:D12)</f>
        <v>241832</v>
      </c>
      <c r="H13" s="33">
        <f>SUM(H7:H12)</f>
        <v>38612</v>
      </c>
    </row>
    <row r="14" spans="1:8" ht="18.75" x14ac:dyDescent="0.3">
      <c r="A14" s="5"/>
      <c r="C14" s="3"/>
      <c r="D14" s="4"/>
      <c r="H14" s="4"/>
    </row>
    <row r="15" spans="1:8" ht="15.75" thickBot="1" x14ac:dyDescent="0.3">
      <c r="D15" s="7"/>
      <c r="H15" s="7"/>
    </row>
    <row r="17" spans="1:8" ht="18.75" x14ac:dyDescent="0.3">
      <c r="C17" t="s">
        <v>4</v>
      </c>
      <c r="D17" s="4">
        <f>D3-D13</f>
        <v>79468</v>
      </c>
      <c r="G17" t="s">
        <v>5</v>
      </c>
      <c r="H17" s="4">
        <f>H3-H13</f>
        <v>12688</v>
      </c>
    </row>
    <row r="20" spans="1:8" ht="15.75" x14ac:dyDescent="0.25">
      <c r="A20" t="s">
        <v>6</v>
      </c>
      <c r="C20" s="8">
        <f>D17</f>
        <v>79468</v>
      </c>
      <c r="E20" t="s">
        <v>10</v>
      </c>
      <c r="H20" s="6">
        <f>C29</f>
        <v>65494.8</v>
      </c>
    </row>
    <row r="22" spans="1:8" ht="15.75" x14ac:dyDescent="0.25">
      <c r="A22" t="s">
        <v>5</v>
      </c>
      <c r="B22" s="9" t="s">
        <v>7</v>
      </c>
      <c r="C22" s="8">
        <f>H17</f>
        <v>12688</v>
      </c>
      <c r="E22" s="13" t="s">
        <v>11</v>
      </c>
      <c r="F22" s="9" t="s">
        <v>12</v>
      </c>
      <c r="G22" s="15" t="s">
        <v>17</v>
      </c>
      <c r="H22" s="3">
        <f>-(F23*0.007)</f>
        <v>-1890</v>
      </c>
    </row>
    <row r="23" spans="1:8" x14ac:dyDescent="0.25">
      <c r="F23" s="21">
        <f>D3-H3</f>
        <v>270000</v>
      </c>
    </row>
    <row r="24" spans="1:8" ht="16.5" thickBot="1" x14ac:dyDescent="0.3">
      <c r="A24" t="s">
        <v>8</v>
      </c>
      <c r="B24" s="9" t="s">
        <v>7</v>
      </c>
      <c r="C24" s="8">
        <f>D3*0.004</f>
        <v>1285.2</v>
      </c>
      <c r="F24" s="9" t="s">
        <v>13</v>
      </c>
      <c r="G24" s="16">
        <v>0.35</v>
      </c>
      <c r="H24" s="17">
        <f>-(F25*0.35)</f>
        <v>-22923.18</v>
      </c>
    </row>
    <row r="25" spans="1:8" x14ac:dyDescent="0.25">
      <c r="F25" s="21">
        <f>H20</f>
        <v>65494.8</v>
      </c>
    </row>
    <row r="26" spans="1:8" ht="15.75" x14ac:dyDescent="0.25">
      <c r="A26" t="s">
        <v>9</v>
      </c>
      <c r="B26" s="9" t="s">
        <v>7</v>
      </c>
      <c r="C26" s="10"/>
      <c r="G26" s="13" t="s">
        <v>14</v>
      </c>
      <c r="H26" s="6">
        <f>H20+H22+H24</f>
        <v>40681.620000000003</v>
      </c>
    </row>
    <row r="27" spans="1:8" ht="15.75" thickBot="1" x14ac:dyDescent="0.3">
      <c r="A27" s="16"/>
      <c r="B27" s="14"/>
      <c r="C27" s="7"/>
    </row>
    <row r="28" spans="1:8" x14ac:dyDescent="0.25">
      <c r="E28" t="s">
        <v>100</v>
      </c>
      <c r="H28" s="20">
        <f>H26*0.35</f>
        <v>14238.567000000001</v>
      </c>
    </row>
    <row r="29" spans="1:8" ht="15.75" x14ac:dyDescent="0.25">
      <c r="A29" t="s">
        <v>10</v>
      </c>
      <c r="C29" s="10">
        <f>C20-C22-C24-C26</f>
        <v>65494.8</v>
      </c>
      <c r="H29" s="18"/>
    </row>
    <row r="30" spans="1:8" x14ac:dyDescent="0.25">
      <c r="H30" s="3"/>
    </row>
    <row r="31" spans="1:8" x14ac:dyDescent="0.25">
      <c r="H31" s="18"/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7C4AD-22B1-4977-8F66-63AC019EF982}">
  <dimension ref="A1:H31"/>
  <sheetViews>
    <sheetView workbookViewId="0">
      <selection activeCell="D13" sqref="D13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189</v>
      </c>
    </row>
    <row r="3" spans="1:8" ht="21" x14ac:dyDescent="0.35">
      <c r="A3" s="2" t="s">
        <v>1</v>
      </c>
      <c r="D3" s="11">
        <v>2864036</v>
      </c>
      <c r="F3" s="12" t="s">
        <v>3</v>
      </c>
      <c r="H3" s="11">
        <v>467096</v>
      </c>
    </row>
    <row r="4" spans="1:8" x14ac:dyDescent="0.25">
      <c r="A4" s="13" t="s">
        <v>29</v>
      </c>
      <c r="C4" s="28">
        <v>403</v>
      </c>
    </row>
    <row r="5" spans="1:8" ht="21" x14ac:dyDescent="0.35">
      <c r="A5" s="2" t="s">
        <v>2</v>
      </c>
    </row>
    <row r="7" spans="1:8" ht="18.75" x14ac:dyDescent="0.3">
      <c r="A7" s="5" t="s">
        <v>283</v>
      </c>
      <c r="D7" s="4">
        <v>109500</v>
      </c>
      <c r="E7" s="27"/>
      <c r="H7" s="4">
        <v>0</v>
      </c>
    </row>
    <row r="8" spans="1:8" ht="18.75" x14ac:dyDescent="0.3">
      <c r="A8" s="5" t="s">
        <v>284</v>
      </c>
      <c r="D8" s="4">
        <v>41412</v>
      </c>
      <c r="E8" s="27"/>
      <c r="H8" s="4">
        <v>6612</v>
      </c>
    </row>
    <row r="9" spans="1:8" ht="18.75" x14ac:dyDescent="0.3">
      <c r="A9" s="5" t="s">
        <v>285</v>
      </c>
      <c r="D9" s="4">
        <v>372275</v>
      </c>
      <c r="E9" s="27"/>
      <c r="H9" s="4">
        <v>59439</v>
      </c>
    </row>
    <row r="10" spans="1:8" ht="18.75" x14ac:dyDescent="0.3">
      <c r="A10" s="5" t="s">
        <v>286</v>
      </c>
      <c r="D10" s="4">
        <v>1632110</v>
      </c>
      <c r="E10" s="27"/>
      <c r="H10" s="4">
        <v>260589</v>
      </c>
    </row>
    <row r="11" spans="1:8" ht="18.75" x14ac:dyDescent="0.3">
      <c r="A11" s="5" t="s">
        <v>287</v>
      </c>
      <c r="D11" s="30">
        <v>43821</v>
      </c>
      <c r="E11" s="27"/>
      <c r="H11" s="30">
        <v>6997</v>
      </c>
    </row>
    <row r="12" spans="1:8" ht="19.5" thickBot="1" x14ac:dyDescent="0.35">
      <c r="A12" s="5" t="s">
        <v>289</v>
      </c>
      <c r="D12" s="23">
        <v>25000</v>
      </c>
      <c r="E12" s="27"/>
      <c r="H12" s="23"/>
    </row>
    <row r="13" spans="1:8" ht="18.75" x14ac:dyDescent="0.3">
      <c r="D13" s="4">
        <f>SUM(D7:D12)</f>
        <v>2224118</v>
      </c>
      <c r="H13" s="33">
        <f>SUM(H7:H12)</f>
        <v>333637</v>
      </c>
    </row>
    <row r="14" spans="1:8" ht="18.75" x14ac:dyDescent="0.3">
      <c r="A14" s="5"/>
      <c r="C14" s="3"/>
      <c r="D14" s="4"/>
      <c r="H14" s="4"/>
    </row>
    <row r="15" spans="1:8" ht="15.75" thickBot="1" x14ac:dyDescent="0.3">
      <c r="D15" s="7"/>
      <c r="H15" s="7"/>
    </row>
    <row r="17" spans="1:8" ht="18.75" x14ac:dyDescent="0.3">
      <c r="C17" t="s">
        <v>4</v>
      </c>
      <c r="D17" s="4">
        <f>D3-D13</f>
        <v>639918</v>
      </c>
      <c r="G17" t="s">
        <v>5</v>
      </c>
      <c r="H17" s="4">
        <f>H3-H13</f>
        <v>133459</v>
      </c>
    </row>
    <row r="20" spans="1:8" ht="15.75" x14ac:dyDescent="0.25">
      <c r="A20" t="s">
        <v>6</v>
      </c>
      <c r="C20" s="8">
        <f>D17</f>
        <v>639918</v>
      </c>
      <c r="E20" t="s">
        <v>10</v>
      </c>
      <c r="H20" s="6">
        <f>C29</f>
        <v>495002.85600000003</v>
      </c>
    </row>
    <row r="22" spans="1:8" ht="15.75" x14ac:dyDescent="0.25">
      <c r="A22" t="s">
        <v>5</v>
      </c>
      <c r="B22" s="9" t="s">
        <v>7</v>
      </c>
      <c r="C22" s="8">
        <f>H17</f>
        <v>133459</v>
      </c>
      <c r="E22" s="13" t="s">
        <v>11</v>
      </c>
      <c r="F22" s="9" t="s">
        <v>12</v>
      </c>
      <c r="G22" s="15" t="s">
        <v>17</v>
      </c>
      <c r="H22" s="3">
        <f>-(F23*0.007)</f>
        <v>-16778.580000000002</v>
      </c>
    </row>
    <row r="23" spans="1:8" x14ac:dyDescent="0.25">
      <c r="F23" s="21">
        <f>D3-H3</f>
        <v>2396940</v>
      </c>
    </row>
    <row r="24" spans="1:8" ht="16.5" thickBot="1" x14ac:dyDescent="0.3">
      <c r="A24" t="s">
        <v>8</v>
      </c>
      <c r="B24" s="9" t="s">
        <v>7</v>
      </c>
      <c r="C24" s="8">
        <f>D3*0.004</f>
        <v>11456.144</v>
      </c>
      <c r="F24" s="9" t="s">
        <v>13</v>
      </c>
      <c r="G24" s="16">
        <v>0.35</v>
      </c>
      <c r="H24" s="17">
        <f>-(F25*0.35)</f>
        <v>-173250.99960000001</v>
      </c>
    </row>
    <row r="25" spans="1:8" x14ac:dyDescent="0.25">
      <c r="F25" s="21">
        <f>H20</f>
        <v>495002.85600000003</v>
      </c>
    </row>
    <row r="26" spans="1:8" ht="15.75" x14ac:dyDescent="0.25">
      <c r="A26" t="s">
        <v>9</v>
      </c>
      <c r="B26" s="9" t="s">
        <v>7</v>
      </c>
      <c r="C26" s="10"/>
      <c r="G26" s="13" t="s">
        <v>14</v>
      </c>
      <c r="H26" s="6">
        <f>H20+H22+H24</f>
        <v>304973.27639999997</v>
      </c>
    </row>
    <row r="27" spans="1:8" ht="15.75" thickBot="1" x14ac:dyDescent="0.3">
      <c r="A27" s="16"/>
      <c r="B27" s="14"/>
      <c r="C27" s="7"/>
    </row>
    <row r="28" spans="1:8" x14ac:dyDescent="0.25">
      <c r="E28" t="s">
        <v>100</v>
      </c>
      <c r="H28" s="20">
        <f>H26*0.35</f>
        <v>106740.64673999998</v>
      </c>
    </row>
    <row r="29" spans="1:8" ht="15.75" x14ac:dyDescent="0.25">
      <c r="A29" t="s">
        <v>10</v>
      </c>
      <c r="C29" s="10">
        <f>C20-C22-C24-C26</f>
        <v>495002.85600000003</v>
      </c>
      <c r="H29" s="18"/>
    </row>
    <row r="30" spans="1:8" x14ac:dyDescent="0.25">
      <c r="H30" s="3"/>
    </row>
    <row r="31" spans="1:8" x14ac:dyDescent="0.25">
      <c r="H31" s="18"/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A5772-CA26-4F28-BD11-83625E597681}">
  <dimension ref="A1:H31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148</v>
      </c>
    </row>
    <row r="3" spans="1:8" ht="21" x14ac:dyDescent="0.35">
      <c r="A3" s="2" t="s">
        <v>1</v>
      </c>
      <c r="D3" s="11">
        <v>373600</v>
      </c>
      <c r="F3" s="12" t="s">
        <v>3</v>
      </c>
      <c r="H3" s="11">
        <v>59651</v>
      </c>
    </row>
    <row r="4" spans="1:8" x14ac:dyDescent="0.25">
      <c r="A4" s="13" t="s">
        <v>29</v>
      </c>
      <c r="C4" s="28">
        <v>403</v>
      </c>
    </row>
    <row r="5" spans="1:8" ht="21" x14ac:dyDescent="0.35">
      <c r="A5" s="2" t="s">
        <v>2</v>
      </c>
    </row>
    <row r="7" spans="1:8" ht="18.75" x14ac:dyDescent="0.3">
      <c r="A7" s="5" t="s">
        <v>288</v>
      </c>
      <c r="D7" s="4">
        <v>56656</v>
      </c>
      <c r="E7" s="27"/>
      <c r="H7" s="4">
        <v>9046</v>
      </c>
    </row>
    <row r="8" spans="1:8" ht="18.75" x14ac:dyDescent="0.3">
      <c r="A8" s="5" t="s">
        <v>263</v>
      </c>
      <c r="D8" s="4">
        <v>105235</v>
      </c>
      <c r="E8" s="27"/>
      <c r="H8" s="4">
        <v>16802</v>
      </c>
    </row>
    <row r="9" spans="1:8" ht="18.75" x14ac:dyDescent="0.3">
      <c r="A9" s="5" t="s">
        <v>290</v>
      </c>
      <c r="D9" s="4">
        <v>79264</v>
      </c>
      <c r="E9" s="27"/>
      <c r="H9" s="4">
        <v>12656</v>
      </c>
    </row>
    <row r="10" spans="1:8" ht="18.75" x14ac:dyDescent="0.3">
      <c r="A10" s="5"/>
      <c r="D10" s="4"/>
      <c r="E10" s="27"/>
      <c r="H10" s="4"/>
    </row>
    <row r="11" spans="1:8" ht="18.75" x14ac:dyDescent="0.3">
      <c r="A11" s="5"/>
      <c r="D11" s="30"/>
      <c r="E11" s="27"/>
      <c r="H11" s="30"/>
    </row>
    <row r="12" spans="1:8" ht="19.5" thickBot="1" x14ac:dyDescent="0.35">
      <c r="A12" s="5"/>
      <c r="D12" s="23"/>
      <c r="E12" s="27"/>
      <c r="H12" s="23"/>
    </row>
    <row r="13" spans="1:8" ht="18.75" x14ac:dyDescent="0.3">
      <c r="D13" s="4">
        <f>SUM(D7:D12)</f>
        <v>241155</v>
      </c>
      <c r="H13" s="33">
        <f>SUM(H7:H12)</f>
        <v>38504</v>
      </c>
    </row>
    <row r="14" spans="1:8" ht="18.75" x14ac:dyDescent="0.3">
      <c r="A14" s="5"/>
      <c r="C14" s="3"/>
      <c r="D14" s="4"/>
      <c r="H14" s="4"/>
    </row>
    <row r="15" spans="1:8" ht="15.75" thickBot="1" x14ac:dyDescent="0.3">
      <c r="D15" s="7"/>
      <c r="H15" s="7"/>
    </row>
    <row r="17" spans="1:8" ht="18.75" x14ac:dyDescent="0.3">
      <c r="C17" t="s">
        <v>4</v>
      </c>
      <c r="D17" s="4">
        <f>D3-D13</f>
        <v>132445</v>
      </c>
      <c r="G17" t="s">
        <v>5</v>
      </c>
      <c r="H17" s="4">
        <f>H3-H13</f>
        <v>21147</v>
      </c>
    </row>
    <row r="20" spans="1:8" ht="15.75" x14ac:dyDescent="0.25">
      <c r="A20" t="s">
        <v>6</v>
      </c>
      <c r="C20" s="8">
        <f>D17</f>
        <v>132445</v>
      </c>
      <c r="E20" t="s">
        <v>10</v>
      </c>
      <c r="H20" s="6">
        <f>C29</f>
        <v>94103.6</v>
      </c>
    </row>
    <row r="22" spans="1:8" ht="15.75" x14ac:dyDescent="0.25">
      <c r="A22" t="s">
        <v>5</v>
      </c>
      <c r="B22" s="9" t="s">
        <v>7</v>
      </c>
      <c r="C22" s="8">
        <f>H17</f>
        <v>21147</v>
      </c>
      <c r="E22" s="13" t="s">
        <v>11</v>
      </c>
      <c r="F22" s="9" t="s">
        <v>12</v>
      </c>
      <c r="G22" s="15" t="s">
        <v>17</v>
      </c>
      <c r="H22" s="3">
        <f>-(F23*0.007)</f>
        <v>-2197.643</v>
      </c>
    </row>
    <row r="23" spans="1:8" x14ac:dyDescent="0.25">
      <c r="F23" s="21">
        <f>D3-H3</f>
        <v>313949</v>
      </c>
    </row>
    <row r="24" spans="1:8" ht="16.5" thickBot="1" x14ac:dyDescent="0.3">
      <c r="A24" t="s">
        <v>8</v>
      </c>
      <c r="B24" s="9" t="s">
        <v>7</v>
      </c>
      <c r="C24" s="8">
        <f>D3*0.004</f>
        <v>1494.4</v>
      </c>
      <c r="F24" s="9" t="s">
        <v>13</v>
      </c>
      <c r="G24" s="16">
        <v>0.35</v>
      </c>
      <c r="H24" s="17">
        <f>-(F25*0.35)</f>
        <v>-32936.26</v>
      </c>
    </row>
    <row r="25" spans="1:8" x14ac:dyDescent="0.25">
      <c r="F25" s="21">
        <f>H20</f>
        <v>94103.6</v>
      </c>
    </row>
    <row r="26" spans="1:8" ht="15.75" x14ac:dyDescent="0.25">
      <c r="A26" t="s">
        <v>9</v>
      </c>
      <c r="B26" s="9" t="s">
        <v>7</v>
      </c>
      <c r="C26" s="10">
        <v>15700</v>
      </c>
      <c r="G26" s="13" t="s">
        <v>14</v>
      </c>
      <c r="H26" s="6">
        <f>H20+H22+H24</f>
        <v>58969.697000000007</v>
      </c>
    </row>
    <row r="27" spans="1:8" ht="15.75" thickBot="1" x14ac:dyDescent="0.3">
      <c r="A27" s="16" t="s">
        <v>185</v>
      </c>
      <c r="B27" s="14"/>
      <c r="C27" s="7"/>
    </row>
    <row r="28" spans="1:8" x14ac:dyDescent="0.25">
      <c r="E28" t="s">
        <v>100</v>
      </c>
      <c r="H28" s="20">
        <f>H26*0.35</f>
        <v>20639.393950000001</v>
      </c>
    </row>
    <row r="29" spans="1:8" ht="15.75" x14ac:dyDescent="0.25">
      <c r="A29" t="s">
        <v>10</v>
      </c>
      <c r="C29" s="10">
        <f>C20-C22-C24-C26</f>
        <v>94103.6</v>
      </c>
      <c r="H29" s="18"/>
    </row>
    <row r="30" spans="1:8" x14ac:dyDescent="0.25">
      <c r="H30" s="3"/>
    </row>
    <row r="31" spans="1:8" x14ac:dyDescent="0.25">
      <c r="H31" s="18"/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83D67-6869-42AA-BE02-B8FE73AA1561}">
  <dimension ref="A1:H31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291</v>
      </c>
    </row>
    <row r="3" spans="1:8" ht="21" x14ac:dyDescent="0.35">
      <c r="A3" s="2" t="s">
        <v>1</v>
      </c>
      <c r="D3" s="11">
        <v>3629790</v>
      </c>
      <c r="F3" s="12" t="s">
        <v>3</v>
      </c>
      <c r="H3" s="11">
        <v>591983</v>
      </c>
    </row>
    <row r="4" spans="1:8" x14ac:dyDescent="0.25">
      <c r="A4" s="13" t="s">
        <v>29</v>
      </c>
      <c r="C4" s="28">
        <v>406</v>
      </c>
    </row>
    <row r="5" spans="1:8" ht="21" x14ac:dyDescent="0.35">
      <c r="A5" s="2" t="s">
        <v>2</v>
      </c>
    </row>
    <row r="7" spans="1:8" ht="18.75" x14ac:dyDescent="0.3">
      <c r="A7" s="5" t="s">
        <v>292</v>
      </c>
      <c r="D7" s="4">
        <v>2402598</v>
      </c>
      <c r="E7" s="27"/>
      <c r="H7" s="4">
        <v>391840</v>
      </c>
    </row>
    <row r="8" spans="1:8" ht="18.75" x14ac:dyDescent="0.3">
      <c r="A8" s="5" t="s">
        <v>293</v>
      </c>
      <c r="D8" s="4">
        <v>461194</v>
      </c>
      <c r="E8" s="27"/>
      <c r="H8" s="4">
        <v>73636</v>
      </c>
    </row>
    <row r="9" spans="1:8" ht="18.75" x14ac:dyDescent="0.3">
      <c r="A9" s="5"/>
      <c r="D9" s="4"/>
      <c r="E9" s="27"/>
      <c r="H9" s="4"/>
    </row>
    <row r="10" spans="1:8" ht="18.75" x14ac:dyDescent="0.3">
      <c r="A10" s="5"/>
      <c r="D10" s="4"/>
      <c r="E10" s="27"/>
      <c r="H10" s="4"/>
    </row>
    <row r="11" spans="1:8" ht="18.75" x14ac:dyDescent="0.3">
      <c r="A11" s="5"/>
      <c r="D11" s="30"/>
      <c r="E11" s="27"/>
      <c r="H11" s="30"/>
    </row>
    <row r="12" spans="1:8" ht="19.5" thickBot="1" x14ac:dyDescent="0.35">
      <c r="A12" s="5"/>
      <c r="D12" s="23"/>
      <c r="E12" s="27"/>
      <c r="H12" s="23"/>
    </row>
    <row r="13" spans="1:8" ht="18.75" x14ac:dyDescent="0.3">
      <c r="D13" s="4">
        <f>SUM(D7:D12)</f>
        <v>2863792</v>
      </c>
      <c r="H13" s="33">
        <f>SUM(H7:H12)</f>
        <v>465476</v>
      </c>
    </row>
    <row r="14" spans="1:8" ht="18.75" x14ac:dyDescent="0.3">
      <c r="A14" s="5"/>
      <c r="C14" s="3"/>
      <c r="D14" s="4"/>
      <c r="H14" s="4"/>
    </row>
    <row r="15" spans="1:8" ht="15.75" thickBot="1" x14ac:dyDescent="0.3">
      <c r="D15" s="7"/>
      <c r="H15" s="7"/>
    </row>
    <row r="17" spans="1:8" ht="18.75" x14ac:dyDescent="0.3">
      <c r="C17" t="s">
        <v>4</v>
      </c>
      <c r="D17" s="4">
        <f>D3-D13</f>
        <v>765998</v>
      </c>
      <c r="G17" t="s">
        <v>5</v>
      </c>
      <c r="H17" s="4">
        <f>H3-H13</f>
        <v>126507</v>
      </c>
    </row>
    <row r="20" spans="1:8" ht="15.75" x14ac:dyDescent="0.25">
      <c r="A20" t="s">
        <v>6</v>
      </c>
      <c r="C20" s="8">
        <f>D17</f>
        <v>765998</v>
      </c>
      <c r="E20" t="s">
        <v>10</v>
      </c>
      <c r="H20" s="6">
        <f>C29</f>
        <v>624971.84</v>
      </c>
    </row>
    <row r="22" spans="1:8" ht="15.75" x14ac:dyDescent="0.25">
      <c r="A22" t="s">
        <v>5</v>
      </c>
      <c r="B22" s="9" t="s">
        <v>7</v>
      </c>
      <c r="C22" s="8">
        <f>H17</f>
        <v>126507</v>
      </c>
      <c r="E22" s="13" t="s">
        <v>11</v>
      </c>
      <c r="F22" s="9" t="s">
        <v>12</v>
      </c>
      <c r="G22" s="15" t="s">
        <v>17</v>
      </c>
      <c r="H22" s="3">
        <f>-(F23*0.007)</f>
        <v>-21264.649000000001</v>
      </c>
    </row>
    <row r="23" spans="1:8" x14ac:dyDescent="0.25">
      <c r="F23" s="21">
        <f>D3-H3</f>
        <v>3037807</v>
      </c>
    </row>
    <row r="24" spans="1:8" ht="16.5" thickBot="1" x14ac:dyDescent="0.3">
      <c r="A24" t="s">
        <v>8</v>
      </c>
      <c r="B24" s="9" t="s">
        <v>7</v>
      </c>
      <c r="C24" s="8">
        <f>D3*0.004</f>
        <v>14519.16</v>
      </c>
      <c r="F24" s="9" t="s">
        <v>13</v>
      </c>
      <c r="G24" s="16">
        <v>0.35</v>
      </c>
      <c r="H24" s="17">
        <f>-(F25*0.35)</f>
        <v>-218740.14399999997</v>
      </c>
    </row>
    <row r="25" spans="1:8" x14ac:dyDescent="0.25">
      <c r="F25" s="21">
        <f>H20</f>
        <v>624971.84</v>
      </c>
    </row>
    <row r="26" spans="1:8" ht="15.75" x14ac:dyDescent="0.25">
      <c r="A26" t="s">
        <v>9</v>
      </c>
      <c r="B26" s="9" t="s">
        <v>7</v>
      </c>
      <c r="C26" s="10"/>
      <c r="G26" s="13" t="s">
        <v>14</v>
      </c>
      <c r="H26" s="6">
        <f>H20+H22+H24</f>
        <v>384967.04700000002</v>
      </c>
    </row>
    <row r="27" spans="1:8" ht="15.75" thickBot="1" x14ac:dyDescent="0.3">
      <c r="A27" s="16"/>
      <c r="B27" s="14"/>
      <c r="C27" s="7"/>
    </row>
    <row r="28" spans="1:8" x14ac:dyDescent="0.25">
      <c r="E28" t="s">
        <v>100</v>
      </c>
      <c r="H28" s="20">
        <f>H26*0.35</f>
        <v>134738.46645000001</v>
      </c>
    </row>
    <row r="29" spans="1:8" ht="15.75" x14ac:dyDescent="0.25">
      <c r="A29" t="s">
        <v>10</v>
      </c>
      <c r="C29" s="10">
        <f>C20-C22-C24-C26</f>
        <v>624971.84</v>
      </c>
      <c r="H29" s="18"/>
    </row>
    <row r="30" spans="1:8" x14ac:dyDescent="0.25">
      <c r="H30" s="3"/>
    </row>
    <row r="31" spans="1:8" x14ac:dyDescent="0.25">
      <c r="H31" s="18"/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12278-1A6D-44BA-A5D5-2D0A08709E9F}">
  <dimension ref="A1:H31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294</v>
      </c>
    </row>
    <row r="3" spans="1:8" ht="21" x14ac:dyDescent="0.35">
      <c r="A3" s="2" t="s">
        <v>1</v>
      </c>
      <c r="D3" s="11">
        <v>1380400</v>
      </c>
      <c r="F3" s="12" t="s">
        <v>3</v>
      </c>
      <c r="H3" s="11">
        <v>220400</v>
      </c>
    </row>
    <row r="4" spans="1:8" x14ac:dyDescent="0.25">
      <c r="A4" s="13" t="s">
        <v>29</v>
      </c>
      <c r="C4" s="28">
        <v>407</v>
      </c>
    </row>
    <row r="5" spans="1:8" ht="21" x14ac:dyDescent="0.35">
      <c r="A5" s="2" t="s">
        <v>2</v>
      </c>
    </row>
    <row r="7" spans="1:8" ht="18.75" x14ac:dyDescent="0.3">
      <c r="A7" s="5" t="s">
        <v>295</v>
      </c>
      <c r="D7" s="4">
        <v>1047200</v>
      </c>
      <c r="E7" s="27"/>
      <c r="H7" s="4">
        <v>167200</v>
      </c>
    </row>
    <row r="8" spans="1:8" ht="18.75" x14ac:dyDescent="0.3">
      <c r="A8" s="5"/>
      <c r="D8" s="4"/>
      <c r="E8" s="27"/>
      <c r="H8" s="4"/>
    </row>
    <row r="9" spans="1:8" ht="18.75" x14ac:dyDescent="0.3">
      <c r="A9" s="5"/>
      <c r="D9" s="4"/>
      <c r="E9" s="27"/>
      <c r="H9" s="4"/>
    </row>
    <row r="10" spans="1:8" ht="18.75" x14ac:dyDescent="0.3">
      <c r="A10" s="5"/>
      <c r="D10" s="4"/>
      <c r="E10" s="27"/>
      <c r="H10" s="4"/>
    </row>
    <row r="11" spans="1:8" ht="18.75" x14ac:dyDescent="0.3">
      <c r="A11" s="5"/>
      <c r="D11" s="30"/>
      <c r="E11" s="27"/>
      <c r="H11" s="30"/>
    </row>
    <row r="12" spans="1:8" ht="19.5" thickBot="1" x14ac:dyDescent="0.35">
      <c r="A12" s="5"/>
      <c r="D12" s="23"/>
      <c r="E12" s="27"/>
      <c r="H12" s="23"/>
    </row>
    <row r="13" spans="1:8" ht="18.75" x14ac:dyDescent="0.3">
      <c r="D13" s="4">
        <f>SUM(D7:D12)</f>
        <v>1047200</v>
      </c>
      <c r="H13" s="33">
        <f>SUM(H7:H12)</f>
        <v>167200</v>
      </c>
    </row>
    <row r="14" spans="1:8" ht="18.75" x14ac:dyDescent="0.3">
      <c r="A14" s="5"/>
      <c r="C14" s="3"/>
      <c r="D14" s="4"/>
      <c r="H14" s="4"/>
    </row>
    <row r="15" spans="1:8" ht="15.75" thickBot="1" x14ac:dyDescent="0.3">
      <c r="D15" s="7"/>
      <c r="H15" s="7"/>
    </row>
    <row r="17" spans="1:8" ht="18.75" x14ac:dyDescent="0.3">
      <c r="C17" t="s">
        <v>4</v>
      </c>
      <c r="D17" s="4">
        <f>D3-D13</f>
        <v>333200</v>
      </c>
      <c r="G17" t="s">
        <v>5</v>
      </c>
      <c r="H17" s="4">
        <f>H3-H13</f>
        <v>53200</v>
      </c>
    </row>
    <row r="20" spans="1:8" ht="15.75" x14ac:dyDescent="0.25">
      <c r="A20" t="s">
        <v>6</v>
      </c>
      <c r="C20" s="8">
        <f>D17</f>
        <v>333200</v>
      </c>
      <c r="E20" t="s">
        <v>10</v>
      </c>
      <c r="H20" s="6">
        <f>C29</f>
        <v>274478.40000000002</v>
      </c>
    </row>
    <row r="22" spans="1:8" ht="15.75" x14ac:dyDescent="0.25">
      <c r="A22" t="s">
        <v>5</v>
      </c>
      <c r="B22" s="9" t="s">
        <v>7</v>
      </c>
      <c r="C22" s="8">
        <f>H17</f>
        <v>53200</v>
      </c>
      <c r="E22" s="13" t="s">
        <v>11</v>
      </c>
      <c r="F22" s="9" t="s">
        <v>12</v>
      </c>
      <c r="G22" s="15" t="s">
        <v>17</v>
      </c>
      <c r="H22" s="3">
        <f>-(F23*0.007)</f>
        <v>-8120</v>
      </c>
    </row>
    <row r="23" spans="1:8" x14ac:dyDescent="0.25">
      <c r="F23" s="21">
        <f>D3-H3</f>
        <v>1160000</v>
      </c>
    </row>
    <row r="24" spans="1:8" ht="16.5" thickBot="1" x14ac:dyDescent="0.3">
      <c r="A24" t="s">
        <v>8</v>
      </c>
      <c r="B24" s="9" t="s">
        <v>7</v>
      </c>
      <c r="C24" s="8">
        <f>D3*0.004</f>
        <v>5521.6</v>
      </c>
      <c r="F24" s="9" t="s">
        <v>13</v>
      </c>
      <c r="G24" s="16">
        <v>0.35</v>
      </c>
      <c r="H24" s="17">
        <f>-(F25*0.35)</f>
        <v>-96067.44</v>
      </c>
    </row>
    <row r="25" spans="1:8" x14ac:dyDescent="0.25">
      <c r="F25" s="21">
        <f>H20</f>
        <v>274478.40000000002</v>
      </c>
    </row>
    <row r="26" spans="1:8" ht="15.75" x14ac:dyDescent="0.25">
      <c r="A26" t="s">
        <v>9</v>
      </c>
      <c r="B26" s="9" t="s">
        <v>7</v>
      </c>
      <c r="C26" s="10"/>
      <c r="G26" s="13" t="s">
        <v>14</v>
      </c>
      <c r="H26" s="6">
        <f>H20+H22+H24</f>
        <v>170290.96000000002</v>
      </c>
    </row>
    <row r="27" spans="1:8" ht="15.75" thickBot="1" x14ac:dyDescent="0.3">
      <c r="A27" s="16"/>
      <c r="B27" s="14"/>
      <c r="C27" s="7"/>
    </row>
    <row r="28" spans="1:8" x14ac:dyDescent="0.25">
      <c r="E28" t="s">
        <v>100</v>
      </c>
      <c r="H28" s="20">
        <f>H26*0.35</f>
        <v>59601.836000000003</v>
      </c>
    </row>
    <row r="29" spans="1:8" ht="15.75" x14ac:dyDescent="0.25">
      <c r="A29" t="s">
        <v>10</v>
      </c>
      <c r="C29" s="10">
        <f>C20-C22-C24-C26</f>
        <v>274478.40000000002</v>
      </c>
      <c r="H29" s="18"/>
    </row>
    <row r="30" spans="1:8" x14ac:dyDescent="0.25">
      <c r="H30" s="3"/>
    </row>
    <row r="31" spans="1:8" x14ac:dyDescent="0.25">
      <c r="H31" s="18"/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29E50-803F-4B77-96E1-934D30AB466A}">
  <dimension ref="A1:H31"/>
  <sheetViews>
    <sheetView workbookViewId="0">
      <selection activeCell="C4" sqref="C4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294</v>
      </c>
    </row>
    <row r="3" spans="1:8" ht="21" x14ac:dyDescent="0.35">
      <c r="A3" s="2" t="s">
        <v>1</v>
      </c>
      <c r="D3" s="11">
        <v>127925</v>
      </c>
      <c r="F3" s="12" t="s">
        <v>3</v>
      </c>
      <c r="H3" s="11">
        <v>20425</v>
      </c>
    </row>
    <row r="4" spans="1:8" x14ac:dyDescent="0.25">
      <c r="A4" s="13" t="s">
        <v>29</v>
      </c>
      <c r="C4" s="28">
        <v>409</v>
      </c>
    </row>
    <row r="5" spans="1:8" ht="21" x14ac:dyDescent="0.35">
      <c r="A5" s="2" t="s">
        <v>2</v>
      </c>
    </row>
    <row r="7" spans="1:8" ht="18.75" x14ac:dyDescent="0.3">
      <c r="A7" s="5" t="s">
        <v>208</v>
      </c>
      <c r="D7" s="4">
        <v>55000</v>
      </c>
      <c r="E7" s="27"/>
      <c r="H7" s="4">
        <v>0</v>
      </c>
    </row>
    <row r="8" spans="1:8" ht="18.75" x14ac:dyDescent="0.3">
      <c r="A8" s="5" t="s">
        <v>92</v>
      </c>
      <c r="D8" s="4">
        <v>10000</v>
      </c>
      <c r="E8" s="27"/>
      <c r="H8" s="4"/>
    </row>
    <row r="9" spans="1:8" ht="18.75" x14ac:dyDescent="0.3">
      <c r="A9" s="5"/>
      <c r="D9" s="4"/>
      <c r="E9" s="27"/>
      <c r="H9" s="4"/>
    </row>
    <row r="10" spans="1:8" ht="18.75" x14ac:dyDescent="0.3">
      <c r="A10" s="5"/>
      <c r="D10" s="4"/>
      <c r="E10" s="27"/>
      <c r="H10" s="4"/>
    </row>
    <row r="11" spans="1:8" ht="18.75" x14ac:dyDescent="0.3">
      <c r="A11" s="5"/>
      <c r="D11" s="30"/>
      <c r="E11" s="27"/>
      <c r="H11" s="30"/>
    </row>
    <row r="12" spans="1:8" ht="19.5" thickBot="1" x14ac:dyDescent="0.35">
      <c r="A12" s="5"/>
      <c r="D12" s="23"/>
      <c r="E12" s="27"/>
      <c r="H12" s="23"/>
    </row>
    <row r="13" spans="1:8" ht="18.75" x14ac:dyDescent="0.3">
      <c r="D13" s="4">
        <f>SUM(D7:D12)</f>
        <v>65000</v>
      </c>
      <c r="H13" s="33">
        <f>SUM(H7:H12)</f>
        <v>0</v>
      </c>
    </row>
    <row r="14" spans="1:8" ht="18.75" x14ac:dyDescent="0.3">
      <c r="A14" s="5"/>
      <c r="C14" s="3"/>
      <c r="D14" s="4"/>
      <c r="H14" s="4"/>
    </row>
    <row r="15" spans="1:8" ht="15.75" thickBot="1" x14ac:dyDescent="0.3">
      <c r="D15" s="7"/>
      <c r="H15" s="7"/>
    </row>
    <row r="17" spans="1:8" ht="18.75" x14ac:dyDescent="0.3">
      <c r="C17" t="s">
        <v>4</v>
      </c>
      <c r="D17" s="4">
        <f>D3-D13</f>
        <v>62925</v>
      </c>
      <c r="G17" t="s">
        <v>5</v>
      </c>
      <c r="H17" s="4">
        <f>H3-H13</f>
        <v>20425</v>
      </c>
    </row>
    <row r="20" spans="1:8" ht="15.75" x14ac:dyDescent="0.25">
      <c r="A20" t="s">
        <v>6</v>
      </c>
      <c r="C20" s="8">
        <f>D17</f>
        <v>62925</v>
      </c>
      <c r="E20" t="s">
        <v>10</v>
      </c>
      <c r="H20" s="6">
        <f>C29</f>
        <v>41988.3</v>
      </c>
    </row>
    <row r="22" spans="1:8" ht="15.75" x14ac:dyDescent="0.25">
      <c r="A22" t="s">
        <v>5</v>
      </c>
      <c r="B22" s="9" t="s">
        <v>7</v>
      </c>
      <c r="C22" s="8">
        <f>H17</f>
        <v>20425</v>
      </c>
      <c r="E22" s="13" t="s">
        <v>11</v>
      </c>
      <c r="F22" s="9" t="s">
        <v>12</v>
      </c>
      <c r="G22" s="15" t="s">
        <v>17</v>
      </c>
      <c r="H22" s="3">
        <f>-(F23*0.007)</f>
        <v>-752.5</v>
      </c>
    </row>
    <row r="23" spans="1:8" x14ac:dyDescent="0.25">
      <c r="F23" s="21">
        <f>D3-H3</f>
        <v>107500</v>
      </c>
    </row>
    <row r="24" spans="1:8" ht="16.5" thickBot="1" x14ac:dyDescent="0.3">
      <c r="A24" t="s">
        <v>8</v>
      </c>
      <c r="B24" s="9" t="s">
        <v>7</v>
      </c>
      <c r="C24" s="8">
        <f>D3*0.004</f>
        <v>511.7</v>
      </c>
      <c r="F24" s="9" t="s">
        <v>13</v>
      </c>
      <c r="G24" s="16">
        <v>0.35</v>
      </c>
      <c r="H24" s="17">
        <f>-(F25*0.35)</f>
        <v>-14695.905000000001</v>
      </c>
    </row>
    <row r="25" spans="1:8" x14ac:dyDescent="0.25">
      <c r="F25" s="21">
        <f>H20</f>
        <v>41988.3</v>
      </c>
    </row>
    <row r="26" spans="1:8" ht="15.75" x14ac:dyDescent="0.25">
      <c r="A26" t="s">
        <v>9</v>
      </c>
      <c r="B26" s="9" t="s">
        <v>7</v>
      </c>
      <c r="C26" s="10"/>
      <c r="G26" s="13" t="s">
        <v>14</v>
      </c>
      <c r="H26" s="6">
        <f>H20+H22+H24</f>
        <v>26539.895000000004</v>
      </c>
    </row>
    <row r="27" spans="1:8" ht="15.75" thickBot="1" x14ac:dyDescent="0.3">
      <c r="A27" s="16"/>
      <c r="B27" s="14"/>
      <c r="C27" s="7"/>
    </row>
    <row r="28" spans="1:8" x14ac:dyDescent="0.25">
      <c r="E28" t="s">
        <v>100</v>
      </c>
      <c r="H28" s="20">
        <f>H26*0.35</f>
        <v>9288.9632500000007</v>
      </c>
    </row>
    <row r="29" spans="1:8" ht="15.75" x14ac:dyDescent="0.25">
      <c r="A29" t="s">
        <v>10</v>
      </c>
      <c r="C29" s="10">
        <f>C20-C22-C24-C26</f>
        <v>41988.3</v>
      </c>
      <c r="H29" s="18"/>
    </row>
    <row r="30" spans="1:8" x14ac:dyDescent="0.25">
      <c r="H30" s="3"/>
    </row>
    <row r="31" spans="1:8" x14ac:dyDescent="0.25">
      <c r="H31" s="18"/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0DBB4-0951-487D-B5FB-A33B8B4C531F}">
  <dimension ref="A1:H31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294</v>
      </c>
    </row>
    <row r="3" spans="1:8" ht="21" x14ac:dyDescent="0.35">
      <c r="A3" s="2" t="s">
        <v>1</v>
      </c>
      <c r="D3" s="11">
        <v>695555</v>
      </c>
      <c r="F3" s="12" t="s">
        <v>3</v>
      </c>
      <c r="H3" s="11">
        <v>111055</v>
      </c>
    </row>
    <row r="4" spans="1:8" x14ac:dyDescent="0.25">
      <c r="A4" s="13" t="s">
        <v>29</v>
      </c>
      <c r="C4" s="28">
        <v>410</v>
      </c>
    </row>
    <row r="5" spans="1:8" ht="21" x14ac:dyDescent="0.35">
      <c r="A5" s="2" t="s">
        <v>2</v>
      </c>
    </row>
    <row r="7" spans="1:8" ht="18.75" x14ac:dyDescent="0.3">
      <c r="A7" s="5" t="s">
        <v>296</v>
      </c>
      <c r="D7" s="4">
        <v>178500</v>
      </c>
      <c r="E7" s="27"/>
      <c r="H7" s="4">
        <v>28500</v>
      </c>
    </row>
    <row r="8" spans="1:8" ht="18.75" x14ac:dyDescent="0.3">
      <c r="A8" s="5" t="s">
        <v>297</v>
      </c>
      <c r="D8" s="4">
        <v>14550</v>
      </c>
      <c r="E8" s="27"/>
      <c r="H8" s="4">
        <v>2323</v>
      </c>
    </row>
    <row r="9" spans="1:8" ht="18.75" x14ac:dyDescent="0.3">
      <c r="A9" s="5" t="s">
        <v>298</v>
      </c>
      <c r="D9" s="4">
        <v>100000</v>
      </c>
      <c r="E9" s="27"/>
      <c r="H9" s="4"/>
    </row>
    <row r="10" spans="1:8" ht="18.75" x14ac:dyDescent="0.3">
      <c r="A10" s="5" t="s">
        <v>299</v>
      </c>
      <c r="D10" s="4">
        <v>60000</v>
      </c>
      <c r="E10" s="27"/>
      <c r="H10" s="4"/>
    </row>
    <row r="11" spans="1:8" ht="18.75" x14ac:dyDescent="0.3">
      <c r="A11" s="5" t="s">
        <v>92</v>
      </c>
      <c r="D11" s="30">
        <v>30000</v>
      </c>
      <c r="E11" s="27"/>
      <c r="H11" s="30"/>
    </row>
    <row r="12" spans="1:8" ht="19.5" thickBot="1" x14ac:dyDescent="0.35">
      <c r="A12" s="5"/>
      <c r="D12" s="23"/>
      <c r="E12" s="27"/>
      <c r="H12" s="23"/>
    </row>
    <row r="13" spans="1:8" ht="18.75" x14ac:dyDescent="0.3">
      <c r="D13" s="4">
        <f>SUM(D7:D12)</f>
        <v>383050</v>
      </c>
      <c r="H13" s="33">
        <f>SUM(H7:H12)</f>
        <v>30823</v>
      </c>
    </row>
    <row r="14" spans="1:8" ht="18.75" x14ac:dyDescent="0.3">
      <c r="A14" s="5"/>
      <c r="C14" s="3"/>
      <c r="D14" s="4"/>
      <c r="H14" s="4"/>
    </row>
    <row r="15" spans="1:8" ht="15.75" thickBot="1" x14ac:dyDescent="0.3">
      <c r="D15" s="7"/>
      <c r="H15" s="7"/>
    </row>
    <row r="17" spans="1:8" ht="18.75" x14ac:dyDescent="0.3">
      <c r="C17" t="s">
        <v>4</v>
      </c>
      <c r="D17" s="4">
        <f>D3-D13</f>
        <v>312505</v>
      </c>
      <c r="G17" t="s">
        <v>5</v>
      </c>
      <c r="H17" s="4">
        <f>H3-H13</f>
        <v>80232</v>
      </c>
    </row>
    <row r="20" spans="1:8" ht="15.75" x14ac:dyDescent="0.25">
      <c r="A20" t="s">
        <v>6</v>
      </c>
      <c r="C20" s="8">
        <f>D17</f>
        <v>312505</v>
      </c>
      <c r="E20" t="s">
        <v>10</v>
      </c>
      <c r="H20" s="6">
        <f>C29</f>
        <v>229490.78</v>
      </c>
    </row>
    <row r="22" spans="1:8" ht="15.75" x14ac:dyDescent="0.25">
      <c r="A22" t="s">
        <v>5</v>
      </c>
      <c r="B22" s="9" t="s">
        <v>7</v>
      </c>
      <c r="C22" s="8">
        <f>H17</f>
        <v>80232</v>
      </c>
      <c r="E22" s="13" t="s">
        <v>11</v>
      </c>
      <c r="F22" s="9" t="s">
        <v>12</v>
      </c>
      <c r="G22" s="15" t="s">
        <v>17</v>
      </c>
      <c r="H22" s="3">
        <f>-(F23*0.007)</f>
        <v>-4091.5</v>
      </c>
    </row>
    <row r="23" spans="1:8" x14ac:dyDescent="0.25">
      <c r="F23" s="21">
        <f>D3-H3</f>
        <v>584500</v>
      </c>
    </row>
    <row r="24" spans="1:8" ht="16.5" thickBot="1" x14ac:dyDescent="0.3">
      <c r="A24" t="s">
        <v>8</v>
      </c>
      <c r="B24" s="9" t="s">
        <v>7</v>
      </c>
      <c r="C24" s="8">
        <f>D3*0.004</f>
        <v>2782.2200000000003</v>
      </c>
      <c r="F24" s="9" t="s">
        <v>13</v>
      </c>
      <c r="G24" s="16">
        <v>0.35</v>
      </c>
      <c r="H24" s="17">
        <f>-(F25*0.35)</f>
        <v>-80321.773000000001</v>
      </c>
    </row>
    <row r="25" spans="1:8" x14ac:dyDescent="0.25">
      <c r="F25" s="21">
        <f>H20</f>
        <v>229490.78</v>
      </c>
    </row>
    <row r="26" spans="1:8" ht="15.75" x14ac:dyDescent="0.25">
      <c r="A26" t="s">
        <v>9</v>
      </c>
      <c r="B26" s="9" t="s">
        <v>7</v>
      </c>
      <c r="C26" s="10"/>
      <c r="G26" s="13" t="s">
        <v>14</v>
      </c>
      <c r="H26" s="6">
        <f>H20+H22+H24</f>
        <v>145077.50699999998</v>
      </c>
    </row>
    <row r="27" spans="1:8" ht="15.75" thickBot="1" x14ac:dyDescent="0.3">
      <c r="A27" s="16"/>
      <c r="B27" s="14"/>
      <c r="C27" s="7"/>
    </row>
    <row r="28" spans="1:8" x14ac:dyDescent="0.25">
      <c r="E28" t="s">
        <v>100</v>
      </c>
      <c r="H28" s="20">
        <f>H26*0.35</f>
        <v>50777.127449999993</v>
      </c>
    </row>
    <row r="29" spans="1:8" ht="15.75" x14ac:dyDescent="0.25">
      <c r="A29" t="s">
        <v>10</v>
      </c>
      <c r="C29" s="10">
        <f>C20-C22-C24-C26</f>
        <v>229490.78</v>
      </c>
      <c r="H29" s="18"/>
    </row>
    <row r="30" spans="1:8" x14ac:dyDescent="0.25">
      <c r="H30" s="3"/>
    </row>
    <row r="31" spans="1:8" x14ac:dyDescent="0.25">
      <c r="H31" s="18"/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BB07D-AAA9-4BF8-9A7C-36653745C839}">
  <dimension ref="A1:H31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300</v>
      </c>
    </row>
    <row r="3" spans="1:8" ht="21" x14ac:dyDescent="0.35">
      <c r="A3" s="2" t="s">
        <v>1</v>
      </c>
      <c r="D3" s="11">
        <v>214200</v>
      </c>
      <c r="F3" s="12" t="s">
        <v>3</v>
      </c>
      <c r="H3" s="11">
        <v>34200</v>
      </c>
    </row>
    <row r="4" spans="1:8" x14ac:dyDescent="0.25">
      <c r="A4" s="13" t="s">
        <v>29</v>
      </c>
      <c r="C4" s="28">
        <v>411</v>
      </c>
    </row>
    <row r="5" spans="1:8" ht="21" x14ac:dyDescent="0.35">
      <c r="A5" s="2" t="s">
        <v>2</v>
      </c>
    </row>
    <row r="7" spans="1:8" ht="18.75" x14ac:dyDescent="0.3">
      <c r="A7" s="5" t="s">
        <v>301</v>
      </c>
      <c r="D7" s="4">
        <v>71936</v>
      </c>
      <c r="E7" s="27"/>
      <c r="H7" s="4">
        <v>11486</v>
      </c>
    </row>
    <row r="8" spans="1:8" ht="18.75" x14ac:dyDescent="0.3">
      <c r="A8" s="5"/>
      <c r="D8" s="4"/>
      <c r="E8" s="27"/>
      <c r="H8" s="4"/>
    </row>
    <row r="9" spans="1:8" ht="18.75" x14ac:dyDescent="0.3">
      <c r="A9" s="5"/>
      <c r="D9" s="4"/>
      <c r="E9" s="27"/>
      <c r="H9" s="4"/>
    </row>
    <row r="10" spans="1:8" ht="18.75" x14ac:dyDescent="0.3">
      <c r="A10" s="5"/>
      <c r="D10" s="4"/>
      <c r="E10" s="27"/>
      <c r="H10" s="4"/>
    </row>
    <row r="11" spans="1:8" ht="18.75" x14ac:dyDescent="0.3">
      <c r="A11" s="5"/>
      <c r="D11" s="30"/>
      <c r="E11" s="27"/>
      <c r="H11" s="30"/>
    </row>
    <row r="12" spans="1:8" ht="19.5" thickBot="1" x14ac:dyDescent="0.35">
      <c r="A12" s="5"/>
      <c r="D12" s="23"/>
      <c r="E12" s="27"/>
      <c r="H12" s="23"/>
    </row>
    <row r="13" spans="1:8" ht="18.75" x14ac:dyDescent="0.3">
      <c r="D13" s="4">
        <f>SUM(D7:D12)</f>
        <v>71936</v>
      </c>
      <c r="H13" s="33">
        <f>SUM(H7:H12)</f>
        <v>11486</v>
      </c>
    </row>
    <row r="14" spans="1:8" ht="18.75" x14ac:dyDescent="0.3">
      <c r="A14" s="5"/>
      <c r="C14" s="3"/>
      <c r="D14" s="4"/>
      <c r="H14" s="4"/>
    </row>
    <row r="15" spans="1:8" ht="15.75" thickBot="1" x14ac:dyDescent="0.3">
      <c r="D15" s="7"/>
      <c r="H15" s="7"/>
    </row>
    <row r="17" spans="1:8" ht="18.75" x14ac:dyDescent="0.3">
      <c r="C17" t="s">
        <v>4</v>
      </c>
      <c r="D17" s="4">
        <f>D3-D13</f>
        <v>142264</v>
      </c>
      <c r="G17" t="s">
        <v>5</v>
      </c>
      <c r="H17" s="4">
        <f>H3-H13</f>
        <v>22714</v>
      </c>
    </row>
    <row r="20" spans="1:8" ht="15.75" x14ac:dyDescent="0.25">
      <c r="A20" t="s">
        <v>6</v>
      </c>
      <c r="C20" s="8">
        <f>D17</f>
        <v>142264</v>
      </c>
      <c r="E20" t="s">
        <v>10</v>
      </c>
      <c r="H20" s="6">
        <f>C29</f>
        <v>109693.2</v>
      </c>
    </row>
    <row r="22" spans="1:8" ht="15.75" x14ac:dyDescent="0.25">
      <c r="A22" t="s">
        <v>5</v>
      </c>
      <c r="B22" s="9" t="s">
        <v>7</v>
      </c>
      <c r="C22" s="8">
        <f>H17</f>
        <v>22714</v>
      </c>
      <c r="E22" s="13" t="s">
        <v>11</v>
      </c>
      <c r="F22" s="9" t="s">
        <v>12</v>
      </c>
      <c r="G22" s="15" t="s">
        <v>17</v>
      </c>
      <c r="H22" s="3">
        <f>-(F23*0.007)</f>
        <v>-1260</v>
      </c>
    </row>
    <row r="23" spans="1:8" x14ac:dyDescent="0.25">
      <c r="F23" s="21">
        <f>D3-H3</f>
        <v>180000</v>
      </c>
    </row>
    <row r="24" spans="1:8" ht="16.5" thickBot="1" x14ac:dyDescent="0.3">
      <c r="A24" t="s">
        <v>8</v>
      </c>
      <c r="B24" s="9" t="s">
        <v>7</v>
      </c>
      <c r="C24" s="8">
        <f>D3*0.004</f>
        <v>856.80000000000007</v>
      </c>
      <c r="F24" s="9" t="s">
        <v>13</v>
      </c>
      <c r="G24" s="16">
        <v>0.35</v>
      </c>
      <c r="H24" s="17">
        <f>-(F25*0.35)</f>
        <v>-38392.619999999995</v>
      </c>
    </row>
    <row r="25" spans="1:8" x14ac:dyDescent="0.25">
      <c r="F25" s="21">
        <f>H20</f>
        <v>109693.2</v>
      </c>
    </row>
    <row r="26" spans="1:8" ht="15.75" x14ac:dyDescent="0.25">
      <c r="A26" t="s">
        <v>9</v>
      </c>
      <c r="B26" s="9" t="s">
        <v>7</v>
      </c>
      <c r="C26" s="10">
        <v>9000</v>
      </c>
      <c r="G26" s="13" t="s">
        <v>14</v>
      </c>
      <c r="H26" s="6">
        <f>H20+H22+H24</f>
        <v>70040.58</v>
      </c>
    </row>
    <row r="27" spans="1:8" ht="15.75" thickBot="1" x14ac:dyDescent="0.3">
      <c r="A27" s="16" t="s">
        <v>185</v>
      </c>
      <c r="B27" s="14"/>
      <c r="C27" s="7"/>
    </row>
    <row r="28" spans="1:8" x14ac:dyDescent="0.25">
      <c r="E28" t="s">
        <v>100</v>
      </c>
      <c r="H28" s="20">
        <f>H26*0.35</f>
        <v>24514.202999999998</v>
      </c>
    </row>
    <row r="29" spans="1:8" ht="15.75" x14ac:dyDescent="0.25">
      <c r="A29" t="s">
        <v>10</v>
      </c>
      <c r="C29" s="10">
        <f>C20-C22-C24-C26</f>
        <v>109693.2</v>
      </c>
      <c r="H29" s="18"/>
    </row>
    <row r="30" spans="1:8" x14ac:dyDescent="0.25">
      <c r="H30" s="3"/>
    </row>
    <row r="31" spans="1:8" x14ac:dyDescent="0.25">
      <c r="H31" s="18"/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B4A2A-240F-4C13-8A18-9716825C99C9}">
  <dimension ref="A1:H31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294</v>
      </c>
    </row>
    <row r="3" spans="1:8" ht="21" x14ac:dyDescent="0.35">
      <c r="A3" s="2" t="s">
        <v>1</v>
      </c>
      <c r="D3" s="11">
        <v>235977</v>
      </c>
      <c r="F3" s="12" t="s">
        <v>3</v>
      </c>
      <c r="H3" s="11">
        <v>37677</v>
      </c>
    </row>
    <row r="4" spans="1:8" x14ac:dyDescent="0.25">
      <c r="A4" s="13" t="s">
        <v>29</v>
      </c>
      <c r="C4" s="28">
        <v>415</v>
      </c>
    </row>
    <row r="5" spans="1:8" ht="21" x14ac:dyDescent="0.35">
      <c r="A5" s="2" t="s">
        <v>2</v>
      </c>
    </row>
    <row r="7" spans="1:8" ht="18.75" x14ac:dyDescent="0.3">
      <c r="A7" s="5" t="s">
        <v>302</v>
      </c>
      <c r="D7" s="4">
        <v>111265</v>
      </c>
      <c r="E7" s="27"/>
      <c r="H7" s="4">
        <v>17765</v>
      </c>
    </row>
    <row r="8" spans="1:8" ht="18.75" x14ac:dyDescent="0.3">
      <c r="A8" s="5" t="s">
        <v>303</v>
      </c>
      <c r="D8" s="4">
        <v>18600</v>
      </c>
      <c r="E8" s="27"/>
      <c r="H8" s="4">
        <v>2970</v>
      </c>
    </row>
    <row r="9" spans="1:8" ht="18.75" x14ac:dyDescent="0.3">
      <c r="A9" s="5"/>
      <c r="D9" s="4"/>
      <c r="E9" s="27"/>
      <c r="H9" s="4"/>
    </row>
    <row r="10" spans="1:8" ht="18.75" x14ac:dyDescent="0.3">
      <c r="A10" s="5"/>
      <c r="D10" s="4"/>
      <c r="E10" s="27"/>
      <c r="H10" s="4"/>
    </row>
    <row r="11" spans="1:8" ht="18.75" x14ac:dyDescent="0.3">
      <c r="A11" s="5"/>
      <c r="D11" s="30"/>
      <c r="E11" s="27"/>
      <c r="H11" s="30"/>
    </row>
    <row r="12" spans="1:8" ht="19.5" thickBot="1" x14ac:dyDescent="0.35">
      <c r="A12" s="5"/>
      <c r="D12" s="23"/>
      <c r="E12" s="27"/>
      <c r="H12" s="23"/>
    </row>
    <row r="13" spans="1:8" ht="18.75" x14ac:dyDescent="0.3">
      <c r="D13" s="4">
        <f>SUM(D7:D12)</f>
        <v>129865</v>
      </c>
      <c r="H13" s="33">
        <f>SUM(H7:H12)</f>
        <v>20735</v>
      </c>
    </row>
    <row r="14" spans="1:8" ht="18.75" x14ac:dyDescent="0.3">
      <c r="A14" s="5"/>
      <c r="C14" s="3"/>
      <c r="D14" s="4"/>
      <c r="H14" s="4"/>
    </row>
    <row r="15" spans="1:8" ht="15.75" thickBot="1" x14ac:dyDescent="0.3">
      <c r="D15" s="7"/>
      <c r="H15" s="7"/>
    </row>
    <row r="17" spans="1:8" ht="18.75" x14ac:dyDescent="0.3">
      <c r="C17" t="s">
        <v>4</v>
      </c>
      <c r="D17" s="4">
        <f>D3-D13</f>
        <v>106112</v>
      </c>
      <c r="G17" t="s">
        <v>5</v>
      </c>
      <c r="H17" s="4">
        <f>H3-H13</f>
        <v>16942</v>
      </c>
    </row>
    <row r="20" spans="1:8" ht="15.75" x14ac:dyDescent="0.25">
      <c r="A20" t="s">
        <v>6</v>
      </c>
      <c r="C20" s="8">
        <f>D17</f>
        <v>106112</v>
      </c>
      <c r="E20" t="s">
        <v>10</v>
      </c>
      <c r="H20" s="6">
        <f>C29</f>
        <v>88226.092000000004</v>
      </c>
    </row>
    <row r="22" spans="1:8" ht="15.75" x14ac:dyDescent="0.25">
      <c r="A22" t="s">
        <v>5</v>
      </c>
      <c r="B22" s="9" t="s">
        <v>7</v>
      </c>
      <c r="C22" s="8">
        <f>H17</f>
        <v>16942</v>
      </c>
      <c r="E22" s="13" t="s">
        <v>11</v>
      </c>
      <c r="F22" s="9" t="s">
        <v>12</v>
      </c>
      <c r="G22" s="15" t="s">
        <v>17</v>
      </c>
      <c r="H22" s="3">
        <f>-(F23*0.007)</f>
        <v>-1388.1000000000001</v>
      </c>
    </row>
    <row r="23" spans="1:8" x14ac:dyDescent="0.25">
      <c r="F23" s="21">
        <f>D3-H3</f>
        <v>198300</v>
      </c>
    </row>
    <row r="24" spans="1:8" ht="16.5" thickBot="1" x14ac:dyDescent="0.3">
      <c r="A24" t="s">
        <v>8</v>
      </c>
      <c r="B24" s="9" t="s">
        <v>7</v>
      </c>
      <c r="C24" s="8">
        <f>D3*0.004</f>
        <v>943.90800000000002</v>
      </c>
      <c r="F24" s="9" t="s">
        <v>13</v>
      </c>
      <c r="G24" s="16">
        <v>0.35</v>
      </c>
      <c r="H24" s="17">
        <f>-(F25*0.35)</f>
        <v>-30879.1322</v>
      </c>
    </row>
    <row r="25" spans="1:8" x14ac:dyDescent="0.25">
      <c r="F25" s="21">
        <f>H20</f>
        <v>88226.092000000004</v>
      </c>
    </row>
    <row r="26" spans="1:8" ht="15.75" x14ac:dyDescent="0.25">
      <c r="A26" t="s">
        <v>9</v>
      </c>
      <c r="B26" s="9" t="s">
        <v>7</v>
      </c>
      <c r="C26" s="10"/>
      <c r="G26" s="13" t="s">
        <v>14</v>
      </c>
      <c r="H26" s="6">
        <f>H20+H22+H24</f>
        <v>55958.859799999998</v>
      </c>
    </row>
    <row r="27" spans="1:8" ht="15.75" thickBot="1" x14ac:dyDescent="0.3">
      <c r="A27" s="16"/>
      <c r="B27" s="14"/>
      <c r="C27" s="7"/>
    </row>
    <row r="28" spans="1:8" x14ac:dyDescent="0.25">
      <c r="E28" t="s">
        <v>100</v>
      </c>
      <c r="H28" s="20">
        <f>H26*0.35</f>
        <v>19585.600929999997</v>
      </c>
    </row>
    <row r="29" spans="1:8" ht="15.75" x14ac:dyDescent="0.25">
      <c r="A29" t="s">
        <v>10</v>
      </c>
      <c r="C29" s="10">
        <f>C20-C22-C24-C26</f>
        <v>88226.092000000004</v>
      </c>
      <c r="H29" s="18"/>
    </row>
    <row r="30" spans="1:8" x14ac:dyDescent="0.25">
      <c r="H30" s="3"/>
    </row>
    <row r="31" spans="1:8" x14ac:dyDescent="0.25">
      <c r="H31" s="18"/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587F5-74A2-4C39-A7C3-B21992AC8A9B}">
  <dimension ref="A1:H31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294</v>
      </c>
    </row>
    <row r="3" spans="1:8" ht="21" x14ac:dyDescent="0.35">
      <c r="A3" s="2" t="s">
        <v>1</v>
      </c>
      <c r="D3" s="11">
        <v>172550</v>
      </c>
      <c r="F3" s="12" t="s">
        <v>3</v>
      </c>
      <c r="H3" s="11">
        <v>27550</v>
      </c>
    </row>
    <row r="4" spans="1:8" x14ac:dyDescent="0.25">
      <c r="A4" s="13" t="s">
        <v>29</v>
      </c>
      <c r="C4" s="28">
        <v>416</v>
      </c>
    </row>
    <row r="5" spans="1:8" ht="21" x14ac:dyDescent="0.35">
      <c r="A5" s="2" t="s">
        <v>2</v>
      </c>
    </row>
    <row r="7" spans="1:8" ht="18.75" x14ac:dyDescent="0.3">
      <c r="A7" s="5" t="s">
        <v>304</v>
      </c>
      <c r="D7" s="4">
        <v>21372</v>
      </c>
      <c r="E7" s="27"/>
      <c r="H7" s="4">
        <v>3412</v>
      </c>
    </row>
    <row r="8" spans="1:8" ht="18.75" x14ac:dyDescent="0.3">
      <c r="A8" s="5" t="s">
        <v>305</v>
      </c>
      <c r="D8" s="4">
        <v>73088</v>
      </c>
      <c r="E8" s="27"/>
      <c r="H8" s="4">
        <v>11668</v>
      </c>
    </row>
    <row r="9" spans="1:8" ht="18.75" x14ac:dyDescent="0.3">
      <c r="A9" s="5"/>
      <c r="D9" s="4"/>
      <c r="E9" s="27"/>
      <c r="H9" s="4"/>
    </row>
    <row r="10" spans="1:8" ht="18.75" x14ac:dyDescent="0.3">
      <c r="A10" s="5"/>
      <c r="D10" s="4"/>
      <c r="E10" s="27"/>
      <c r="H10" s="4"/>
    </row>
    <row r="11" spans="1:8" ht="18.75" x14ac:dyDescent="0.3">
      <c r="A11" s="5"/>
      <c r="D11" s="30"/>
      <c r="E11" s="27"/>
      <c r="H11" s="30"/>
    </row>
    <row r="12" spans="1:8" ht="19.5" thickBot="1" x14ac:dyDescent="0.35">
      <c r="A12" s="5"/>
      <c r="D12" s="23"/>
      <c r="E12" s="27"/>
      <c r="H12" s="23"/>
    </row>
    <row r="13" spans="1:8" ht="18.75" x14ac:dyDescent="0.3">
      <c r="D13" s="4">
        <f>SUM(D7:D12)</f>
        <v>94460</v>
      </c>
      <c r="H13" s="33">
        <f>SUM(H7:H12)</f>
        <v>15080</v>
      </c>
    </row>
    <row r="14" spans="1:8" ht="18.75" x14ac:dyDescent="0.3">
      <c r="A14" s="5"/>
      <c r="C14" s="3"/>
      <c r="D14" s="4"/>
      <c r="H14" s="4"/>
    </row>
    <row r="15" spans="1:8" ht="15.75" thickBot="1" x14ac:dyDescent="0.3">
      <c r="D15" s="7"/>
      <c r="H15" s="7"/>
    </row>
    <row r="17" spans="1:8" ht="18.75" x14ac:dyDescent="0.3">
      <c r="C17" t="s">
        <v>4</v>
      </c>
      <c r="D17" s="4">
        <f>D3-D13</f>
        <v>78090</v>
      </c>
      <c r="G17" t="s">
        <v>5</v>
      </c>
      <c r="H17" s="4">
        <f>H3-H13</f>
        <v>12470</v>
      </c>
    </row>
    <row r="20" spans="1:8" ht="15.75" x14ac:dyDescent="0.25">
      <c r="A20" t="s">
        <v>6</v>
      </c>
      <c r="C20" s="8">
        <f>D17</f>
        <v>78090</v>
      </c>
      <c r="E20" t="s">
        <v>10</v>
      </c>
      <c r="H20" s="6">
        <f>C29</f>
        <v>64929.8</v>
      </c>
    </row>
    <row r="22" spans="1:8" ht="15.75" x14ac:dyDescent="0.25">
      <c r="A22" t="s">
        <v>5</v>
      </c>
      <c r="B22" s="9" t="s">
        <v>7</v>
      </c>
      <c r="C22" s="8">
        <f>H17</f>
        <v>12470</v>
      </c>
      <c r="E22" s="13" t="s">
        <v>11</v>
      </c>
      <c r="F22" s="9" t="s">
        <v>12</v>
      </c>
      <c r="G22" s="15" t="s">
        <v>17</v>
      </c>
      <c r="H22" s="3">
        <f>-(F23*0.007)</f>
        <v>-1015</v>
      </c>
    </row>
    <row r="23" spans="1:8" x14ac:dyDescent="0.25">
      <c r="F23" s="21">
        <f>D3-H3</f>
        <v>145000</v>
      </c>
    </row>
    <row r="24" spans="1:8" ht="16.5" thickBot="1" x14ac:dyDescent="0.3">
      <c r="A24" t="s">
        <v>8</v>
      </c>
      <c r="B24" s="9" t="s">
        <v>7</v>
      </c>
      <c r="C24" s="8">
        <f>D3*0.004</f>
        <v>690.2</v>
      </c>
      <c r="F24" s="9" t="s">
        <v>13</v>
      </c>
      <c r="G24" s="16">
        <v>0.35</v>
      </c>
      <c r="H24" s="17">
        <f>-(F25*0.35)</f>
        <v>-22725.43</v>
      </c>
    </row>
    <row r="25" spans="1:8" x14ac:dyDescent="0.25">
      <c r="F25" s="21">
        <f>H20</f>
        <v>64929.8</v>
      </c>
    </row>
    <row r="26" spans="1:8" ht="15.75" x14ac:dyDescent="0.25">
      <c r="A26" t="s">
        <v>9</v>
      </c>
      <c r="B26" s="9" t="s">
        <v>7</v>
      </c>
      <c r="C26" s="10"/>
      <c r="G26" s="13" t="s">
        <v>14</v>
      </c>
      <c r="H26" s="6">
        <f>H20+H22+H24</f>
        <v>41189.370000000003</v>
      </c>
    </row>
    <row r="27" spans="1:8" ht="15.75" thickBot="1" x14ac:dyDescent="0.3">
      <c r="A27" s="16"/>
      <c r="B27" s="14"/>
      <c r="C27" s="7"/>
    </row>
    <row r="28" spans="1:8" x14ac:dyDescent="0.25">
      <c r="E28" t="s">
        <v>100</v>
      </c>
      <c r="H28" s="20">
        <f>H26*0.35</f>
        <v>14416.279500000001</v>
      </c>
    </row>
    <row r="29" spans="1:8" ht="15.75" x14ac:dyDescent="0.25">
      <c r="A29" t="s">
        <v>10</v>
      </c>
      <c r="C29" s="10">
        <f>C20-C22-C24-C26</f>
        <v>64929.8</v>
      </c>
      <c r="H29" s="18"/>
    </row>
    <row r="30" spans="1:8" x14ac:dyDescent="0.25">
      <c r="H30" s="3"/>
    </row>
    <row r="31" spans="1:8" x14ac:dyDescent="0.25">
      <c r="H31" s="18"/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BE4A1-232E-4B94-9AAD-A5D304D65BA8}">
  <dimension ref="A1:H31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306</v>
      </c>
    </row>
    <row r="3" spans="1:8" ht="21" x14ac:dyDescent="0.35">
      <c r="A3" s="2" t="s">
        <v>1</v>
      </c>
      <c r="D3" s="11">
        <v>163554</v>
      </c>
      <c r="F3" s="12" t="s">
        <v>3</v>
      </c>
      <c r="H3" s="11">
        <v>26114</v>
      </c>
    </row>
    <row r="4" spans="1:8" x14ac:dyDescent="0.25">
      <c r="A4" s="13" t="s">
        <v>29</v>
      </c>
      <c r="C4" s="28">
        <v>417</v>
      </c>
    </row>
    <row r="5" spans="1:8" ht="21" x14ac:dyDescent="0.35">
      <c r="A5" s="2" t="s">
        <v>2</v>
      </c>
    </row>
    <row r="7" spans="1:8" ht="18.75" x14ac:dyDescent="0.3">
      <c r="A7" s="5" t="s">
        <v>307</v>
      </c>
      <c r="D7" s="4">
        <v>29941</v>
      </c>
      <c r="E7" s="27"/>
      <c r="H7" s="4">
        <v>4780</v>
      </c>
    </row>
    <row r="8" spans="1:8" ht="18.75" x14ac:dyDescent="0.3">
      <c r="A8" s="5" t="s">
        <v>308</v>
      </c>
      <c r="D8" s="4">
        <v>37053</v>
      </c>
      <c r="E8" s="27"/>
      <c r="H8" s="4">
        <v>4910</v>
      </c>
    </row>
    <row r="9" spans="1:8" ht="18.75" x14ac:dyDescent="0.3">
      <c r="A9" s="5" t="s">
        <v>208</v>
      </c>
      <c r="D9" s="4">
        <v>2500</v>
      </c>
      <c r="E9" s="27"/>
      <c r="H9" s="4"/>
    </row>
    <row r="10" spans="1:8" ht="18.75" x14ac:dyDescent="0.3">
      <c r="A10" s="5"/>
      <c r="D10" s="4"/>
      <c r="E10" s="27"/>
      <c r="H10" s="4"/>
    </row>
    <row r="11" spans="1:8" ht="18.75" x14ac:dyDescent="0.3">
      <c r="A11" s="5"/>
      <c r="D11" s="30"/>
      <c r="E11" s="27"/>
      <c r="H11" s="30"/>
    </row>
    <row r="12" spans="1:8" ht="19.5" thickBot="1" x14ac:dyDescent="0.35">
      <c r="A12" s="5"/>
      <c r="D12" s="23"/>
      <c r="E12" s="27"/>
      <c r="H12" s="23"/>
    </row>
    <row r="13" spans="1:8" ht="18.75" x14ac:dyDescent="0.3">
      <c r="D13" s="4">
        <f>SUM(D7:D12)</f>
        <v>69494</v>
      </c>
      <c r="H13" s="33">
        <f>SUM(H7:H12)</f>
        <v>9690</v>
      </c>
    </row>
    <row r="14" spans="1:8" ht="18.75" x14ac:dyDescent="0.3">
      <c r="A14" s="5"/>
      <c r="C14" s="3"/>
      <c r="D14" s="4"/>
      <c r="H14" s="4"/>
    </row>
    <row r="15" spans="1:8" ht="15.75" thickBot="1" x14ac:dyDescent="0.3">
      <c r="D15" s="7"/>
      <c r="H15" s="7"/>
    </row>
    <row r="17" spans="1:8" ht="18.75" x14ac:dyDescent="0.3">
      <c r="C17" t="s">
        <v>4</v>
      </c>
      <c r="D17" s="4">
        <f>D3-D13</f>
        <v>94060</v>
      </c>
      <c r="G17" t="s">
        <v>5</v>
      </c>
      <c r="H17" s="4">
        <f>H3-H13</f>
        <v>16424</v>
      </c>
    </row>
    <row r="20" spans="1:8" ht="15.75" x14ac:dyDescent="0.25">
      <c r="A20" t="s">
        <v>6</v>
      </c>
      <c r="C20" s="8">
        <f>D17</f>
        <v>94060</v>
      </c>
      <c r="E20" t="s">
        <v>10</v>
      </c>
      <c r="H20" s="6">
        <f>C29</f>
        <v>76981.784</v>
      </c>
    </row>
    <row r="22" spans="1:8" ht="15.75" x14ac:dyDescent="0.25">
      <c r="A22" t="s">
        <v>5</v>
      </c>
      <c r="B22" s="9" t="s">
        <v>7</v>
      </c>
      <c r="C22" s="8">
        <f>H17</f>
        <v>16424</v>
      </c>
      <c r="E22" s="13" t="s">
        <v>11</v>
      </c>
      <c r="F22" s="9" t="s">
        <v>12</v>
      </c>
      <c r="G22" s="15" t="s">
        <v>17</v>
      </c>
      <c r="H22" s="3">
        <f>-(F23*0.007)</f>
        <v>-962.08</v>
      </c>
    </row>
    <row r="23" spans="1:8" x14ac:dyDescent="0.25">
      <c r="F23" s="21">
        <f>D3-H3</f>
        <v>137440</v>
      </c>
    </row>
    <row r="24" spans="1:8" ht="16.5" thickBot="1" x14ac:dyDescent="0.3">
      <c r="A24" t="s">
        <v>8</v>
      </c>
      <c r="B24" s="9" t="s">
        <v>7</v>
      </c>
      <c r="C24" s="8">
        <f>D3*0.004</f>
        <v>654.21600000000001</v>
      </c>
      <c r="F24" s="9" t="s">
        <v>13</v>
      </c>
      <c r="G24" s="16">
        <v>0.35</v>
      </c>
      <c r="H24" s="17">
        <f>-(F25*0.35)</f>
        <v>-26943.624399999997</v>
      </c>
    </row>
    <row r="25" spans="1:8" x14ac:dyDescent="0.25">
      <c r="F25" s="21">
        <f>H20</f>
        <v>76981.784</v>
      </c>
    </row>
    <row r="26" spans="1:8" ht="15.75" x14ac:dyDescent="0.25">
      <c r="A26" t="s">
        <v>9</v>
      </c>
      <c r="B26" s="9" t="s">
        <v>7</v>
      </c>
      <c r="C26" s="10"/>
      <c r="G26" s="13" t="s">
        <v>14</v>
      </c>
      <c r="H26" s="6">
        <f>H20+H22+H24</f>
        <v>49076.079599999997</v>
      </c>
    </row>
    <row r="27" spans="1:8" ht="15.75" thickBot="1" x14ac:dyDescent="0.3">
      <c r="A27" s="16"/>
      <c r="B27" s="14"/>
      <c r="C27" s="7"/>
    </row>
    <row r="28" spans="1:8" x14ac:dyDescent="0.25">
      <c r="E28" t="s">
        <v>100</v>
      </c>
      <c r="H28" s="20">
        <f>H26*0.35</f>
        <v>17176.627859999997</v>
      </c>
    </row>
    <row r="29" spans="1:8" ht="15.75" x14ac:dyDescent="0.25">
      <c r="A29" t="s">
        <v>10</v>
      </c>
      <c r="C29" s="10">
        <f>C20-C22-C24-C26</f>
        <v>76981.784</v>
      </c>
      <c r="H29" s="18"/>
    </row>
    <row r="30" spans="1:8" x14ac:dyDescent="0.25">
      <c r="H30" s="3"/>
    </row>
    <row r="31" spans="1:8" x14ac:dyDescent="0.25">
      <c r="H31" s="18"/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2FA29-357E-4D95-9254-A04605F7E623}">
  <dimension ref="A1:H31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309</v>
      </c>
    </row>
    <row r="3" spans="1:8" ht="21" x14ac:dyDescent="0.35">
      <c r="A3" s="2" t="s">
        <v>1</v>
      </c>
      <c r="D3" s="11">
        <v>118050</v>
      </c>
      <c r="F3" s="12" t="s">
        <v>3</v>
      </c>
      <c r="H3" s="11">
        <v>18848</v>
      </c>
    </row>
    <row r="4" spans="1:8" x14ac:dyDescent="0.25">
      <c r="A4" s="13" t="s">
        <v>29</v>
      </c>
      <c r="C4" s="28">
        <v>421</v>
      </c>
    </row>
    <row r="5" spans="1:8" ht="21" x14ac:dyDescent="0.35">
      <c r="A5" s="2" t="s">
        <v>2</v>
      </c>
    </row>
    <row r="7" spans="1:8" ht="18.75" x14ac:dyDescent="0.3">
      <c r="A7" s="5" t="s">
        <v>310</v>
      </c>
      <c r="D7" s="4">
        <v>90707</v>
      </c>
      <c r="E7" s="27"/>
      <c r="H7" s="4">
        <v>14483</v>
      </c>
    </row>
    <row r="8" spans="1:8" ht="18.75" x14ac:dyDescent="0.3">
      <c r="A8" s="5"/>
      <c r="D8" s="4"/>
      <c r="E8" s="27"/>
      <c r="H8" s="4"/>
    </row>
    <row r="9" spans="1:8" ht="18.75" x14ac:dyDescent="0.3">
      <c r="A9" s="5"/>
      <c r="D9" s="4"/>
      <c r="E9" s="27"/>
      <c r="H9" s="4"/>
    </row>
    <row r="10" spans="1:8" ht="18.75" x14ac:dyDescent="0.3">
      <c r="A10" s="5"/>
      <c r="D10" s="4"/>
      <c r="E10" s="27"/>
      <c r="H10" s="4"/>
    </row>
    <row r="11" spans="1:8" ht="18.75" x14ac:dyDescent="0.3">
      <c r="A11" s="5"/>
      <c r="D11" s="30"/>
      <c r="E11" s="27"/>
      <c r="H11" s="30"/>
    </row>
    <row r="12" spans="1:8" ht="19.5" thickBot="1" x14ac:dyDescent="0.35">
      <c r="A12" s="5"/>
      <c r="D12" s="23"/>
      <c r="E12" s="27"/>
      <c r="H12" s="23"/>
    </row>
    <row r="13" spans="1:8" ht="18.75" x14ac:dyDescent="0.3">
      <c r="D13" s="4">
        <f>SUM(D7:D12)</f>
        <v>90707</v>
      </c>
      <c r="H13" s="33">
        <f>SUM(H7:H12)</f>
        <v>14483</v>
      </c>
    </row>
    <row r="14" spans="1:8" ht="18.75" x14ac:dyDescent="0.3">
      <c r="A14" s="5"/>
      <c r="C14" s="3"/>
      <c r="D14" s="4"/>
      <c r="H14" s="4"/>
    </row>
    <row r="15" spans="1:8" ht="15.75" thickBot="1" x14ac:dyDescent="0.3">
      <c r="D15" s="7"/>
      <c r="H15" s="7"/>
    </row>
    <row r="17" spans="1:8" ht="18.75" x14ac:dyDescent="0.3">
      <c r="C17" t="s">
        <v>4</v>
      </c>
      <c r="D17" s="4">
        <f>D3-D13</f>
        <v>27343</v>
      </c>
      <c r="G17" t="s">
        <v>5</v>
      </c>
      <c r="H17" s="4">
        <f>H3-H13</f>
        <v>4365</v>
      </c>
    </row>
    <row r="20" spans="1:8" ht="15.75" x14ac:dyDescent="0.25">
      <c r="A20" t="s">
        <v>6</v>
      </c>
      <c r="C20" s="8">
        <f>D17</f>
        <v>27343</v>
      </c>
      <c r="E20" t="s">
        <v>10</v>
      </c>
      <c r="H20" s="6">
        <f>C29</f>
        <v>22505.8</v>
      </c>
    </row>
    <row r="22" spans="1:8" ht="15.75" x14ac:dyDescent="0.25">
      <c r="A22" t="s">
        <v>5</v>
      </c>
      <c r="B22" s="9" t="s">
        <v>7</v>
      </c>
      <c r="C22" s="8">
        <f>H17</f>
        <v>4365</v>
      </c>
      <c r="E22" s="13" t="s">
        <v>11</v>
      </c>
      <c r="F22" s="9" t="s">
        <v>12</v>
      </c>
      <c r="G22" s="15" t="s">
        <v>17</v>
      </c>
      <c r="H22" s="3">
        <f>-(F23*0.007)</f>
        <v>-694.41399999999999</v>
      </c>
    </row>
    <row r="23" spans="1:8" x14ac:dyDescent="0.25">
      <c r="F23" s="21">
        <f>D3-H3</f>
        <v>99202</v>
      </c>
    </row>
    <row r="24" spans="1:8" ht="16.5" thickBot="1" x14ac:dyDescent="0.3">
      <c r="A24" t="s">
        <v>8</v>
      </c>
      <c r="B24" s="9" t="s">
        <v>7</v>
      </c>
      <c r="C24" s="8">
        <f>D3*0.004</f>
        <v>472.2</v>
      </c>
      <c r="F24" s="9" t="s">
        <v>13</v>
      </c>
      <c r="G24" s="16">
        <v>0.35</v>
      </c>
      <c r="H24" s="17">
        <f>-(F25*0.35)</f>
        <v>-7877.0299999999988</v>
      </c>
    </row>
    <row r="25" spans="1:8" x14ac:dyDescent="0.25">
      <c r="F25" s="21">
        <f>H20</f>
        <v>22505.8</v>
      </c>
    </row>
    <row r="26" spans="1:8" ht="15.75" x14ac:dyDescent="0.25">
      <c r="A26" t="s">
        <v>9</v>
      </c>
      <c r="B26" s="9" t="s">
        <v>7</v>
      </c>
      <c r="C26" s="10"/>
      <c r="G26" s="13" t="s">
        <v>14</v>
      </c>
      <c r="H26" s="6">
        <f>H20+H22+H24</f>
        <v>13934.356</v>
      </c>
    </row>
    <row r="27" spans="1:8" ht="15.75" thickBot="1" x14ac:dyDescent="0.3">
      <c r="A27" s="16"/>
      <c r="B27" s="14"/>
      <c r="C27" s="7"/>
    </row>
    <row r="28" spans="1:8" x14ac:dyDescent="0.25">
      <c r="E28" t="s">
        <v>100</v>
      </c>
      <c r="H28" s="20">
        <f>H26*0.35</f>
        <v>4877.0245999999997</v>
      </c>
    </row>
    <row r="29" spans="1:8" ht="15.75" x14ac:dyDescent="0.25">
      <c r="A29" t="s">
        <v>10</v>
      </c>
      <c r="C29" s="10">
        <f>C20-C22-C24-C26</f>
        <v>22505.8</v>
      </c>
      <c r="H29" s="18"/>
    </row>
    <row r="30" spans="1:8" x14ac:dyDescent="0.25">
      <c r="H30" s="3"/>
    </row>
    <row r="31" spans="1:8" x14ac:dyDescent="0.25">
      <c r="H31" s="18"/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00992-6FF6-47A8-BB7F-66175AC54A9B}">
  <dimension ref="A1:H31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311</v>
      </c>
    </row>
    <row r="3" spans="1:8" ht="21" x14ac:dyDescent="0.35">
      <c r="A3" s="2" t="s">
        <v>1</v>
      </c>
      <c r="D3" s="11">
        <v>2112728</v>
      </c>
      <c r="F3" s="12" t="s">
        <v>3</v>
      </c>
      <c r="H3" s="11">
        <v>344565</v>
      </c>
    </row>
    <row r="4" spans="1:8" x14ac:dyDescent="0.25">
      <c r="A4" s="13" t="s">
        <v>29</v>
      </c>
      <c r="C4" s="28">
        <v>422</v>
      </c>
    </row>
    <row r="5" spans="1:8" ht="21" x14ac:dyDescent="0.35">
      <c r="A5" s="2" t="s">
        <v>2</v>
      </c>
    </row>
    <row r="7" spans="1:8" ht="18.75" x14ac:dyDescent="0.3">
      <c r="A7" s="5" t="s">
        <v>312</v>
      </c>
      <c r="D7" s="4">
        <v>406980</v>
      </c>
      <c r="E7" s="27"/>
      <c r="H7" s="4">
        <v>64980</v>
      </c>
    </row>
    <row r="8" spans="1:8" ht="18.75" x14ac:dyDescent="0.3">
      <c r="A8" s="5" t="s">
        <v>313</v>
      </c>
      <c r="D8" s="4">
        <v>827577</v>
      </c>
      <c r="E8" s="27"/>
      <c r="H8" s="4">
        <v>132134</v>
      </c>
    </row>
    <row r="9" spans="1:8" ht="18.75" x14ac:dyDescent="0.3">
      <c r="A9" s="5" t="s">
        <v>314</v>
      </c>
      <c r="D9" s="4">
        <v>187782</v>
      </c>
      <c r="E9" s="27"/>
      <c r="H9" s="4">
        <v>29982</v>
      </c>
    </row>
    <row r="10" spans="1:8" ht="18.75" x14ac:dyDescent="0.3">
      <c r="A10" s="5"/>
      <c r="D10" s="4"/>
      <c r="E10" s="27"/>
      <c r="H10" s="4"/>
    </row>
    <row r="11" spans="1:8" ht="18.75" x14ac:dyDescent="0.3">
      <c r="A11" s="5"/>
      <c r="D11" s="30"/>
      <c r="E11" s="27"/>
      <c r="H11" s="30"/>
    </row>
    <row r="12" spans="1:8" ht="19.5" thickBot="1" x14ac:dyDescent="0.35">
      <c r="A12" s="5"/>
      <c r="D12" s="23"/>
      <c r="E12" s="27"/>
      <c r="H12" s="23"/>
    </row>
    <row r="13" spans="1:8" ht="18.75" x14ac:dyDescent="0.3">
      <c r="D13" s="4">
        <f>SUM(D7:D12)</f>
        <v>1422339</v>
      </c>
      <c r="H13" s="33">
        <f>SUM(H7:H12)</f>
        <v>227096</v>
      </c>
    </row>
    <row r="14" spans="1:8" ht="18.75" x14ac:dyDescent="0.3">
      <c r="A14" s="5"/>
      <c r="C14" s="3"/>
      <c r="D14" s="4"/>
      <c r="H14" s="4"/>
    </row>
    <row r="15" spans="1:8" ht="15.75" thickBot="1" x14ac:dyDescent="0.3">
      <c r="D15" s="7"/>
      <c r="H15" s="7"/>
    </row>
    <row r="17" spans="1:8" ht="18.75" x14ac:dyDescent="0.3">
      <c r="C17" t="s">
        <v>4</v>
      </c>
      <c r="D17" s="4">
        <f>D3-D13</f>
        <v>690389</v>
      </c>
      <c r="G17" t="s">
        <v>5</v>
      </c>
      <c r="H17" s="4">
        <f>H3-H13</f>
        <v>117469</v>
      </c>
    </row>
    <row r="20" spans="1:8" ht="15.75" x14ac:dyDescent="0.25">
      <c r="A20" t="s">
        <v>6</v>
      </c>
      <c r="C20" s="8">
        <f>D17</f>
        <v>690389</v>
      </c>
      <c r="E20" t="s">
        <v>10</v>
      </c>
      <c r="H20" s="6">
        <f>C29</f>
        <v>564469.08799999999</v>
      </c>
    </row>
    <row r="22" spans="1:8" ht="15.75" x14ac:dyDescent="0.25">
      <c r="A22" t="s">
        <v>5</v>
      </c>
      <c r="B22" s="9" t="s">
        <v>7</v>
      </c>
      <c r="C22" s="8">
        <f>H17</f>
        <v>117469</v>
      </c>
      <c r="E22" s="13" t="s">
        <v>11</v>
      </c>
      <c r="F22" s="9" t="s">
        <v>12</v>
      </c>
      <c r="G22" s="15" t="s">
        <v>17</v>
      </c>
      <c r="H22" s="3">
        <f>-(F23*0.007)</f>
        <v>-12377.141</v>
      </c>
    </row>
    <row r="23" spans="1:8" x14ac:dyDescent="0.25">
      <c r="F23" s="21">
        <f>D3-H3</f>
        <v>1768163</v>
      </c>
    </row>
    <row r="24" spans="1:8" ht="16.5" thickBot="1" x14ac:dyDescent="0.3">
      <c r="A24" t="s">
        <v>8</v>
      </c>
      <c r="B24" s="9" t="s">
        <v>7</v>
      </c>
      <c r="C24" s="8">
        <f>D3*0.004</f>
        <v>8450.9120000000003</v>
      </c>
      <c r="F24" s="9" t="s">
        <v>13</v>
      </c>
      <c r="G24" s="16">
        <v>0.35</v>
      </c>
      <c r="H24" s="17">
        <f>-(F25*0.35)</f>
        <v>-197564.18079999997</v>
      </c>
    </row>
    <row r="25" spans="1:8" x14ac:dyDescent="0.25">
      <c r="F25" s="21">
        <f>H20</f>
        <v>564469.08799999999</v>
      </c>
    </row>
    <row r="26" spans="1:8" ht="15.75" x14ac:dyDescent="0.25">
      <c r="A26" t="s">
        <v>9</v>
      </c>
      <c r="B26" s="9" t="s">
        <v>7</v>
      </c>
      <c r="C26" s="10"/>
      <c r="G26" s="13" t="s">
        <v>14</v>
      </c>
      <c r="H26" s="6">
        <f>H20+H22+H24</f>
        <v>354527.76620000007</v>
      </c>
    </row>
    <row r="27" spans="1:8" ht="15.75" thickBot="1" x14ac:dyDescent="0.3">
      <c r="A27" s="16"/>
      <c r="B27" s="14"/>
      <c r="C27" s="7"/>
    </row>
    <row r="28" spans="1:8" x14ac:dyDescent="0.25">
      <c r="E28" t="s">
        <v>100</v>
      </c>
      <c r="H28" s="20">
        <f>H26*0.35</f>
        <v>124084.71817000002</v>
      </c>
    </row>
    <row r="29" spans="1:8" ht="15.75" x14ac:dyDescent="0.25">
      <c r="A29" t="s">
        <v>10</v>
      </c>
      <c r="C29" s="10">
        <f>C20-C22-C24-C26</f>
        <v>564469.08799999999</v>
      </c>
      <c r="H29" s="18"/>
    </row>
    <row r="30" spans="1:8" x14ac:dyDescent="0.25">
      <c r="H30" s="3"/>
    </row>
    <row r="31" spans="1:8" x14ac:dyDescent="0.25">
      <c r="H31" s="18"/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09B03-9AF8-4551-B1AA-55221EE3DFCD}">
  <dimension ref="A1:H31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315</v>
      </c>
    </row>
    <row r="3" spans="1:8" ht="21" x14ac:dyDescent="0.35">
      <c r="A3" s="2" t="s">
        <v>1</v>
      </c>
      <c r="D3" s="11">
        <v>46410</v>
      </c>
      <c r="F3" s="12" t="s">
        <v>3</v>
      </c>
      <c r="H3" s="11">
        <v>7410</v>
      </c>
    </row>
    <row r="4" spans="1:8" x14ac:dyDescent="0.25">
      <c r="A4" s="13" t="s">
        <v>29</v>
      </c>
      <c r="C4" s="28">
        <v>426</v>
      </c>
    </row>
    <row r="5" spans="1:8" ht="21" x14ac:dyDescent="0.35">
      <c r="A5" s="2" t="s">
        <v>2</v>
      </c>
    </row>
    <row r="7" spans="1:8" ht="18.75" x14ac:dyDescent="0.3">
      <c r="A7" s="5" t="s">
        <v>316</v>
      </c>
      <c r="D7" s="4">
        <v>33092</v>
      </c>
      <c r="E7" s="27"/>
      <c r="H7" s="4">
        <v>5284</v>
      </c>
    </row>
    <row r="8" spans="1:8" ht="18.75" x14ac:dyDescent="0.3">
      <c r="A8" s="5"/>
      <c r="D8" s="4"/>
      <c r="E8" s="27"/>
      <c r="H8" s="4"/>
    </row>
    <row r="9" spans="1:8" ht="18.75" x14ac:dyDescent="0.3">
      <c r="A9" s="5"/>
      <c r="D9" s="4"/>
      <c r="E9" s="27"/>
      <c r="H9" s="4"/>
    </row>
    <row r="10" spans="1:8" ht="18.75" x14ac:dyDescent="0.3">
      <c r="A10" s="5"/>
      <c r="D10" s="4"/>
      <c r="E10" s="27"/>
      <c r="H10" s="4"/>
    </row>
    <row r="11" spans="1:8" ht="18.75" x14ac:dyDescent="0.3">
      <c r="A11" s="5"/>
      <c r="D11" s="30"/>
      <c r="E11" s="27"/>
      <c r="H11" s="30"/>
    </row>
    <row r="12" spans="1:8" ht="19.5" thickBot="1" x14ac:dyDescent="0.35">
      <c r="A12" s="5"/>
      <c r="D12" s="23"/>
      <c r="E12" s="27"/>
      <c r="H12" s="23"/>
    </row>
    <row r="13" spans="1:8" ht="18.75" x14ac:dyDescent="0.3">
      <c r="D13" s="4">
        <f>SUM(D7:D12)</f>
        <v>33092</v>
      </c>
      <c r="H13" s="33">
        <f>SUM(H7:H12)</f>
        <v>5284</v>
      </c>
    </row>
    <row r="14" spans="1:8" ht="18.75" x14ac:dyDescent="0.3">
      <c r="A14" s="5"/>
      <c r="C14" s="3"/>
      <c r="D14" s="4"/>
      <c r="H14" s="4"/>
    </row>
    <row r="15" spans="1:8" ht="15.75" thickBot="1" x14ac:dyDescent="0.3">
      <c r="D15" s="7"/>
      <c r="H15" s="7"/>
    </row>
    <row r="17" spans="1:8" ht="18.75" x14ac:dyDescent="0.3">
      <c r="C17" t="s">
        <v>4</v>
      </c>
      <c r="D17" s="4">
        <f>D3-D13</f>
        <v>13318</v>
      </c>
      <c r="G17" t="s">
        <v>5</v>
      </c>
      <c r="H17" s="4">
        <f>H3-H13</f>
        <v>2126</v>
      </c>
    </row>
    <row r="20" spans="1:8" ht="15.75" x14ac:dyDescent="0.25">
      <c r="A20" t="s">
        <v>6</v>
      </c>
      <c r="C20" s="8">
        <f>D17</f>
        <v>13318</v>
      </c>
      <c r="E20" t="s">
        <v>10</v>
      </c>
      <c r="H20" s="6">
        <f>C29</f>
        <v>11006.36</v>
      </c>
    </row>
    <row r="22" spans="1:8" ht="15.75" x14ac:dyDescent="0.25">
      <c r="A22" t="s">
        <v>5</v>
      </c>
      <c r="B22" s="9" t="s">
        <v>7</v>
      </c>
      <c r="C22" s="8">
        <f>H17</f>
        <v>2126</v>
      </c>
      <c r="E22" s="13" t="s">
        <v>11</v>
      </c>
      <c r="F22" s="9" t="s">
        <v>12</v>
      </c>
      <c r="G22" s="15" t="s">
        <v>17</v>
      </c>
      <c r="H22" s="3">
        <f>-(F23*0.007)</f>
        <v>-273</v>
      </c>
    </row>
    <row r="23" spans="1:8" x14ac:dyDescent="0.25">
      <c r="F23" s="21">
        <f>D3-H3</f>
        <v>39000</v>
      </c>
    </row>
    <row r="24" spans="1:8" ht="16.5" thickBot="1" x14ac:dyDescent="0.3">
      <c r="A24" t="s">
        <v>8</v>
      </c>
      <c r="B24" s="9" t="s">
        <v>7</v>
      </c>
      <c r="C24" s="8">
        <f>D3*0.004</f>
        <v>185.64000000000001</v>
      </c>
      <c r="F24" s="9" t="s">
        <v>13</v>
      </c>
      <c r="G24" s="16">
        <v>0.35</v>
      </c>
      <c r="H24" s="17">
        <f>-(F25*0.35)</f>
        <v>-3852.2260000000001</v>
      </c>
    </row>
    <row r="25" spans="1:8" x14ac:dyDescent="0.25">
      <c r="F25" s="21">
        <f>H20</f>
        <v>11006.36</v>
      </c>
    </row>
    <row r="26" spans="1:8" ht="15.75" x14ac:dyDescent="0.25">
      <c r="A26" t="s">
        <v>9</v>
      </c>
      <c r="B26" s="9" t="s">
        <v>7</v>
      </c>
      <c r="C26" s="10"/>
      <c r="G26" s="13" t="s">
        <v>14</v>
      </c>
      <c r="H26" s="6">
        <f>H20+H22+H24</f>
        <v>6881.134</v>
      </c>
    </row>
    <row r="27" spans="1:8" ht="15.75" thickBot="1" x14ac:dyDescent="0.3">
      <c r="A27" s="16"/>
      <c r="B27" s="14"/>
      <c r="C27" s="7"/>
    </row>
    <row r="28" spans="1:8" x14ac:dyDescent="0.25">
      <c r="E28" t="s">
        <v>100</v>
      </c>
      <c r="H28" s="20">
        <f>H26*0.35</f>
        <v>2408.3968999999997</v>
      </c>
    </row>
    <row r="29" spans="1:8" ht="15.75" x14ac:dyDescent="0.25">
      <c r="A29" t="s">
        <v>10</v>
      </c>
      <c r="C29" s="10">
        <f>C20-C22-C24-C26</f>
        <v>11006.36</v>
      </c>
      <c r="H29" s="18"/>
    </row>
    <row r="30" spans="1:8" x14ac:dyDescent="0.25">
      <c r="H30" s="3"/>
    </row>
    <row r="31" spans="1:8" x14ac:dyDescent="0.25">
      <c r="H31" s="18"/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8AF6F-4D37-4D20-B8C8-6AF69A4D09B4}">
  <dimension ref="A1:H31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317</v>
      </c>
    </row>
    <row r="3" spans="1:8" ht="21" x14ac:dyDescent="0.35">
      <c r="A3" s="2" t="s">
        <v>1</v>
      </c>
      <c r="D3" s="11">
        <v>186830</v>
      </c>
      <c r="F3" s="12" t="s">
        <v>3</v>
      </c>
      <c r="H3" s="11">
        <v>29830</v>
      </c>
    </row>
    <row r="4" spans="1:8" x14ac:dyDescent="0.25">
      <c r="A4" s="13" t="s">
        <v>29</v>
      </c>
      <c r="C4" s="28">
        <v>429</v>
      </c>
    </row>
    <row r="5" spans="1:8" ht="21" x14ac:dyDescent="0.35">
      <c r="A5" s="2" t="s">
        <v>2</v>
      </c>
    </row>
    <row r="7" spans="1:8" ht="18.75" x14ac:dyDescent="0.3">
      <c r="A7" s="5" t="s">
        <v>318</v>
      </c>
      <c r="D7" s="4">
        <v>114726</v>
      </c>
      <c r="E7" s="27"/>
      <c r="H7" s="4">
        <v>18318</v>
      </c>
    </row>
    <row r="8" spans="1:8" ht="18.75" x14ac:dyDescent="0.3">
      <c r="A8" s="5"/>
      <c r="D8" s="4"/>
      <c r="E8" s="27"/>
      <c r="H8" s="4"/>
    </row>
    <row r="9" spans="1:8" ht="18.75" x14ac:dyDescent="0.3">
      <c r="A9" s="5"/>
      <c r="D9" s="4"/>
      <c r="E9" s="27"/>
      <c r="H9" s="4"/>
    </row>
    <row r="10" spans="1:8" ht="18.75" x14ac:dyDescent="0.3">
      <c r="A10" s="5"/>
      <c r="D10" s="4"/>
      <c r="E10" s="27"/>
      <c r="H10" s="4"/>
    </row>
    <row r="11" spans="1:8" ht="18.75" x14ac:dyDescent="0.3">
      <c r="A11" s="5"/>
      <c r="D11" s="30"/>
      <c r="E11" s="27"/>
      <c r="H11" s="30"/>
    </row>
    <row r="12" spans="1:8" ht="19.5" thickBot="1" x14ac:dyDescent="0.35">
      <c r="A12" s="5"/>
      <c r="D12" s="23"/>
      <c r="E12" s="27"/>
      <c r="H12" s="23"/>
    </row>
    <row r="13" spans="1:8" ht="18.75" x14ac:dyDescent="0.3">
      <c r="D13" s="4">
        <f>SUM(D7:D12)</f>
        <v>114726</v>
      </c>
      <c r="H13" s="33">
        <f>SUM(H7:H12)</f>
        <v>18318</v>
      </c>
    </row>
    <row r="14" spans="1:8" ht="18.75" x14ac:dyDescent="0.3">
      <c r="A14" s="5"/>
      <c r="C14" s="3"/>
      <c r="D14" s="4"/>
      <c r="H14" s="4"/>
    </row>
    <row r="15" spans="1:8" ht="15.75" thickBot="1" x14ac:dyDescent="0.3">
      <c r="D15" s="7"/>
      <c r="H15" s="7"/>
    </row>
    <row r="17" spans="1:8" ht="18.75" x14ac:dyDescent="0.3">
      <c r="C17" t="s">
        <v>4</v>
      </c>
      <c r="D17" s="4">
        <f>D3-D13</f>
        <v>72104</v>
      </c>
      <c r="G17" t="s">
        <v>5</v>
      </c>
      <c r="H17" s="4">
        <f>H3-H13</f>
        <v>11512</v>
      </c>
    </row>
    <row r="20" spans="1:8" ht="15.75" x14ac:dyDescent="0.25">
      <c r="A20" t="s">
        <v>6</v>
      </c>
      <c r="C20" s="8">
        <f>D17</f>
        <v>72104</v>
      </c>
      <c r="E20" t="s">
        <v>10</v>
      </c>
      <c r="H20" s="6">
        <f>C29</f>
        <v>59844.68</v>
      </c>
    </row>
    <row r="22" spans="1:8" ht="15.75" x14ac:dyDescent="0.25">
      <c r="A22" t="s">
        <v>5</v>
      </c>
      <c r="B22" s="9" t="s">
        <v>7</v>
      </c>
      <c r="C22" s="8">
        <f>H17</f>
        <v>11512</v>
      </c>
      <c r="E22" s="13" t="s">
        <v>11</v>
      </c>
      <c r="F22" s="9" t="s">
        <v>12</v>
      </c>
      <c r="G22" s="15" t="s">
        <v>17</v>
      </c>
      <c r="H22" s="3">
        <f>-(F23*0.007)</f>
        <v>-1099</v>
      </c>
    </row>
    <row r="23" spans="1:8" x14ac:dyDescent="0.25">
      <c r="F23" s="21">
        <f>D3-H3</f>
        <v>157000</v>
      </c>
    </row>
    <row r="24" spans="1:8" ht="16.5" thickBot="1" x14ac:dyDescent="0.3">
      <c r="A24" t="s">
        <v>8</v>
      </c>
      <c r="B24" s="9" t="s">
        <v>7</v>
      </c>
      <c r="C24" s="8">
        <f>D3*0.004</f>
        <v>747.32</v>
      </c>
      <c r="F24" s="9" t="s">
        <v>13</v>
      </c>
      <c r="G24" s="16">
        <v>0.35</v>
      </c>
      <c r="H24" s="17">
        <f>-(F25*0.35)</f>
        <v>-20945.637999999999</v>
      </c>
    </row>
    <row r="25" spans="1:8" x14ac:dyDescent="0.25">
      <c r="F25" s="21">
        <f>H20</f>
        <v>59844.68</v>
      </c>
    </row>
    <row r="26" spans="1:8" ht="15.75" x14ac:dyDescent="0.25">
      <c r="A26" t="s">
        <v>9</v>
      </c>
      <c r="B26" s="9" t="s">
        <v>7</v>
      </c>
      <c r="C26" s="10"/>
      <c r="G26" s="13" t="s">
        <v>14</v>
      </c>
      <c r="H26" s="6">
        <f>H20+H22+H24</f>
        <v>37800.042000000001</v>
      </c>
    </row>
    <row r="27" spans="1:8" ht="15.75" thickBot="1" x14ac:dyDescent="0.3">
      <c r="A27" s="16"/>
      <c r="B27" s="14"/>
      <c r="C27" s="7"/>
    </row>
    <row r="28" spans="1:8" x14ac:dyDescent="0.25">
      <c r="E28" t="s">
        <v>100</v>
      </c>
      <c r="H28" s="20">
        <f>H26*0.35</f>
        <v>13230.0147</v>
      </c>
    </row>
    <row r="29" spans="1:8" ht="15.75" x14ac:dyDescent="0.25">
      <c r="A29" t="s">
        <v>10</v>
      </c>
      <c r="C29" s="10">
        <f>C20-C22-C24-C26</f>
        <v>59844.68</v>
      </c>
      <c r="H29" s="18"/>
    </row>
    <row r="30" spans="1:8" x14ac:dyDescent="0.25">
      <c r="H30" s="3"/>
    </row>
    <row r="31" spans="1:8" x14ac:dyDescent="0.25">
      <c r="H31" s="18"/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15A48-8A2D-4E0E-BB38-B04DE9678786}">
  <dimension ref="A1:H31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319</v>
      </c>
    </row>
    <row r="3" spans="1:8" ht="21" x14ac:dyDescent="0.35">
      <c r="A3" s="2" t="s">
        <v>1</v>
      </c>
      <c r="D3" s="11">
        <v>140123</v>
      </c>
      <c r="F3" s="12" t="s">
        <v>3</v>
      </c>
      <c r="H3" s="11">
        <v>22373</v>
      </c>
    </row>
    <row r="4" spans="1:8" x14ac:dyDescent="0.25">
      <c r="A4" s="13" t="s">
        <v>29</v>
      </c>
      <c r="C4" s="28">
        <v>430</v>
      </c>
    </row>
    <row r="5" spans="1:8" ht="21" x14ac:dyDescent="0.35">
      <c r="A5" s="2" t="s">
        <v>2</v>
      </c>
    </row>
    <row r="7" spans="1:8" ht="18.75" x14ac:dyDescent="0.3">
      <c r="A7" s="5" t="s">
        <v>318</v>
      </c>
      <c r="D7" s="4">
        <v>69958</v>
      </c>
      <c r="E7" s="27"/>
      <c r="H7" s="4">
        <v>10691</v>
      </c>
    </row>
    <row r="8" spans="1:8" ht="18.75" x14ac:dyDescent="0.3">
      <c r="A8" s="5" t="s">
        <v>320</v>
      </c>
      <c r="D8" s="4">
        <v>10000</v>
      </c>
      <c r="E8" s="27"/>
      <c r="H8" s="4"/>
    </row>
    <row r="9" spans="1:8" ht="18.75" x14ac:dyDescent="0.3">
      <c r="A9" s="5"/>
      <c r="D9" s="4"/>
      <c r="E9" s="27"/>
      <c r="H9" s="4"/>
    </row>
    <row r="10" spans="1:8" ht="18.75" x14ac:dyDescent="0.3">
      <c r="A10" s="5"/>
      <c r="D10" s="4"/>
      <c r="E10" s="27"/>
      <c r="H10" s="4"/>
    </row>
    <row r="11" spans="1:8" ht="18.75" x14ac:dyDescent="0.3">
      <c r="A11" s="5"/>
      <c r="D11" s="30"/>
      <c r="E11" s="27"/>
      <c r="H11" s="30"/>
    </row>
    <row r="12" spans="1:8" ht="19.5" thickBot="1" x14ac:dyDescent="0.35">
      <c r="A12" s="5"/>
      <c r="D12" s="23"/>
      <c r="E12" s="27"/>
      <c r="H12" s="23"/>
    </row>
    <row r="13" spans="1:8" ht="18.75" x14ac:dyDescent="0.3">
      <c r="D13" s="4">
        <f>SUM(D7:D12)</f>
        <v>79958</v>
      </c>
      <c r="H13" s="33">
        <f>SUM(H7:H12)</f>
        <v>10691</v>
      </c>
    </row>
    <row r="14" spans="1:8" ht="18.75" x14ac:dyDescent="0.3">
      <c r="A14" s="5"/>
      <c r="C14" s="3"/>
      <c r="D14" s="4"/>
      <c r="H14" s="4"/>
    </row>
    <row r="15" spans="1:8" ht="15.75" thickBot="1" x14ac:dyDescent="0.3">
      <c r="D15" s="7"/>
      <c r="H15" s="7"/>
    </row>
    <row r="17" spans="1:8" ht="18.75" x14ac:dyDescent="0.3">
      <c r="C17" t="s">
        <v>4</v>
      </c>
      <c r="D17" s="4">
        <f>D3-D13</f>
        <v>60165</v>
      </c>
      <c r="G17" t="s">
        <v>5</v>
      </c>
      <c r="H17" s="4">
        <f>H3-H13</f>
        <v>11682</v>
      </c>
    </row>
    <row r="20" spans="1:8" ht="15.75" x14ac:dyDescent="0.25">
      <c r="A20" t="s">
        <v>6</v>
      </c>
      <c r="C20" s="8">
        <f>D17</f>
        <v>60165</v>
      </c>
      <c r="E20" t="s">
        <v>10</v>
      </c>
      <c r="H20" s="6">
        <f>C29</f>
        <v>47922.508000000002</v>
      </c>
    </row>
    <row r="22" spans="1:8" ht="15.75" x14ac:dyDescent="0.25">
      <c r="A22" t="s">
        <v>5</v>
      </c>
      <c r="B22" s="9" t="s">
        <v>7</v>
      </c>
      <c r="C22" s="8">
        <f>H17</f>
        <v>11682</v>
      </c>
      <c r="E22" s="13" t="s">
        <v>11</v>
      </c>
      <c r="F22" s="9" t="s">
        <v>12</v>
      </c>
      <c r="G22" s="15" t="s">
        <v>17</v>
      </c>
      <c r="H22" s="3">
        <f>-(F23*0.007)</f>
        <v>-824.25</v>
      </c>
    </row>
    <row r="23" spans="1:8" x14ac:dyDescent="0.25">
      <c r="F23" s="21">
        <f>D3-H3</f>
        <v>117750</v>
      </c>
    </row>
    <row r="24" spans="1:8" ht="16.5" thickBot="1" x14ac:dyDescent="0.3">
      <c r="A24" t="s">
        <v>8</v>
      </c>
      <c r="B24" s="9" t="s">
        <v>7</v>
      </c>
      <c r="C24" s="8">
        <f>D3*0.004</f>
        <v>560.49199999999996</v>
      </c>
      <c r="F24" s="9" t="s">
        <v>13</v>
      </c>
      <c r="G24" s="16">
        <v>0.35</v>
      </c>
      <c r="H24" s="17">
        <f>-(F25*0.35)</f>
        <v>-16772.877799999998</v>
      </c>
    </row>
    <row r="25" spans="1:8" x14ac:dyDescent="0.25">
      <c r="F25" s="21">
        <f>H20</f>
        <v>47922.508000000002</v>
      </c>
    </row>
    <row r="26" spans="1:8" ht="15.75" x14ac:dyDescent="0.25">
      <c r="A26" t="s">
        <v>9</v>
      </c>
      <c r="B26" s="9" t="s">
        <v>7</v>
      </c>
      <c r="C26" s="10"/>
      <c r="G26" s="13" t="s">
        <v>14</v>
      </c>
      <c r="H26" s="6">
        <f>H20+H22+H24</f>
        <v>30325.380200000003</v>
      </c>
    </row>
    <row r="27" spans="1:8" ht="15.75" thickBot="1" x14ac:dyDescent="0.3">
      <c r="A27" s="16"/>
      <c r="B27" s="14"/>
      <c r="C27" s="7"/>
    </row>
    <row r="28" spans="1:8" x14ac:dyDescent="0.25">
      <c r="E28" t="s">
        <v>100</v>
      </c>
      <c r="H28" s="20">
        <f>H26*0.35</f>
        <v>10613.88307</v>
      </c>
    </row>
    <row r="29" spans="1:8" ht="15.75" x14ac:dyDescent="0.25">
      <c r="A29" t="s">
        <v>10</v>
      </c>
      <c r="C29" s="10">
        <f>C20-C22-C24-C26</f>
        <v>47922.508000000002</v>
      </c>
      <c r="H29" s="18"/>
    </row>
    <row r="30" spans="1:8" x14ac:dyDescent="0.25">
      <c r="H30" s="3"/>
    </row>
    <row r="31" spans="1:8" x14ac:dyDescent="0.25">
      <c r="H31" s="18"/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A2940-57C1-4B45-A50C-A0119A1CD07F}">
  <dimension ref="A1:H31"/>
  <sheetViews>
    <sheetView topLeftCell="A13" workbookViewId="0">
      <selection activeCell="E33" sqref="E33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321</v>
      </c>
    </row>
    <row r="3" spans="1:8" ht="21" x14ac:dyDescent="0.35">
      <c r="A3" s="2" t="s">
        <v>1</v>
      </c>
      <c r="D3" s="11">
        <v>128520</v>
      </c>
      <c r="F3" s="12" t="s">
        <v>3</v>
      </c>
      <c r="H3" s="11">
        <v>20520</v>
      </c>
    </row>
    <row r="4" spans="1:8" x14ac:dyDescent="0.25">
      <c r="A4" s="13" t="s">
        <v>29</v>
      </c>
      <c r="C4" s="28">
        <v>431</v>
      </c>
    </row>
    <row r="5" spans="1:8" ht="21" x14ac:dyDescent="0.35">
      <c r="A5" s="2" t="s">
        <v>2</v>
      </c>
    </row>
    <row r="7" spans="1:8" ht="18.75" x14ac:dyDescent="0.3">
      <c r="A7" s="5" t="s">
        <v>322</v>
      </c>
      <c r="D7" s="4">
        <v>56905</v>
      </c>
      <c r="E7" s="27"/>
      <c r="H7" s="4">
        <v>9086</v>
      </c>
    </row>
    <row r="8" spans="1:8" ht="18.75" x14ac:dyDescent="0.3">
      <c r="A8" s="5"/>
      <c r="D8" s="4"/>
      <c r="E8" s="27"/>
      <c r="H8" s="4"/>
    </row>
    <row r="9" spans="1:8" ht="18.75" x14ac:dyDescent="0.3">
      <c r="A9" s="5"/>
      <c r="D9" s="4"/>
      <c r="E9" s="27"/>
      <c r="H9" s="4"/>
    </row>
    <row r="10" spans="1:8" ht="18.75" x14ac:dyDescent="0.3">
      <c r="A10" s="5"/>
      <c r="D10" s="4"/>
      <c r="E10" s="27"/>
      <c r="H10" s="4"/>
    </row>
    <row r="11" spans="1:8" ht="18.75" x14ac:dyDescent="0.3">
      <c r="A11" s="5"/>
      <c r="D11" s="30"/>
      <c r="E11" s="27"/>
      <c r="H11" s="30"/>
    </row>
    <row r="12" spans="1:8" ht="19.5" thickBot="1" x14ac:dyDescent="0.35">
      <c r="A12" s="5"/>
      <c r="D12" s="23"/>
      <c r="E12" s="27"/>
      <c r="H12" s="23"/>
    </row>
    <row r="13" spans="1:8" ht="18.75" x14ac:dyDescent="0.3">
      <c r="D13" s="4">
        <f>SUM(D7:D12)</f>
        <v>56905</v>
      </c>
      <c r="H13" s="33">
        <f>SUM(H7:H12)</f>
        <v>9086</v>
      </c>
    </row>
    <row r="14" spans="1:8" ht="18.75" x14ac:dyDescent="0.3">
      <c r="A14" s="5"/>
      <c r="C14" s="3"/>
      <c r="D14" s="4"/>
      <c r="H14" s="4"/>
    </row>
    <row r="15" spans="1:8" ht="15.75" thickBot="1" x14ac:dyDescent="0.3">
      <c r="D15" s="7"/>
      <c r="H15" s="7"/>
    </row>
    <row r="17" spans="1:8" ht="18.75" x14ac:dyDescent="0.3">
      <c r="C17" t="s">
        <v>4</v>
      </c>
      <c r="D17" s="4">
        <f>D3-D13</f>
        <v>71615</v>
      </c>
      <c r="G17" t="s">
        <v>5</v>
      </c>
      <c r="H17" s="4">
        <f>H3-H13</f>
        <v>11434</v>
      </c>
    </row>
    <row r="20" spans="1:8" ht="15.75" x14ac:dyDescent="0.25">
      <c r="A20" t="s">
        <v>6</v>
      </c>
      <c r="C20" s="8">
        <f>D17</f>
        <v>71615</v>
      </c>
      <c r="E20" t="s">
        <v>10</v>
      </c>
      <c r="H20" s="6">
        <f>C29</f>
        <v>54626.92</v>
      </c>
    </row>
    <row r="22" spans="1:8" ht="15.75" x14ac:dyDescent="0.25">
      <c r="A22" t="s">
        <v>5</v>
      </c>
      <c r="B22" s="9" t="s">
        <v>7</v>
      </c>
      <c r="C22" s="8">
        <f>H17</f>
        <v>11434</v>
      </c>
      <c r="E22" s="13" t="s">
        <v>11</v>
      </c>
      <c r="F22" s="9" t="s">
        <v>12</v>
      </c>
      <c r="G22" s="15" t="s">
        <v>17</v>
      </c>
      <c r="H22" s="3">
        <f>-(F23*0.007)</f>
        <v>-756</v>
      </c>
    </row>
    <row r="23" spans="1:8" x14ac:dyDescent="0.25">
      <c r="F23" s="21">
        <f>D3-H3</f>
        <v>108000</v>
      </c>
    </row>
    <row r="24" spans="1:8" ht="16.5" thickBot="1" x14ac:dyDescent="0.3">
      <c r="A24" t="s">
        <v>8</v>
      </c>
      <c r="B24" s="9" t="s">
        <v>7</v>
      </c>
      <c r="C24" s="8">
        <f>D3*0.004</f>
        <v>514.08000000000004</v>
      </c>
      <c r="F24" s="9" t="s">
        <v>13</v>
      </c>
      <c r="G24" s="16">
        <v>0.35</v>
      </c>
      <c r="H24" s="17">
        <f>-(F25*0.35)</f>
        <v>-19119.421999999999</v>
      </c>
    </row>
    <row r="25" spans="1:8" x14ac:dyDescent="0.25">
      <c r="F25" s="21">
        <f>H20</f>
        <v>54626.92</v>
      </c>
    </row>
    <row r="26" spans="1:8" ht="15.75" x14ac:dyDescent="0.25">
      <c r="A26" t="s">
        <v>9</v>
      </c>
      <c r="B26" s="9" t="s">
        <v>7</v>
      </c>
      <c r="C26" s="10">
        <v>5040</v>
      </c>
      <c r="G26" s="13" t="s">
        <v>14</v>
      </c>
      <c r="H26" s="6">
        <f>H20+H22+H24</f>
        <v>34751.498</v>
      </c>
    </row>
    <row r="27" spans="1:8" ht="15.75" thickBot="1" x14ac:dyDescent="0.3">
      <c r="A27" s="16" t="s">
        <v>185</v>
      </c>
      <c r="B27" s="14"/>
      <c r="C27" s="7"/>
    </row>
    <row r="28" spans="1:8" x14ac:dyDescent="0.25">
      <c r="E28" t="s">
        <v>100</v>
      </c>
      <c r="H28" s="20">
        <f>H26*0.35</f>
        <v>12163.024299999999</v>
      </c>
    </row>
    <row r="29" spans="1:8" ht="15.75" x14ac:dyDescent="0.25">
      <c r="A29" t="s">
        <v>10</v>
      </c>
      <c r="C29" s="10">
        <f>C20-C22-C24-C26</f>
        <v>54626.92</v>
      </c>
      <c r="H29" s="18"/>
    </row>
    <row r="30" spans="1:8" x14ac:dyDescent="0.25">
      <c r="H30" s="3"/>
    </row>
    <row r="31" spans="1:8" x14ac:dyDescent="0.25">
      <c r="H31" s="18"/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D13FB-6D37-423E-B80F-4E91718E034F}">
  <dimension ref="A1:H31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323</v>
      </c>
    </row>
    <row r="3" spans="1:8" ht="21" x14ac:dyDescent="0.35">
      <c r="A3" s="2" t="s">
        <v>1</v>
      </c>
      <c r="D3" s="11">
        <v>340340</v>
      </c>
      <c r="F3" s="12" t="s">
        <v>3</v>
      </c>
      <c r="H3" s="11">
        <v>54340</v>
      </c>
    </row>
    <row r="4" spans="1:8" x14ac:dyDescent="0.25">
      <c r="A4" s="13" t="s">
        <v>29</v>
      </c>
      <c r="C4" s="28">
        <v>434</v>
      </c>
    </row>
    <row r="5" spans="1:8" ht="21" x14ac:dyDescent="0.35">
      <c r="A5" s="2" t="s">
        <v>2</v>
      </c>
    </row>
    <row r="7" spans="1:8" ht="18.75" x14ac:dyDescent="0.3">
      <c r="A7" s="5" t="s">
        <v>324</v>
      </c>
      <c r="D7" s="4">
        <v>235620</v>
      </c>
      <c r="E7" s="27"/>
      <c r="H7" s="4">
        <v>37620</v>
      </c>
    </row>
    <row r="8" spans="1:8" ht="18.75" x14ac:dyDescent="0.3">
      <c r="A8" s="5"/>
      <c r="D8" s="4"/>
      <c r="E8" s="27"/>
      <c r="H8" s="4"/>
    </row>
    <row r="9" spans="1:8" ht="18.75" x14ac:dyDescent="0.3">
      <c r="A9" s="5"/>
      <c r="D9" s="4"/>
      <c r="E9" s="27"/>
      <c r="H9" s="4"/>
    </row>
    <row r="10" spans="1:8" ht="18.75" x14ac:dyDescent="0.3">
      <c r="A10" s="5"/>
      <c r="D10" s="4"/>
      <c r="E10" s="27"/>
      <c r="H10" s="4"/>
    </row>
    <row r="11" spans="1:8" ht="18.75" x14ac:dyDescent="0.3">
      <c r="A11" s="5"/>
      <c r="D11" s="30"/>
      <c r="E11" s="27"/>
      <c r="H11" s="30"/>
    </row>
    <row r="12" spans="1:8" ht="19.5" thickBot="1" x14ac:dyDescent="0.35">
      <c r="A12" s="5"/>
      <c r="D12" s="23"/>
      <c r="E12" s="27"/>
      <c r="H12" s="23"/>
    </row>
    <row r="13" spans="1:8" ht="18.75" x14ac:dyDescent="0.3">
      <c r="D13" s="4">
        <f>SUM(D7:D12)</f>
        <v>235620</v>
      </c>
      <c r="H13" s="33">
        <f>SUM(H7:H12)</f>
        <v>37620</v>
      </c>
    </row>
    <row r="14" spans="1:8" ht="18.75" x14ac:dyDescent="0.3">
      <c r="A14" s="5"/>
      <c r="C14" s="3"/>
      <c r="D14" s="4"/>
      <c r="H14" s="4"/>
    </row>
    <row r="15" spans="1:8" ht="15.75" thickBot="1" x14ac:dyDescent="0.3">
      <c r="D15" s="7"/>
      <c r="H15" s="7"/>
    </row>
    <row r="17" spans="1:8" ht="18.75" x14ac:dyDescent="0.3">
      <c r="C17" t="s">
        <v>4</v>
      </c>
      <c r="D17" s="4">
        <f>D3-D13</f>
        <v>104720</v>
      </c>
      <c r="G17" t="s">
        <v>5</v>
      </c>
      <c r="H17" s="4">
        <f>H3-H13</f>
        <v>16720</v>
      </c>
    </row>
    <row r="20" spans="1:8" ht="15.75" x14ac:dyDescent="0.25">
      <c r="A20" t="s">
        <v>6</v>
      </c>
      <c r="C20" s="8">
        <f>D17</f>
        <v>104720</v>
      </c>
      <c r="E20" t="s">
        <v>10</v>
      </c>
      <c r="H20" s="6">
        <f>C29</f>
        <v>86638.64</v>
      </c>
    </row>
    <row r="22" spans="1:8" ht="15.75" x14ac:dyDescent="0.25">
      <c r="A22" t="s">
        <v>5</v>
      </c>
      <c r="B22" s="9" t="s">
        <v>7</v>
      </c>
      <c r="C22" s="8">
        <f>H17</f>
        <v>16720</v>
      </c>
      <c r="E22" s="13" t="s">
        <v>11</v>
      </c>
      <c r="F22" s="9" t="s">
        <v>12</v>
      </c>
      <c r="G22" s="15" t="s">
        <v>17</v>
      </c>
      <c r="H22" s="3">
        <f>-(F23*0.007)</f>
        <v>-2002</v>
      </c>
    </row>
    <row r="23" spans="1:8" x14ac:dyDescent="0.25">
      <c r="F23" s="21">
        <f>D3-H3</f>
        <v>286000</v>
      </c>
    </row>
    <row r="24" spans="1:8" ht="16.5" thickBot="1" x14ac:dyDescent="0.3">
      <c r="A24" t="s">
        <v>8</v>
      </c>
      <c r="B24" s="9" t="s">
        <v>7</v>
      </c>
      <c r="C24" s="8">
        <f>D3*0.004</f>
        <v>1361.3600000000001</v>
      </c>
      <c r="F24" s="9" t="s">
        <v>13</v>
      </c>
      <c r="G24" s="16">
        <v>0.35</v>
      </c>
      <c r="H24" s="17">
        <f>-(F25*0.35)</f>
        <v>-30323.523999999998</v>
      </c>
    </row>
    <row r="25" spans="1:8" x14ac:dyDescent="0.25">
      <c r="F25" s="21">
        <f>H20</f>
        <v>86638.64</v>
      </c>
    </row>
    <row r="26" spans="1:8" ht="15.75" x14ac:dyDescent="0.25">
      <c r="A26" t="s">
        <v>9</v>
      </c>
      <c r="B26" s="9" t="s">
        <v>7</v>
      </c>
      <c r="C26" s="10"/>
      <c r="G26" s="13" t="s">
        <v>14</v>
      </c>
      <c r="H26" s="6">
        <f>H20+H22+H24</f>
        <v>54313.116000000002</v>
      </c>
    </row>
    <row r="27" spans="1:8" ht="15.75" thickBot="1" x14ac:dyDescent="0.3">
      <c r="A27" s="16"/>
      <c r="B27" s="14"/>
      <c r="C27" s="7"/>
    </row>
    <row r="28" spans="1:8" x14ac:dyDescent="0.25">
      <c r="E28" t="s">
        <v>100</v>
      </c>
      <c r="H28" s="20">
        <f>H26*0.35</f>
        <v>19009.5906</v>
      </c>
    </row>
    <row r="29" spans="1:8" ht="15.75" x14ac:dyDescent="0.25">
      <c r="A29" t="s">
        <v>10</v>
      </c>
      <c r="C29" s="10">
        <f>C20-C22-C24-C26</f>
        <v>86638.64</v>
      </c>
      <c r="H29" s="18"/>
    </row>
    <row r="30" spans="1:8" x14ac:dyDescent="0.25">
      <c r="H30" s="3"/>
    </row>
    <row r="31" spans="1:8" x14ac:dyDescent="0.25">
      <c r="H31" s="18"/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E2EDC-3E55-4A60-94BD-233535C63C17}">
  <dimension ref="A1:H31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325</v>
      </c>
    </row>
    <row r="3" spans="1:8" ht="21" x14ac:dyDescent="0.35">
      <c r="A3" s="2" t="s">
        <v>1</v>
      </c>
      <c r="D3" s="11">
        <v>240380</v>
      </c>
      <c r="F3" s="12" t="s">
        <v>3</v>
      </c>
      <c r="H3" s="11">
        <v>38380</v>
      </c>
    </row>
    <row r="4" spans="1:8" x14ac:dyDescent="0.25">
      <c r="A4" s="13" t="s">
        <v>29</v>
      </c>
      <c r="C4" s="28">
        <v>438</v>
      </c>
    </row>
    <row r="5" spans="1:8" ht="21" x14ac:dyDescent="0.35">
      <c r="A5" s="2" t="s">
        <v>2</v>
      </c>
    </row>
    <row r="7" spans="1:8" ht="18.75" x14ac:dyDescent="0.3">
      <c r="A7" s="5" t="s">
        <v>326</v>
      </c>
      <c r="D7" s="4">
        <v>184298</v>
      </c>
      <c r="E7" s="27"/>
      <c r="H7" s="4">
        <v>29426</v>
      </c>
    </row>
    <row r="8" spans="1:8" ht="18.75" x14ac:dyDescent="0.3">
      <c r="A8" s="5"/>
      <c r="D8" s="4"/>
      <c r="E8" s="27"/>
      <c r="H8" s="4"/>
    </row>
    <row r="9" spans="1:8" ht="18.75" x14ac:dyDescent="0.3">
      <c r="A9" s="5"/>
      <c r="D9" s="4"/>
      <c r="E9" s="27"/>
      <c r="H9" s="4"/>
    </row>
    <row r="10" spans="1:8" ht="18.75" x14ac:dyDescent="0.3">
      <c r="A10" s="5"/>
      <c r="D10" s="4"/>
      <c r="E10" s="27"/>
      <c r="H10" s="4"/>
    </row>
    <row r="11" spans="1:8" ht="18.75" x14ac:dyDescent="0.3">
      <c r="A11" s="5"/>
      <c r="D11" s="30"/>
      <c r="E11" s="27"/>
      <c r="H11" s="30"/>
    </row>
    <row r="12" spans="1:8" ht="19.5" thickBot="1" x14ac:dyDescent="0.35">
      <c r="A12" s="5"/>
      <c r="D12" s="23"/>
      <c r="E12" s="27"/>
      <c r="H12" s="23"/>
    </row>
    <row r="13" spans="1:8" ht="18.75" x14ac:dyDescent="0.3">
      <c r="D13" s="4">
        <f>SUM(D7:D12)</f>
        <v>184298</v>
      </c>
      <c r="H13" s="33">
        <f>SUM(H7:H12)</f>
        <v>29426</v>
      </c>
    </row>
    <row r="14" spans="1:8" ht="18.75" x14ac:dyDescent="0.3">
      <c r="A14" s="5"/>
      <c r="C14" s="3"/>
      <c r="D14" s="4"/>
      <c r="H14" s="4"/>
    </row>
    <row r="15" spans="1:8" ht="15.75" thickBot="1" x14ac:dyDescent="0.3">
      <c r="D15" s="7"/>
      <c r="H15" s="7"/>
    </row>
    <row r="17" spans="1:8" ht="18.75" x14ac:dyDescent="0.3">
      <c r="C17" t="s">
        <v>4</v>
      </c>
      <c r="D17" s="4">
        <f>D3-D13</f>
        <v>56082</v>
      </c>
      <c r="G17" t="s">
        <v>5</v>
      </c>
      <c r="H17" s="4">
        <f>H3-H13</f>
        <v>8954</v>
      </c>
    </row>
    <row r="20" spans="1:8" ht="15.75" x14ac:dyDescent="0.25">
      <c r="A20" t="s">
        <v>6</v>
      </c>
      <c r="C20" s="8">
        <f>D17</f>
        <v>56082</v>
      </c>
      <c r="E20" t="s">
        <v>10</v>
      </c>
      <c r="H20" s="6">
        <f>C29</f>
        <v>46166.48</v>
      </c>
    </row>
    <row r="22" spans="1:8" ht="15.75" x14ac:dyDescent="0.25">
      <c r="A22" t="s">
        <v>5</v>
      </c>
      <c r="B22" s="9" t="s">
        <v>7</v>
      </c>
      <c r="C22" s="8">
        <f>H17</f>
        <v>8954</v>
      </c>
      <c r="E22" s="13" t="s">
        <v>11</v>
      </c>
      <c r="F22" s="9" t="s">
        <v>12</v>
      </c>
      <c r="G22" s="15" t="s">
        <v>17</v>
      </c>
      <c r="H22" s="3">
        <f>-(F23*0.007)</f>
        <v>-1414</v>
      </c>
    </row>
    <row r="23" spans="1:8" x14ac:dyDescent="0.25">
      <c r="F23" s="21">
        <f>D3-H3</f>
        <v>202000</v>
      </c>
    </row>
    <row r="24" spans="1:8" ht="16.5" thickBot="1" x14ac:dyDescent="0.3">
      <c r="A24" t="s">
        <v>8</v>
      </c>
      <c r="B24" s="9" t="s">
        <v>7</v>
      </c>
      <c r="C24" s="8">
        <f>D3*0.004</f>
        <v>961.52</v>
      </c>
      <c r="F24" s="9" t="s">
        <v>13</v>
      </c>
      <c r="G24" s="16">
        <v>0.35</v>
      </c>
      <c r="H24" s="17">
        <f>-(F25*0.35)</f>
        <v>-16158.268</v>
      </c>
    </row>
    <row r="25" spans="1:8" x14ac:dyDescent="0.25">
      <c r="F25" s="21">
        <f>H20</f>
        <v>46166.48</v>
      </c>
    </row>
    <row r="26" spans="1:8" ht="15.75" x14ac:dyDescent="0.25">
      <c r="A26" t="s">
        <v>9</v>
      </c>
      <c r="B26" s="9" t="s">
        <v>7</v>
      </c>
      <c r="C26" s="10"/>
      <c r="G26" s="13" t="s">
        <v>14</v>
      </c>
      <c r="H26" s="6">
        <f>H20+H22+H24</f>
        <v>28594.212000000003</v>
      </c>
    </row>
    <row r="27" spans="1:8" ht="15.75" thickBot="1" x14ac:dyDescent="0.3">
      <c r="A27" s="16"/>
      <c r="B27" s="14"/>
      <c r="C27" s="7"/>
    </row>
    <row r="28" spans="1:8" x14ac:dyDescent="0.25">
      <c r="E28" t="s">
        <v>100</v>
      </c>
      <c r="H28" s="20">
        <f>H26*0.35</f>
        <v>10007.974200000001</v>
      </c>
    </row>
    <row r="29" spans="1:8" ht="15.75" x14ac:dyDescent="0.25">
      <c r="A29" t="s">
        <v>10</v>
      </c>
      <c r="C29" s="10">
        <f>C20-C22-C24-C26</f>
        <v>46166.48</v>
      </c>
      <c r="H29" s="18"/>
    </row>
    <row r="30" spans="1:8" x14ac:dyDescent="0.25">
      <c r="H30" s="3"/>
    </row>
    <row r="31" spans="1:8" x14ac:dyDescent="0.25">
      <c r="H31" s="18"/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EF7FC-FE7E-4484-9658-776602B19FC1}">
  <dimension ref="A1:H31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327</v>
      </c>
    </row>
    <row r="3" spans="1:8" ht="21" x14ac:dyDescent="0.35">
      <c r="A3" s="2" t="s">
        <v>1</v>
      </c>
      <c r="D3" s="11">
        <v>255588</v>
      </c>
      <c r="F3" s="12" t="s">
        <v>3</v>
      </c>
      <c r="H3" s="11">
        <v>40808</v>
      </c>
    </row>
    <row r="4" spans="1:8" x14ac:dyDescent="0.25">
      <c r="A4" s="13" t="s">
        <v>29</v>
      </c>
      <c r="C4" s="28">
        <v>439</v>
      </c>
    </row>
    <row r="5" spans="1:8" ht="21" x14ac:dyDescent="0.35">
      <c r="A5" s="2" t="s">
        <v>2</v>
      </c>
    </row>
    <row r="7" spans="1:8" ht="18.75" x14ac:dyDescent="0.3">
      <c r="A7" s="5" t="s">
        <v>328</v>
      </c>
      <c r="D7" s="4">
        <v>12423</v>
      </c>
      <c r="E7" s="27"/>
      <c r="H7" s="4">
        <v>1984</v>
      </c>
    </row>
    <row r="8" spans="1:8" ht="18.75" x14ac:dyDescent="0.3">
      <c r="A8" s="5" t="s">
        <v>167</v>
      </c>
      <c r="D8" s="4">
        <v>105719</v>
      </c>
      <c r="E8" s="27"/>
      <c r="H8" s="4">
        <v>16880</v>
      </c>
    </row>
    <row r="9" spans="1:8" ht="18.75" x14ac:dyDescent="0.3">
      <c r="A9" s="5"/>
      <c r="D9" s="4"/>
      <c r="E9" s="27"/>
      <c r="H9" s="4"/>
    </row>
    <row r="10" spans="1:8" ht="18.75" x14ac:dyDescent="0.3">
      <c r="A10" s="5"/>
      <c r="D10" s="4"/>
      <c r="E10" s="27"/>
      <c r="H10" s="4"/>
    </row>
    <row r="11" spans="1:8" ht="18.75" x14ac:dyDescent="0.3">
      <c r="A11" s="5"/>
      <c r="D11" s="30"/>
      <c r="E11" s="27"/>
      <c r="H11" s="30"/>
    </row>
    <row r="12" spans="1:8" ht="19.5" thickBot="1" x14ac:dyDescent="0.35">
      <c r="A12" s="5"/>
      <c r="D12" s="23"/>
      <c r="E12" s="27"/>
      <c r="H12" s="23"/>
    </row>
    <row r="13" spans="1:8" ht="18.75" x14ac:dyDescent="0.3">
      <c r="D13" s="4">
        <f>SUM(D7:D12)</f>
        <v>118142</v>
      </c>
      <c r="H13" s="33">
        <f>SUM(H7:H12)</f>
        <v>18864</v>
      </c>
    </row>
    <row r="14" spans="1:8" ht="18.75" x14ac:dyDescent="0.3">
      <c r="A14" s="5"/>
      <c r="C14" s="3"/>
      <c r="D14" s="4"/>
      <c r="H14" s="4"/>
    </row>
    <row r="15" spans="1:8" ht="15.75" thickBot="1" x14ac:dyDescent="0.3">
      <c r="D15" s="7"/>
      <c r="H15" s="7"/>
    </row>
    <row r="17" spans="1:8" ht="18.75" x14ac:dyDescent="0.3">
      <c r="C17" t="s">
        <v>4</v>
      </c>
      <c r="D17" s="4">
        <f>D3-D13</f>
        <v>137446</v>
      </c>
      <c r="G17" t="s">
        <v>5</v>
      </c>
      <c r="H17" s="4">
        <f>H3-H13</f>
        <v>21944</v>
      </c>
    </row>
    <row r="20" spans="1:8" ht="15.75" x14ac:dyDescent="0.25">
      <c r="A20" t="s">
        <v>6</v>
      </c>
      <c r="C20" s="8">
        <f>D17</f>
        <v>137446</v>
      </c>
      <c r="E20" t="s">
        <v>10</v>
      </c>
      <c r="H20" s="6">
        <f>C29</f>
        <v>114479.648</v>
      </c>
    </row>
    <row r="22" spans="1:8" ht="15.75" x14ac:dyDescent="0.25">
      <c r="A22" t="s">
        <v>5</v>
      </c>
      <c r="B22" s="9" t="s">
        <v>7</v>
      </c>
      <c r="C22" s="8">
        <f>H17</f>
        <v>21944</v>
      </c>
      <c r="E22" s="13" t="s">
        <v>11</v>
      </c>
      <c r="F22" s="9" t="s">
        <v>12</v>
      </c>
      <c r="G22" s="15" t="s">
        <v>17</v>
      </c>
      <c r="H22" s="3">
        <f>-(F23*0.007)</f>
        <v>-1503.46</v>
      </c>
    </row>
    <row r="23" spans="1:8" x14ac:dyDescent="0.25">
      <c r="F23" s="21">
        <f>D3-H3</f>
        <v>214780</v>
      </c>
    </row>
    <row r="24" spans="1:8" ht="16.5" thickBot="1" x14ac:dyDescent="0.3">
      <c r="A24" t="s">
        <v>8</v>
      </c>
      <c r="B24" s="9" t="s">
        <v>7</v>
      </c>
      <c r="C24" s="8">
        <f>D3*0.004</f>
        <v>1022.352</v>
      </c>
      <c r="F24" s="9" t="s">
        <v>13</v>
      </c>
      <c r="G24" s="16">
        <v>0.35</v>
      </c>
      <c r="H24" s="17">
        <f>-(F25*0.35)</f>
        <v>-40067.876799999998</v>
      </c>
    </row>
    <row r="25" spans="1:8" x14ac:dyDescent="0.25">
      <c r="F25" s="21">
        <f>H20</f>
        <v>114479.648</v>
      </c>
    </row>
    <row r="26" spans="1:8" ht="15.75" x14ac:dyDescent="0.25">
      <c r="A26" t="s">
        <v>9</v>
      </c>
      <c r="B26" s="9" t="s">
        <v>7</v>
      </c>
      <c r="C26" s="10"/>
      <c r="G26" s="13" t="s">
        <v>14</v>
      </c>
      <c r="H26" s="6">
        <f>H20+H22+H24</f>
        <v>72908.311199999996</v>
      </c>
    </row>
    <row r="27" spans="1:8" ht="15.75" thickBot="1" x14ac:dyDescent="0.3">
      <c r="A27" s="16"/>
      <c r="B27" s="14"/>
      <c r="C27" s="7"/>
    </row>
    <row r="28" spans="1:8" x14ac:dyDescent="0.25">
      <c r="E28" t="s">
        <v>100</v>
      </c>
      <c r="H28" s="20">
        <f>H26*0.35</f>
        <v>25517.908919999998</v>
      </c>
    </row>
    <row r="29" spans="1:8" ht="15.75" x14ac:dyDescent="0.25">
      <c r="A29" t="s">
        <v>10</v>
      </c>
      <c r="C29" s="10">
        <f>C20-C22-C24-C26</f>
        <v>114479.648</v>
      </c>
      <c r="H29" s="18"/>
    </row>
    <row r="30" spans="1:8" x14ac:dyDescent="0.25">
      <c r="H30" s="3"/>
    </row>
    <row r="31" spans="1:8" x14ac:dyDescent="0.25">
      <c r="H31" s="18"/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786CF-6F56-47D2-BF9C-7415AB6BBEA4}">
  <dimension ref="A1:H31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329</v>
      </c>
    </row>
    <row r="3" spans="1:8" ht="21" x14ac:dyDescent="0.35">
      <c r="A3" s="2" t="s">
        <v>1</v>
      </c>
      <c r="D3" s="11">
        <v>739823</v>
      </c>
      <c r="F3" s="12" t="s">
        <v>3</v>
      </c>
      <c r="H3" s="11">
        <v>118123</v>
      </c>
    </row>
    <row r="4" spans="1:8" x14ac:dyDescent="0.25">
      <c r="A4" s="13" t="s">
        <v>29</v>
      </c>
      <c r="C4" s="28">
        <v>440</v>
      </c>
    </row>
    <row r="5" spans="1:8" ht="21" x14ac:dyDescent="0.35">
      <c r="A5" s="2" t="s">
        <v>2</v>
      </c>
    </row>
    <row r="7" spans="1:8" ht="18.75" x14ac:dyDescent="0.3">
      <c r="A7" s="5" t="s">
        <v>328</v>
      </c>
      <c r="D7" s="4">
        <v>37420</v>
      </c>
      <c r="E7" s="27"/>
      <c r="H7" s="4">
        <v>9778</v>
      </c>
    </row>
    <row r="8" spans="1:8" ht="18.75" x14ac:dyDescent="0.3">
      <c r="A8" s="5" t="s">
        <v>330</v>
      </c>
      <c r="D8" s="4">
        <v>207461</v>
      </c>
      <c r="E8" s="27"/>
      <c r="H8" s="4">
        <v>33124</v>
      </c>
    </row>
    <row r="9" spans="1:8" ht="18.75" x14ac:dyDescent="0.3">
      <c r="A9" s="5" t="s">
        <v>331</v>
      </c>
      <c r="D9" s="4">
        <v>90000</v>
      </c>
      <c r="E9" s="27"/>
      <c r="H9" s="4"/>
    </row>
    <row r="10" spans="1:8" ht="18.75" x14ac:dyDescent="0.3">
      <c r="A10" s="5" t="s">
        <v>167</v>
      </c>
      <c r="D10" s="4">
        <v>108261</v>
      </c>
      <c r="E10" s="27"/>
      <c r="H10" s="4">
        <v>17348</v>
      </c>
    </row>
    <row r="11" spans="1:8" ht="18.75" x14ac:dyDescent="0.3">
      <c r="A11" s="5"/>
      <c r="D11" s="30"/>
      <c r="E11" s="27"/>
      <c r="H11" s="30"/>
    </row>
    <row r="12" spans="1:8" ht="19.5" thickBot="1" x14ac:dyDescent="0.35">
      <c r="A12" s="5"/>
      <c r="D12" s="23"/>
      <c r="E12" s="27"/>
      <c r="H12" s="23"/>
    </row>
    <row r="13" spans="1:8" ht="18.75" x14ac:dyDescent="0.3">
      <c r="D13" s="4">
        <f>SUM(D7:D12)</f>
        <v>443142</v>
      </c>
      <c r="H13" s="33">
        <f>SUM(H7:H12)</f>
        <v>60250</v>
      </c>
    </row>
    <row r="14" spans="1:8" ht="18.75" x14ac:dyDescent="0.3">
      <c r="A14" s="5"/>
      <c r="C14" s="3"/>
      <c r="D14" s="4"/>
      <c r="H14" s="4"/>
    </row>
    <row r="15" spans="1:8" ht="15.75" thickBot="1" x14ac:dyDescent="0.3">
      <c r="D15" s="7"/>
      <c r="H15" s="7"/>
    </row>
    <row r="17" spans="1:8" ht="18.75" x14ac:dyDescent="0.3">
      <c r="C17" t="s">
        <v>4</v>
      </c>
      <c r="D17" s="4">
        <f>D3-D13</f>
        <v>296681</v>
      </c>
      <c r="G17" t="s">
        <v>5</v>
      </c>
      <c r="H17" s="4">
        <f>H3-H13</f>
        <v>57873</v>
      </c>
    </row>
    <row r="20" spans="1:8" ht="15.75" x14ac:dyDescent="0.25">
      <c r="A20" t="s">
        <v>6</v>
      </c>
      <c r="C20" s="8">
        <f>D17</f>
        <v>296681</v>
      </c>
      <c r="E20" t="s">
        <v>10</v>
      </c>
      <c r="H20" s="6">
        <f>C29</f>
        <v>235848.70800000001</v>
      </c>
    </row>
    <row r="22" spans="1:8" ht="15.75" x14ac:dyDescent="0.25">
      <c r="A22" t="s">
        <v>5</v>
      </c>
      <c r="B22" s="9" t="s">
        <v>7</v>
      </c>
      <c r="C22" s="8">
        <f>H17</f>
        <v>57873</v>
      </c>
      <c r="E22" s="13" t="s">
        <v>11</v>
      </c>
      <c r="F22" s="9" t="s">
        <v>12</v>
      </c>
      <c r="G22" s="15" t="s">
        <v>17</v>
      </c>
      <c r="H22" s="3">
        <f>-(F23*0.007)</f>
        <v>-4351.8999999999996</v>
      </c>
    </row>
    <row r="23" spans="1:8" x14ac:dyDescent="0.25">
      <c r="F23" s="21">
        <f>D3-H3</f>
        <v>621700</v>
      </c>
    </row>
    <row r="24" spans="1:8" ht="16.5" thickBot="1" x14ac:dyDescent="0.3">
      <c r="A24" t="s">
        <v>8</v>
      </c>
      <c r="B24" s="9" t="s">
        <v>7</v>
      </c>
      <c r="C24" s="8">
        <f>D3*0.004</f>
        <v>2959.2919999999999</v>
      </c>
      <c r="F24" s="9" t="s">
        <v>13</v>
      </c>
      <c r="G24" s="16">
        <v>0.35</v>
      </c>
      <c r="H24" s="17">
        <f>-(F25*0.35)</f>
        <v>-82547.0478</v>
      </c>
    </row>
    <row r="25" spans="1:8" x14ac:dyDescent="0.25">
      <c r="F25" s="21">
        <f>H20</f>
        <v>235848.70800000001</v>
      </c>
    </row>
    <row r="26" spans="1:8" ht="15.75" x14ac:dyDescent="0.25">
      <c r="A26" t="s">
        <v>9</v>
      </c>
      <c r="B26" s="9" t="s">
        <v>7</v>
      </c>
      <c r="C26" s="10"/>
      <c r="G26" s="13" t="s">
        <v>14</v>
      </c>
      <c r="H26" s="6">
        <f>H20+H22+H24</f>
        <v>148949.76020000002</v>
      </c>
    </row>
    <row r="27" spans="1:8" ht="15.75" thickBot="1" x14ac:dyDescent="0.3">
      <c r="A27" s="16"/>
      <c r="B27" s="14"/>
      <c r="C27" s="7"/>
    </row>
    <row r="28" spans="1:8" x14ac:dyDescent="0.25">
      <c r="E28" t="s">
        <v>100</v>
      </c>
      <c r="H28" s="20">
        <f>H26*0.35</f>
        <v>52132.416070000007</v>
      </c>
    </row>
    <row r="29" spans="1:8" ht="15.75" x14ac:dyDescent="0.25">
      <c r="A29" t="s">
        <v>10</v>
      </c>
      <c r="C29" s="10">
        <f>C20-C22-C24-C26</f>
        <v>235848.70800000001</v>
      </c>
      <c r="H29" s="18"/>
    </row>
    <row r="30" spans="1:8" x14ac:dyDescent="0.25">
      <c r="H30" s="3"/>
    </row>
    <row r="31" spans="1:8" x14ac:dyDescent="0.25">
      <c r="H31" s="18"/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45F45-8CED-4FF2-BC87-87C662D1E38F}">
  <dimension ref="A1:H31"/>
  <sheetViews>
    <sheetView topLeftCell="A13" workbookViewId="0">
      <selection activeCell="A13"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332</v>
      </c>
    </row>
    <row r="3" spans="1:8" ht="21" x14ac:dyDescent="0.35">
      <c r="A3" s="2" t="s">
        <v>1</v>
      </c>
      <c r="D3" s="11">
        <v>108290</v>
      </c>
      <c r="F3" s="12" t="s">
        <v>3</v>
      </c>
      <c r="H3" s="11">
        <v>17290</v>
      </c>
    </row>
    <row r="4" spans="1:8" x14ac:dyDescent="0.25">
      <c r="A4" s="13" t="s">
        <v>29</v>
      </c>
      <c r="C4" s="28">
        <v>441</v>
      </c>
    </row>
    <row r="5" spans="1:8" ht="21" x14ac:dyDescent="0.35">
      <c r="A5" s="2" t="s">
        <v>2</v>
      </c>
    </row>
    <row r="7" spans="1:8" ht="18.75" x14ac:dyDescent="0.3">
      <c r="A7" s="5" t="s">
        <v>333</v>
      </c>
      <c r="D7" s="4">
        <v>81943</v>
      </c>
      <c r="E7" s="27"/>
      <c r="H7" s="4">
        <v>13083</v>
      </c>
    </row>
    <row r="8" spans="1:8" ht="18.75" x14ac:dyDescent="0.3">
      <c r="A8" s="5"/>
      <c r="D8" s="4"/>
      <c r="E8" s="27"/>
      <c r="H8" s="4"/>
    </row>
    <row r="9" spans="1:8" ht="18.75" x14ac:dyDescent="0.3">
      <c r="A9" s="5"/>
      <c r="D9" s="4"/>
      <c r="E9" s="27"/>
      <c r="H9" s="4"/>
    </row>
    <row r="10" spans="1:8" ht="18.75" x14ac:dyDescent="0.3">
      <c r="A10" s="5"/>
      <c r="D10" s="4"/>
      <c r="E10" s="27"/>
      <c r="H10" s="4"/>
    </row>
    <row r="11" spans="1:8" ht="18.75" x14ac:dyDescent="0.3">
      <c r="A11" s="5"/>
      <c r="D11" s="30"/>
      <c r="E11" s="27"/>
      <c r="H11" s="30"/>
    </row>
    <row r="12" spans="1:8" ht="19.5" thickBot="1" x14ac:dyDescent="0.35">
      <c r="A12" s="5"/>
      <c r="D12" s="23"/>
      <c r="E12" s="27"/>
      <c r="H12" s="23"/>
    </row>
    <row r="13" spans="1:8" ht="18.75" x14ac:dyDescent="0.3">
      <c r="D13" s="4">
        <f>SUM(D7:D12)</f>
        <v>81943</v>
      </c>
      <c r="H13" s="33">
        <f>SUM(H7:H12)</f>
        <v>13083</v>
      </c>
    </row>
    <row r="14" spans="1:8" ht="18.75" x14ac:dyDescent="0.3">
      <c r="A14" s="5"/>
      <c r="C14" s="3"/>
      <c r="D14" s="4"/>
      <c r="H14" s="4"/>
    </row>
    <row r="15" spans="1:8" ht="15.75" thickBot="1" x14ac:dyDescent="0.3">
      <c r="D15" s="7"/>
      <c r="H15" s="7"/>
    </row>
    <row r="17" spans="1:8" ht="18.75" x14ac:dyDescent="0.3">
      <c r="C17" t="s">
        <v>4</v>
      </c>
      <c r="D17" s="4">
        <f>D3-D13</f>
        <v>26347</v>
      </c>
      <c r="G17" t="s">
        <v>5</v>
      </c>
      <c r="H17" s="4">
        <f>H3-H13</f>
        <v>4207</v>
      </c>
    </row>
    <row r="20" spans="1:8" ht="15.75" x14ac:dyDescent="0.25">
      <c r="A20" t="s">
        <v>6</v>
      </c>
      <c r="C20" s="8">
        <f>D17</f>
        <v>26347</v>
      </c>
      <c r="E20" t="s">
        <v>10</v>
      </c>
      <c r="H20" s="6">
        <f>C29</f>
        <v>21706.84</v>
      </c>
    </row>
    <row r="22" spans="1:8" ht="15.75" x14ac:dyDescent="0.25">
      <c r="A22" t="s">
        <v>5</v>
      </c>
      <c r="B22" s="9" t="s">
        <v>7</v>
      </c>
      <c r="C22" s="8">
        <f>H17</f>
        <v>4207</v>
      </c>
      <c r="E22" s="13" t="s">
        <v>11</v>
      </c>
      <c r="F22" s="9" t="s">
        <v>12</v>
      </c>
      <c r="G22" s="15" t="s">
        <v>17</v>
      </c>
      <c r="H22" s="3">
        <f>-(F23*0.007)</f>
        <v>-637</v>
      </c>
    </row>
    <row r="23" spans="1:8" x14ac:dyDescent="0.25">
      <c r="F23" s="21">
        <f>D3-H3</f>
        <v>91000</v>
      </c>
    </row>
    <row r="24" spans="1:8" ht="16.5" thickBot="1" x14ac:dyDescent="0.3">
      <c r="A24" t="s">
        <v>8</v>
      </c>
      <c r="B24" s="9" t="s">
        <v>7</v>
      </c>
      <c r="C24" s="8">
        <f>D3*0.004</f>
        <v>433.16</v>
      </c>
      <c r="F24" s="9" t="s">
        <v>13</v>
      </c>
      <c r="G24" s="16">
        <v>0.35</v>
      </c>
      <c r="H24" s="17">
        <f>-(F25*0.35)</f>
        <v>-7597.3939999999993</v>
      </c>
    </row>
    <row r="25" spans="1:8" x14ac:dyDescent="0.25">
      <c r="F25" s="21">
        <f>H20</f>
        <v>21706.84</v>
      </c>
    </row>
    <row r="26" spans="1:8" ht="15.75" x14ac:dyDescent="0.25">
      <c r="A26" t="s">
        <v>9</v>
      </c>
      <c r="B26" s="9" t="s">
        <v>7</v>
      </c>
      <c r="C26" s="10"/>
      <c r="G26" s="13" t="s">
        <v>14</v>
      </c>
      <c r="H26" s="6">
        <f>H20+H22+H24</f>
        <v>13472.446</v>
      </c>
    </row>
    <row r="27" spans="1:8" ht="15.75" thickBot="1" x14ac:dyDescent="0.3">
      <c r="A27" s="16"/>
      <c r="B27" s="14"/>
      <c r="C27" s="7"/>
    </row>
    <row r="28" spans="1:8" x14ac:dyDescent="0.25">
      <c r="E28" t="s">
        <v>100</v>
      </c>
      <c r="H28" s="20">
        <f>H26*0.35</f>
        <v>4715.3561</v>
      </c>
    </row>
    <row r="29" spans="1:8" ht="15.75" x14ac:dyDescent="0.25">
      <c r="A29" t="s">
        <v>10</v>
      </c>
      <c r="C29" s="10">
        <f>C20-C22-C24-C26</f>
        <v>21706.84</v>
      </c>
      <c r="H29" s="18"/>
    </row>
    <row r="30" spans="1:8" x14ac:dyDescent="0.25">
      <c r="H30" s="3"/>
    </row>
    <row r="31" spans="1:8" x14ac:dyDescent="0.25">
      <c r="H31" s="18"/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484EE-F2CA-4C35-A6AC-D2FC6E102013}">
  <dimension ref="A1:H36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334</v>
      </c>
    </row>
    <row r="3" spans="1:8" ht="21" x14ac:dyDescent="0.35">
      <c r="A3" s="2" t="s">
        <v>1</v>
      </c>
      <c r="D3" s="11">
        <v>7491637</v>
      </c>
      <c r="F3" s="12" t="s">
        <v>3</v>
      </c>
      <c r="H3" s="11">
        <v>1221812</v>
      </c>
    </row>
    <row r="4" spans="1:8" x14ac:dyDescent="0.25">
      <c r="A4" s="13" t="s">
        <v>29</v>
      </c>
      <c r="C4" s="28">
        <v>448</v>
      </c>
    </row>
    <row r="5" spans="1:8" ht="21" x14ac:dyDescent="0.35">
      <c r="A5" s="2" t="s">
        <v>2</v>
      </c>
    </row>
    <row r="7" spans="1:8" ht="18.75" x14ac:dyDescent="0.3">
      <c r="A7" s="5" t="s">
        <v>335</v>
      </c>
      <c r="D7" s="4">
        <v>155250</v>
      </c>
      <c r="E7" s="27"/>
      <c r="H7" s="4"/>
    </row>
    <row r="8" spans="1:8" ht="18.75" x14ac:dyDescent="0.3">
      <c r="A8" s="5" t="s">
        <v>220</v>
      </c>
      <c r="D8" s="4">
        <v>576000</v>
      </c>
      <c r="E8" s="27"/>
      <c r="H8" s="4"/>
    </row>
    <row r="9" spans="1:8" ht="18.75" x14ac:dyDescent="0.3">
      <c r="A9" s="5" t="s">
        <v>209</v>
      </c>
      <c r="D9" s="4">
        <v>735949</v>
      </c>
      <c r="E9" s="27"/>
      <c r="H9" s="4">
        <v>177505</v>
      </c>
    </row>
    <row r="10" spans="1:8" ht="18.75" x14ac:dyDescent="0.3">
      <c r="A10" s="5" t="s">
        <v>336</v>
      </c>
      <c r="D10" s="4">
        <v>268250</v>
      </c>
      <c r="E10" s="27"/>
      <c r="H10" s="4">
        <v>42829</v>
      </c>
    </row>
    <row r="11" spans="1:8" ht="18.75" x14ac:dyDescent="0.3">
      <c r="A11" s="5" t="s">
        <v>337</v>
      </c>
      <c r="D11" s="30">
        <v>41182</v>
      </c>
      <c r="E11" s="27"/>
      <c r="H11" s="30">
        <v>6604</v>
      </c>
    </row>
    <row r="12" spans="1:8" ht="18.75" x14ac:dyDescent="0.3">
      <c r="A12" s="5" t="s">
        <v>338</v>
      </c>
      <c r="D12" s="31">
        <v>403767</v>
      </c>
      <c r="H12" s="31">
        <v>64467</v>
      </c>
    </row>
    <row r="13" spans="1:8" ht="18.75" x14ac:dyDescent="0.3">
      <c r="A13" s="5" t="s">
        <v>339</v>
      </c>
      <c r="D13" s="31">
        <v>572628</v>
      </c>
      <c r="H13" s="31">
        <v>91428</v>
      </c>
    </row>
    <row r="14" spans="1:8" ht="18.75" x14ac:dyDescent="0.3">
      <c r="A14" s="5" t="s">
        <v>340</v>
      </c>
      <c r="D14" s="31">
        <v>25361</v>
      </c>
      <c r="H14" s="31">
        <v>4050</v>
      </c>
    </row>
    <row r="15" spans="1:8" ht="18.75" x14ac:dyDescent="0.3">
      <c r="A15" s="5" t="s">
        <v>341</v>
      </c>
      <c r="D15" s="31">
        <v>37866</v>
      </c>
      <c r="H15" s="31">
        <v>60446</v>
      </c>
    </row>
    <row r="16" spans="1:8" ht="18.75" x14ac:dyDescent="0.3">
      <c r="A16" s="5" t="s">
        <v>342</v>
      </c>
      <c r="D16" s="31">
        <v>2092632</v>
      </c>
      <c r="H16" s="31">
        <v>334118</v>
      </c>
    </row>
    <row r="18" spans="1:8" ht="19.5" thickBot="1" x14ac:dyDescent="0.35">
      <c r="A18" s="5"/>
      <c r="D18" s="23"/>
      <c r="E18" s="27"/>
      <c r="H18" s="23"/>
    </row>
    <row r="19" spans="1:8" ht="18.75" x14ac:dyDescent="0.3">
      <c r="D19" s="4">
        <f>SUM(D7:D18)</f>
        <v>4908885</v>
      </c>
      <c r="H19" s="33">
        <f>SUM(H7:H18)</f>
        <v>781447</v>
      </c>
    </row>
    <row r="20" spans="1:8" ht="18.75" x14ac:dyDescent="0.3">
      <c r="A20" s="5"/>
      <c r="C20" s="3"/>
      <c r="D20" s="4"/>
      <c r="H20" s="4"/>
    </row>
    <row r="21" spans="1:8" ht="15.75" thickBot="1" x14ac:dyDescent="0.3">
      <c r="D21" s="7"/>
      <c r="H21" s="7"/>
    </row>
    <row r="23" spans="1:8" ht="18.75" x14ac:dyDescent="0.3">
      <c r="C23" t="s">
        <v>4</v>
      </c>
      <c r="D23" s="4">
        <f>D3-D19</f>
        <v>2582752</v>
      </c>
      <c r="G23" t="s">
        <v>5</v>
      </c>
      <c r="H23" s="4">
        <f>H3-H19</f>
        <v>440365</v>
      </c>
    </row>
    <row r="26" spans="1:8" ht="15.75" x14ac:dyDescent="0.25">
      <c r="A26" t="s">
        <v>6</v>
      </c>
      <c r="C26" s="8">
        <f>D23</f>
        <v>2582752</v>
      </c>
      <c r="E26" t="s">
        <v>10</v>
      </c>
      <c r="H26" s="6">
        <f>C35</f>
        <v>2112420.452</v>
      </c>
    </row>
    <row r="28" spans="1:8" ht="15.75" x14ac:dyDescent="0.25">
      <c r="A28" t="s">
        <v>5</v>
      </c>
      <c r="B28" s="9" t="s">
        <v>7</v>
      </c>
      <c r="C28" s="8">
        <f>H23</f>
        <v>440365</v>
      </c>
      <c r="E28" s="13" t="s">
        <v>11</v>
      </c>
      <c r="F28" s="9" t="s">
        <v>12</v>
      </c>
      <c r="G28" s="15" t="s">
        <v>17</v>
      </c>
      <c r="H28" s="3">
        <f>-(F29*0.007)</f>
        <v>-45014.13</v>
      </c>
    </row>
    <row r="29" spans="1:8" x14ac:dyDescent="0.25">
      <c r="F29" s="21">
        <v>6430590</v>
      </c>
    </row>
    <row r="30" spans="1:8" ht="16.5" thickBot="1" x14ac:dyDescent="0.3">
      <c r="A30" t="s">
        <v>8</v>
      </c>
      <c r="B30" s="9" t="s">
        <v>7</v>
      </c>
      <c r="C30" s="8">
        <f>D3*0.004</f>
        <v>29966.547999999999</v>
      </c>
      <c r="F30" s="9" t="s">
        <v>13</v>
      </c>
      <c r="G30" s="16">
        <v>0.35</v>
      </c>
      <c r="H30" s="17">
        <f>-(F31*0.35)</f>
        <v>-739347.15819999995</v>
      </c>
    </row>
    <row r="31" spans="1:8" x14ac:dyDescent="0.25">
      <c r="F31" s="21">
        <f>H26</f>
        <v>2112420.452</v>
      </c>
    </row>
    <row r="32" spans="1:8" ht="15.75" x14ac:dyDescent="0.25">
      <c r="A32" t="s">
        <v>9</v>
      </c>
      <c r="B32" s="9" t="s">
        <v>7</v>
      </c>
      <c r="C32" s="10"/>
      <c r="G32" s="13" t="s">
        <v>14</v>
      </c>
      <c r="H32" s="6">
        <f>H26+H28+H30</f>
        <v>1328059.1638000002</v>
      </c>
    </row>
    <row r="33" spans="1:8" ht="15.75" thickBot="1" x14ac:dyDescent="0.3">
      <c r="A33" s="16"/>
      <c r="B33" s="14"/>
      <c r="C33" s="7"/>
    </row>
    <row r="34" spans="1:8" x14ac:dyDescent="0.25">
      <c r="E34" t="s">
        <v>100</v>
      </c>
      <c r="H34" s="20">
        <f>H32*0.35</f>
        <v>464820.70733000006</v>
      </c>
    </row>
    <row r="35" spans="1:8" ht="15.75" x14ac:dyDescent="0.25">
      <c r="A35" t="s">
        <v>10</v>
      </c>
      <c r="C35" s="10">
        <f>C26-C28-C30-C32</f>
        <v>2112420.452</v>
      </c>
      <c r="H35" s="18"/>
    </row>
    <row r="36" spans="1:8" x14ac:dyDescent="0.25">
      <c r="H36" s="3"/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417DF-C861-45FD-BCAF-6D90CE5A7A5F}">
  <dimension ref="A1:H36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343</v>
      </c>
    </row>
    <row r="3" spans="1:8" ht="21" x14ac:dyDescent="0.35">
      <c r="A3" s="2" t="s">
        <v>1</v>
      </c>
      <c r="D3" s="11">
        <v>199325</v>
      </c>
      <c r="F3" s="12" t="s">
        <v>3</v>
      </c>
      <c r="H3" s="11">
        <v>31825</v>
      </c>
    </row>
    <row r="4" spans="1:8" x14ac:dyDescent="0.25">
      <c r="A4" s="13" t="s">
        <v>29</v>
      </c>
      <c r="C4" s="28">
        <v>449</v>
      </c>
    </row>
    <row r="5" spans="1:8" ht="21" x14ac:dyDescent="0.35">
      <c r="A5" s="2" t="s">
        <v>2</v>
      </c>
    </row>
    <row r="7" spans="1:8" ht="18.75" x14ac:dyDescent="0.3">
      <c r="A7" s="5" t="s">
        <v>344</v>
      </c>
      <c r="D7" s="4">
        <v>27000</v>
      </c>
      <c r="E7" s="27"/>
      <c r="H7" s="4"/>
    </row>
    <row r="8" spans="1:8" ht="18.75" x14ac:dyDescent="0.3">
      <c r="A8" s="5" t="s">
        <v>209</v>
      </c>
      <c r="D8" s="4">
        <v>83852</v>
      </c>
      <c r="E8" s="27"/>
      <c r="H8" s="4">
        <v>13388</v>
      </c>
    </row>
    <row r="9" spans="1:8" ht="18.75" x14ac:dyDescent="0.3">
      <c r="A9" s="5"/>
      <c r="D9" s="4"/>
      <c r="E9" s="27"/>
      <c r="H9" s="4"/>
    </row>
    <row r="10" spans="1:8" ht="18.75" x14ac:dyDescent="0.3">
      <c r="A10" s="5"/>
      <c r="D10" s="4"/>
      <c r="E10" s="27"/>
      <c r="H10" s="4"/>
    </row>
    <row r="11" spans="1:8" ht="18.75" x14ac:dyDescent="0.3">
      <c r="A11" s="5"/>
      <c r="D11" s="30"/>
      <c r="E11" s="27"/>
      <c r="H11" s="30"/>
    </row>
    <row r="12" spans="1:8" ht="18.75" x14ac:dyDescent="0.3">
      <c r="A12" s="5"/>
      <c r="D12" s="31"/>
      <c r="H12" s="31"/>
    </row>
    <row r="13" spans="1:8" ht="18.75" x14ac:dyDescent="0.3">
      <c r="A13" s="5"/>
      <c r="D13" s="31"/>
      <c r="H13" s="31"/>
    </row>
    <row r="14" spans="1:8" ht="18.75" x14ac:dyDescent="0.3">
      <c r="A14" s="5"/>
      <c r="D14" s="31"/>
      <c r="H14" s="31"/>
    </row>
    <row r="15" spans="1:8" ht="18.75" x14ac:dyDescent="0.3">
      <c r="A15" s="5"/>
      <c r="D15" s="31"/>
      <c r="H15" s="31"/>
    </row>
    <row r="16" spans="1:8" ht="18.75" x14ac:dyDescent="0.3">
      <c r="A16" s="5"/>
      <c r="D16" s="31"/>
      <c r="H16" s="31"/>
    </row>
    <row r="18" spans="1:8" ht="19.5" thickBot="1" x14ac:dyDescent="0.35">
      <c r="A18" s="5"/>
      <c r="D18" s="23"/>
      <c r="E18" s="27"/>
      <c r="H18" s="23"/>
    </row>
    <row r="19" spans="1:8" ht="18.75" x14ac:dyDescent="0.3">
      <c r="D19" s="4">
        <f>SUM(D7:D18)</f>
        <v>110852</v>
      </c>
      <c r="H19" s="33">
        <f>SUM(H7:H18)</f>
        <v>13388</v>
      </c>
    </row>
    <row r="20" spans="1:8" ht="18.75" x14ac:dyDescent="0.3">
      <c r="A20" s="5"/>
      <c r="C20" s="3"/>
      <c r="D20" s="4"/>
      <c r="H20" s="4"/>
    </row>
    <row r="21" spans="1:8" ht="15.75" thickBot="1" x14ac:dyDescent="0.3">
      <c r="D21" s="7"/>
      <c r="H21" s="7"/>
    </row>
    <row r="23" spans="1:8" ht="18.75" x14ac:dyDescent="0.3">
      <c r="C23" t="s">
        <v>4</v>
      </c>
      <c r="D23" s="4">
        <f>D3-D19</f>
        <v>88473</v>
      </c>
      <c r="G23" t="s">
        <v>5</v>
      </c>
      <c r="H23" s="4">
        <f>H3-H19</f>
        <v>18437</v>
      </c>
    </row>
    <row r="26" spans="1:8" ht="15.75" x14ac:dyDescent="0.25">
      <c r="A26" t="s">
        <v>6</v>
      </c>
      <c r="C26" s="8">
        <f>D23</f>
        <v>88473</v>
      </c>
      <c r="E26" t="s">
        <v>10</v>
      </c>
      <c r="H26" s="6">
        <f>C35</f>
        <v>69238.7</v>
      </c>
    </row>
    <row r="28" spans="1:8" ht="15.75" x14ac:dyDescent="0.25">
      <c r="A28" t="s">
        <v>5</v>
      </c>
      <c r="B28" s="9" t="s">
        <v>7</v>
      </c>
      <c r="C28" s="8">
        <f>H23</f>
        <v>18437</v>
      </c>
      <c r="E28" s="13" t="s">
        <v>11</v>
      </c>
      <c r="F28" s="9" t="s">
        <v>12</v>
      </c>
      <c r="G28" s="15" t="s">
        <v>17</v>
      </c>
      <c r="H28" s="3">
        <f>-(F29*0.007)</f>
        <v>-1172.5</v>
      </c>
    </row>
    <row r="29" spans="1:8" x14ac:dyDescent="0.25">
      <c r="F29" s="21">
        <f>D3-H3</f>
        <v>167500</v>
      </c>
    </row>
    <row r="30" spans="1:8" ht="16.5" thickBot="1" x14ac:dyDescent="0.3">
      <c r="A30" t="s">
        <v>8</v>
      </c>
      <c r="B30" s="9" t="s">
        <v>7</v>
      </c>
      <c r="C30" s="8">
        <f>D3*0.004</f>
        <v>797.30000000000007</v>
      </c>
      <c r="F30" s="9" t="s">
        <v>13</v>
      </c>
      <c r="G30" s="16">
        <v>0.35</v>
      </c>
      <c r="H30" s="17">
        <f>-(F31*0.35)</f>
        <v>-24233.544999999998</v>
      </c>
    </row>
    <row r="31" spans="1:8" x14ac:dyDescent="0.25">
      <c r="F31" s="21">
        <f>H26</f>
        <v>69238.7</v>
      </c>
    </row>
    <row r="32" spans="1:8" ht="15.75" x14ac:dyDescent="0.25">
      <c r="A32" t="s">
        <v>9</v>
      </c>
      <c r="B32" s="9" t="s">
        <v>7</v>
      </c>
      <c r="C32" s="10"/>
      <c r="G32" s="13" t="s">
        <v>14</v>
      </c>
      <c r="H32" s="6">
        <f>H26+H28+H30</f>
        <v>43832.654999999999</v>
      </c>
    </row>
    <row r="33" spans="1:8" ht="15.75" thickBot="1" x14ac:dyDescent="0.3">
      <c r="A33" s="16"/>
      <c r="B33" s="14"/>
      <c r="C33" s="7"/>
    </row>
    <row r="34" spans="1:8" x14ac:dyDescent="0.25">
      <c r="E34" t="s">
        <v>100</v>
      </c>
      <c r="H34" s="20">
        <f>H32*0.35</f>
        <v>15341.429249999999</v>
      </c>
    </row>
    <row r="35" spans="1:8" ht="15.75" x14ac:dyDescent="0.25">
      <c r="A35" t="s">
        <v>10</v>
      </c>
      <c r="C35" s="10">
        <f>C26-C28-C30-C32</f>
        <v>69238.7</v>
      </c>
      <c r="H35" s="18"/>
    </row>
    <row r="36" spans="1:8" x14ac:dyDescent="0.25">
      <c r="H36" s="3"/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3FEE5-C16F-481C-8B70-5E195FF0B6D9}">
  <dimension ref="A1:H36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345</v>
      </c>
    </row>
    <row r="3" spans="1:8" ht="21" x14ac:dyDescent="0.35">
      <c r="A3" s="2" t="s">
        <v>1</v>
      </c>
      <c r="D3" s="11">
        <v>8925</v>
      </c>
      <c r="F3" s="12" t="s">
        <v>3</v>
      </c>
      <c r="H3" s="11">
        <v>1425</v>
      </c>
    </row>
    <row r="4" spans="1:8" x14ac:dyDescent="0.25">
      <c r="A4" s="13" t="s">
        <v>29</v>
      </c>
      <c r="C4" s="28">
        <v>450</v>
      </c>
    </row>
    <row r="5" spans="1:8" ht="21" x14ac:dyDescent="0.35">
      <c r="A5" s="2" t="s">
        <v>2</v>
      </c>
    </row>
    <row r="7" spans="1:8" ht="18.75" x14ac:dyDescent="0.3">
      <c r="A7" s="5"/>
      <c r="D7" s="4"/>
      <c r="E7" s="27"/>
      <c r="H7" s="4"/>
    </row>
    <row r="8" spans="1:8" ht="18.75" x14ac:dyDescent="0.3">
      <c r="A8" s="5" t="s">
        <v>209</v>
      </c>
      <c r="D8" s="4">
        <v>5250</v>
      </c>
      <c r="E8" s="27"/>
      <c r="H8" s="4">
        <v>838</v>
      </c>
    </row>
    <row r="9" spans="1:8" ht="18.75" x14ac:dyDescent="0.3">
      <c r="A9" s="5"/>
      <c r="D9" s="4"/>
      <c r="E9" s="27"/>
      <c r="H9" s="4"/>
    </row>
    <row r="10" spans="1:8" ht="18.75" x14ac:dyDescent="0.3">
      <c r="A10" s="5"/>
      <c r="D10" s="4"/>
      <c r="E10" s="27"/>
      <c r="H10" s="4"/>
    </row>
    <row r="11" spans="1:8" ht="18.75" x14ac:dyDescent="0.3">
      <c r="A11" s="5"/>
      <c r="D11" s="30"/>
      <c r="E11" s="27"/>
      <c r="H11" s="30"/>
    </row>
    <row r="12" spans="1:8" ht="18.75" x14ac:dyDescent="0.3">
      <c r="A12" s="5"/>
      <c r="D12" s="31"/>
      <c r="H12" s="31"/>
    </row>
    <row r="13" spans="1:8" ht="18.75" x14ac:dyDescent="0.3">
      <c r="A13" s="5"/>
      <c r="D13" s="31"/>
      <c r="H13" s="31"/>
    </row>
    <row r="14" spans="1:8" ht="18.75" x14ac:dyDescent="0.3">
      <c r="A14" s="5"/>
      <c r="D14" s="31"/>
      <c r="H14" s="31"/>
    </row>
    <row r="15" spans="1:8" ht="18.75" x14ac:dyDescent="0.3">
      <c r="A15" s="5"/>
      <c r="D15" s="31"/>
      <c r="H15" s="31"/>
    </row>
    <row r="16" spans="1:8" ht="18.75" x14ac:dyDescent="0.3">
      <c r="A16" s="5"/>
      <c r="D16" s="31"/>
      <c r="H16" s="31"/>
    </row>
    <row r="18" spans="1:8" ht="19.5" thickBot="1" x14ac:dyDescent="0.35">
      <c r="A18" s="5"/>
      <c r="D18" s="23"/>
      <c r="E18" s="27"/>
      <c r="H18" s="23"/>
    </row>
    <row r="19" spans="1:8" ht="18.75" x14ac:dyDescent="0.3">
      <c r="D19" s="4">
        <f>SUM(D7:D18)</f>
        <v>5250</v>
      </c>
      <c r="H19" s="33">
        <f>SUM(H7:H18)</f>
        <v>838</v>
      </c>
    </row>
    <row r="20" spans="1:8" ht="18.75" x14ac:dyDescent="0.3">
      <c r="A20" s="5"/>
      <c r="C20" s="3"/>
      <c r="D20" s="4"/>
      <c r="H20" s="4"/>
    </row>
    <row r="21" spans="1:8" ht="15.75" thickBot="1" x14ac:dyDescent="0.3">
      <c r="D21" s="7"/>
      <c r="H21" s="7"/>
    </row>
    <row r="23" spans="1:8" ht="18.75" x14ac:dyDescent="0.3">
      <c r="C23" t="s">
        <v>4</v>
      </c>
      <c r="D23" s="4">
        <f>D3-D19</f>
        <v>3675</v>
      </c>
      <c r="G23" t="s">
        <v>5</v>
      </c>
      <c r="H23" s="4">
        <f>H3-H19</f>
        <v>587</v>
      </c>
    </row>
    <row r="26" spans="1:8" ht="15.75" x14ac:dyDescent="0.25">
      <c r="A26" t="s">
        <v>6</v>
      </c>
      <c r="C26" s="8">
        <f>D23</f>
        <v>3675</v>
      </c>
      <c r="E26" t="s">
        <v>10</v>
      </c>
      <c r="H26" s="6">
        <f>C35</f>
        <v>3052.3</v>
      </c>
    </row>
    <row r="28" spans="1:8" ht="15.75" x14ac:dyDescent="0.25">
      <c r="A28" t="s">
        <v>5</v>
      </c>
      <c r="B28" s="9" t="s">
        <v>7</v>
      </c>
      <c r="C28" s="8">
        <f>H23</f>
        <v>587</v>
      </c>
      <c r="E28" s="13" t="s">
        <v>11</v>
      </c>
      <c r="F28" s="9" t="s">
        <v>12</v>
      </c>
      <c r="G28" s="15" t="s">
        <v>17</v>
      </c>
      <c r="H28" s="3">
        <f>-(F29*0.007)</f>
        <v>-52.5</v>
      </c>
    </row>
    <row r="29" spans="1:8" x14ac:dyDescent="0.25">
      <c r="F29" s="21">
        <f>D3-H3</f>
        <v>7500</v>
      </c>
    </row>
    <row r="30" spans="1:8" ht="16.5" thickBot="1" x14ac:dyDescent="0.3">
      <c r="A30" t="s">
        <v>8</v>
      </c>
      <c r="B30" s="9" t="s">
        <v>7</v>
      </c>
      <c r="C30" s="8">
        <f>D3*0.004</f>
        <v>35.700000000000003</v>
      </c>
      <c r="F30" s="9" t="s">
        <v>13</v>
      </c>
      <c r="G30" s="16">
        <v>0.35</v>
      </c>
      <c r="H30" s="17">
        <f>-(F31*0.35)</f>
        <v>-1068.3050000000001</v>
      </c>
    </row>
    <row r="31" spans="1:8" x14ac:dyDescent="0.25">
      <c r="F31" s="21">
        <f>H26</f>
        <v>3052.3</v>
      </c>
    </row>
    <row r="32" spans="1:8" ht="15.75" x14ac:dyDescent="0.25">
      <c r="A32" t="s">
        <v>9</v>
      </c>
      <c r="B32" s="9" t="s">
        <v>7</v>
      </c>
      <c r="C32" s="10"/>
      <c r="G32" s="13" t="s">
        <v>14</v>
      </c>
      <c r="H32" s="6">
        <f>H26+H28+H30</f>
        <v>1931.4950000000001</v>
      </c>
    </row>
    <row r="33" spans="1:8" ht="15.75" thickBot="1" x14ac:dyDescent="0.3">
      <c r="A33" s="16"/>
      <c r="B33" s="14"/>
      <c r="C33" s="7"/>
    </row>
    <row r="34" spans="1:8" x14ac:dyDescent="0.25">
      <c r="E34" t="s">
        <v>100</v>
      </c>
      <c r="H34" s="20">
        <f>H32*0.35</f>
        <v>676.02324999999996</v>
      </c>
    </row>
    <row r="35" spans="1:8" ht="15.75" x14ac:dyDescent="0.25">
      <c r="A35" t="s">
        <v>10</v>
      </c>
      <c r="C35" s="10">
        <f>C26-C28-C30-C32</f>
        <v>3052.3</v>
      </c>
      <c r="H35" s="18"/>
    </row>
    <row r="36" spans="1:8" x14ac:dyDescent="0.25">
      <c r="H36" s="3"/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89AC7-CAB2-4997-9504-B02F98177586}">
  <dimension ref="A1:H36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346</v>
      </c>
    </row>
    <row r="3" spans="1:8" ht="21" x14ac:dyDescent="0.35">
      <c r="A3" s="2" t="s">
        <v>1</v>
      </c>
      <c r="D3" s="11">
        <v>97699</v>
      </c>
      <c r="F3" s="12" t="s">
        <v>3</v>
      </c>
      <c r="H3" s="11">
        <v>15599</v>
      </c>
    </row>
    <row r="4" spans="1:8" x14ac:dyDescent="0.25">
      <c r="A4" s="13" t="s">
        <v>29</v>
      </c>
      <c r="C4" s="28">
        <v>451</v>
      </c>
    </row>
    <row r="5" spans="1:8" ht="21" x14ac:dyDescent="0.35">
      <c r="A5" s="2" t="s">
        <v>2</v>
      </c>
    </row>
    <row r="7" spans="1:8" ht="18.75" x14ac:dyDescent="0.3">
      <c r="A7" s="5"/>
      <c r="D7" s="4"/>
      <c r="E7" s="27"/>
      <c r="H7" s="4"/>
    </row>
    <row r="8" spans="1:8" ht="18.75" x14ac:dyDescent="0.3">
      <c r="A8" s="5" t="s">
        <v>347</v>
      </c>
      <c r="D8" s="4">
        <v>28530</v>
      </c>
      <c r="E8" s="27"/>
      <c r="H8" s="4"/>
    </row>
    <row r="9" spans="1:8" ht="18.75" x14ac:dyDescent="0.3">
      <c r="A9" s="5" t="s">
        <v>348</v>
      </c>
      <c r="D9" s="4">
        <v>32558</v>
      </c>
      <c r="E9" s="27"/>
      <c r="H9" s="4">
        <v>5198</v>
      </c>
    </row>
    <row r="10" spans="1:8" ht="18.75" x14ac:dyDescent="0.3">
      <c r="A10" s="5"/>
      <c r="D10" s="4"/>
      <c r="E10" s="27"/>
      <c r="H10" s="4"/>
    </row>
    <row r="11" spans="1:8" ht="18.75" x14ac:dyDescent="0.3">
      <c r="A11" s="5"/>
      <c r="D11" s="30"/>
      <c r="E11" s="27"/>
      <c r="H11" s="30"/>
    </row>
    <row r="12" spans="1:8" ht="18.75" x14ac:dyDescent="0.3">
      <c r="A12" s="5"/>
      <c r="D12" s="31"/>
      <c r="H12" s="31"/>
    </row>
    <row r="13" spans="1:8" ht="18.75" x14ac:dyDescent="0.3">
      <c r="A13" s="5"/>
      <c r="D13" s="31"/>
      <c r="H13" s="31"/>
    </row>
    <row r="14" spans="1:8" ht="18.75" x14ac:dyDescent="0.3">
      <c r="A14" s="5"/>
      <c r="D14" s="31"/>
      <c r="H14" s="31"/>
    </row>
    <row r="15" spans="1:8" ht="18.75" x14ac:dyDescent="0.3">
      <c r="A15" s="5"/>
      <c r="D15" s="31"/>
      <c r="H15" s="31"/>
    </row>
    <row r="16" spans="1:8" ht="18.75" x14ac:dyDescent="0.3">
      <c r="A16" s="5"/>
      <c r="D16" s="31"/>
      <c r="H16" s="31"/>
    </row>
    <row r="18" spans="1:8" ht="19.5" thickBot="1" x14ac:dyDescent="0.35">
      <c r="A18" s="5"/>
      <c r="D18" s="23"/>
      <c r="E18" s="27"/>
      <c r="H18" s="23"/>
    </row>
    <row r="19" spans="1:8" ht="18.75" x14ac:dyDescent="0.3">
      <c r="D19" s="4">
        <f>SUM(D7:D18)</f>
        <v>61088</v>
      </c>
      <c r="H19" s="33">
        <f>SUM(H7:H18)</f>
        <v>5198</v>
      </c>
    </row>
    <row r="20" spans="1:8" ht="18.75" x14ac:dyDescent="0.3">
      <c r="A20" s="5"/>
      <c r="C20" s="3"/>
      <c r="D20" s="4"/>
      <c r="H20" s="4"/>
    </row>
    <row r="21" spans="1:8" ht="15.75" thickBot="1" x14ac:dyDescent="0.3">
      <c r="D21" s="7"/>
      <c r="H21" s="7"/>
    </row>
    <row r="23" spans="1:8" ht="18.75" x14ac:dyDescent="0.3">
      <c r="C23" t="s">
        <v>4</v>
      </c>
      <c r="D23" s="4">
        <f>D3-D19</f>
        <v>36611</v>
      </c>
      <c r="G23" t="s">
        <v>5</v>
      </c>
      <c r="H23" s="4">
        <f>H3-H19</f>
        <v>10401</v>
      </c>
    </row>
    <row r="26" spans="1:8" ht="15.75" x14ac:dyDescent="0.25">
      <c r="A26" t="s">
        <v>6</v>
      </c>
      <c r="C26" s="8">
        <f>D23</f>
        <v>36611</v>
      </c>
      <c r="E26" t="s">
        <v>10</v>
      </c>
      <c r="H26" s="6">
        <f>C35</f>
        <v>25819.204000000002</v>
      </c>
    </row>
    <row r="28" spans="1:8" ht="15.75" x14ac:dyDescent="0.25">
      <c r="A28" t="s">
        <v>5</v>
      </c>
      <c r="B28" s="9" t="s">
        <v>7</v>
      </c>
      <c r="C28" s="8">
        <f>H23</f>
        <v>10401</v>
      </c>
      <c r="E28" s="13" t="s">
        <v>11</v>
      </c>
      <c r="F28" s="9" t="s">
        <v>12</v>
      </c>
      <c r="G28" s="15" t="s">
        <v>17</v>
      </c>
      <c r="H28" s="3">
        <f>-(F29*0.007)</f>
        <v>-574.70000000000005</v>
      </c>
    </row>
    <row r="29" spans="1:8" x14ac:dyDescent="0.25">
      <c r="F29" s="21">
        <f>D3-H3</f>
        <v>82100</v>
      </c>
    </row>
    <row r="30" spans="1:8" ht="16.5" thickBot="1" x14ac:dyDescent="0.3">
      <c r="A30" t="s">
        <v>8</v>
      </c>
      <c r="B30" s="9" t="s">
        <v>7</v>
      </c>
      <c r="C30" s="8">
        <f>D3*0.004</f>
        <v>390.79599999999999</v>
      </c>
      <c r="F30" s="9" t="s">
        <v>13</v>
      </c>
      <c r="G30" s="16">
        <v>0.35</v>
      </c>
      <c r="H30" s="17">
        <f>-(F31*0.35)</f>
        <v>-9036.7214000000004</v>
      </c>
    </row>
    <row r="31" spans="1:8" x14ac:dyDescent="0.25">
      <c r="F31" s="21">
        <f>H26</f>
        <v>25819.204000000002</v>
      </c>
    </row>
    <row r="32" spans="1:8" ht="15.75" x14ac:dyDescent="0.25">
      <c r="A32" t="s">
        <v>9</v>
      </c>
      <c r="B32" s="9" t="s">
        <v>7</v>
      </c>
      <c r="C32" s="10"/>
      <c r="G32" s="13" t="s">
        <v>14</v>
      </c>
      <c r="H32" s="6">
        <f>H26+H28+H30</f>
        <v>16207.7826</v>
      </c>
    </row>
    <row r="33" spans="1:8" ht="15.75" thickBot="1" x14ac:dyDescent="0.3">
      <c r="A33" s="16"/>
      <c r="B33" s="14"/>
      <c r="C33" s="7"/>
    </row>
    <row r="34" spans="1:8" x14ac:dyDescent="0.25">
      <c r="E34" t="s">
        <v>100</v>
      </c>
      <c r="H34" s="20">
        <f>H32*0.35</f>
        <v>5672.7239099999997</v>
      </c>
    </row>
    <row r="35" spans="1:8" ht="15.75" x14ac:dyDescent="0.25">
      <c r="A35" t="s">
        <v>10</v>
      </c>
      <c r="C35" s="10">
        <f>C26-C28-C30-C32</f>
        <v>25819.204000000002</v>
      </c>
      <c r="H35" s="18"/>
    </row>
    <row r="36" spans="1:8" x14ac:dyDescent="0.25">
      <c r="H36" s="3"/>
    </row>
  </sheetData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3A971-22F4-4ABE-A3EE-05E3DB102831}">
  <dimension ref="A1:H36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349</v>
      </c>
    </row>
    <row r="3" spans="1:8" ht="21" x14ac:dyDescent="0.35">
      <c r="A3" s="2" t="s">
        <v>1</v>
      </c>
      <c r="D3" s="11">
        <v>714000</v>
      </c>
      <c r="F3" s="12" t="s">
        <v>3</v>
      </c>
      <c r="H3" s="11">
        <v>114000</v>
      </c>
    </row>
    <row r="4" spans="1:8" x14ac:dyDescent="0.25">
      <c r="A4" s="13" t="s">
        <v>29</v>
      </c>
      <c r="C4" s="28">
        <v>452</v>
      </c>
    </row>
    <row r="5" spans="1:8" ht="21" x14ac:dyDescent="0.35">
      <c r="A5" s="2" t="s">
        <v>2</v>
      </c>
    </row>
    <row r="7" spans="1:8" ht="18.75" x14ac:dyDescent="0.3">
      <c r="A7" s="5"/>
      <c r="D7" s="4"/>
      <c r="E7" s="27"/>
      <c r="H7" s="4"/>
    </row>
    <row r="8" spans="1:8" ht="18.75" x14ac:dyDescent="0.3">
      <c r="A8" s="5" t="s">
        <v>310</v>
      </c>
      <c r="D8" s="4">
        <v>59815</v>
      </c>
      <c r="E8" s="27"/>
      <c r="H8" s="4">
        <v>9550</v>
      </c>
    </row>
    <row r="9" spans="1:8" ht="18.75" x14ac:dyDescent="0.3">
      <c r="A9" s="5" t="s">
        <v>350</v>
      </c>
      <c r="D9" s="4">
        <v>160000</v>
      </c>
      <c r="E9" s="27"/>
      <c r="H9" s="4">
        <v>0</v>
      </c>
    </row>
    <row r="10" spans="1:8" ht="18.75" x14ac:dyDescent="0.3">
      <c r="A10" s="5"/>
      <c r="D10" s="4"/>
      <c r="E10" s="27"/>
      <c r="H10" s="4"/>
    </row>
    <row r="11" spans="1:8" ht="18.75" x14ac:dyDescent="0.3">
      <c r="A11" s="5"/>
      <c r="D11" s="30"/>
      <c r="E11" s="27"/>
      <c r="H11" s="30"/>
    </row>
    <row r="12" spans="1:8" ht="18.75" x14ac:dyDescent="0.3">
      <c r="A12" s="5"/>
      <c r="D12" s="31"/>
      <c r="H12" s="31"/>
    </row>
    <row r="13" spans="1:8" ht="18.75" x14ac:dyDescent="0.3">
      <c r="A13" s="5"/>
      <c r="D13" s="31"/>
      <c r="H13" s="31"/>
    </row>
    <row r="14" spans="1:8" ht="18.75" x14ac:dyDescent="0.3">
      <c r="A14" s="5"/>
      <c r="D14" s="31"/>
      <c r="H14" s="31"/>
    </row>
    <row r="15" spans="1:8" ht="18.75" x14ac:dyDescent="0.3">
      <c r="A15" s="5"/>
      <c r="D15" s="31"/>
      <c r="H15" s="31"/>
    </row>
    <row r="16" spans="1:8" ht="18.75" x14ac:dyDescent="0.3">
      <c r="A16" s="5"/>
      <c r="D16" s="31"/>
      <c r="H16" s="31"/>
    </row>
    <row r="18" spans="1:8" ht="19.5" thickBot="1" x14ac:dyDescent="0.35">
      <c r="A18" s="5"/>
      <c r="D18" s="23"/>
      <c r="E18" s="27"/>
      <c r="H18" s="23"/>
    </row>
    <row r="19" spans="1:8" ht="18.75" x14ac:dyDescent="0.3">
      <c r="D19" s="4">
        <f>SUM(D7:D18)</f>
        <v>219815</v>
      </c>
      <c r="H19" s="33">
        <f>SUM(H7:H18)</f>
        <v>9550</v>
      </c>
    </row>
    <row r="20" spans="1:8" ht="18.75" x14ac:dyDescent="0.3">
      <c r="A20" s="5"/>
      <c r="C20" s="3"/>
      <c r="D20" s="4"/>
      <c r="H20" s="4"/>
    </row>
    <row r="21" spans="1:8" ht="15.75" thickBot="1" x14ac:dyDescent="0.3">
      <c r="D21" s="7"/>
      <c r="H21" s="7"/>
    </row>
    <row r="23" spans="1:8" ht="18.75" x14ac:dyDescent="0.3">
      <c r="C23" t="s">
        <v>4</v>
      </c>
      <c r="D23" s="4">
        <f>D3-D19</f>
        <v>494185</v>
      </c>
      <c r="G23" t="s">
        <v>5</v>
      </c>
      <c r="H23" s="4">
        <f>H3-H19</f>
        <v>104450</v>
      </c>
    </row>
    <row r="26" spans="1:8" ht="15.75" x14ac:dyDescent="0.25">
      <c r="A26" t="s">
        <v>6</v>
      </c>
      <c r="C26" s="8">
        <f>D23</f>
        <v>494185</v>
      </c>
      <c r="E26" t="s">
        <v>10</v>
      </c>
      <c r="H26" s="6">
        <f>C35</f>
        <v>386879</v>
      </c>
    </row>
    <row r="28" spans="1:8" ht="15.75" x14ac:dyDescent="0.25">
      <c r="A28" t="s">
        <v>5</v>
      </c>
      <c r="B28" s="9" t="s">
        <v>7</v>
      </c>
      <c r="C28" s="8">
        <f>H23</f>
        <v>104450</v>
      </c>
      <c r="E28" s="13" t="s">
        <v>11</v>
      </c>
      <c r="F28" s="9" t="s">
        <v>12</v>
      </c>
      <c r="G28" s="15" t="s">
        <v>17</v>
      </c>
      <c r="H28" s="3">
        <f>-(F29*0.007)</f>
        <v>-4200</v>
      </c>
    </row>
    <row r="29" spans="1:8" x14ac:dyDescent="0.25">
      <c r="F29" s="21">
        <f>D3-H3</f>
        <v>600000</v>
      </c>
    </row>
    <row r="30" spans="1:8" ht="16.5" thickBot="1" x14ac:dyDescent="0.3">
      <c r="A30" t="s">
        <v>8</v>
      </c>
      <c r="B30" s="9" t="s">
        <v>7</v>
      </c>
      <c r="C30" s="8">
        <f>D3*0.004</f>
        <v>2856</v>
      </c>
      <c r="F30" s="9" t="s">
        <v>13</v>
      </c>
      <c r="G30" s="16">
        <v>0.35</v>
      </c>
      <c r="H30" s="17">
        <f>-(F31*0.35)</f>
        <v>-135407.65</v>
      </c>
    </row>
    <row r="31" spans="1:8" x14ac:dyDescent="0.25">
      <c r="F31" s="21">
        <f>H26</f>
        <v>386879</v>
      </c>
    </row>
    <row r="32" spans="1:8" ht="15.75" x14ac:dyDescent="0.25">
      <c r="A32" t="s">
        <v>9</v>
      </c>
      <c r="B32" s="9" t="s">
        <v>7</v>
      </c>
      <c r="C32" s="10"/>
      <c r="G32" s="13" t="s">
        <v>14</v>
      </c>
      <c r="H32" s="6">
        <f>H26+H28+H30</f>
        <v>247271.35</v>
      </c>
    </row>
    <row r="33" spans="1:8" ht="15.75" thickBot="1" x14ac:dyDescent="0.3">
      <c r="A33" s="16"/>
      <c r="B33" s="14"/>
      <c r="C33" s="7"/>
    </row>
    <row r="34" spans="1:8" x14ac:dyDescent="0.25">
      <c r="E34" t="s">
        <v>100</v>
      </c>
      <c r="H34" s="20">
        <f>H32*0.35</f>
        <v>86544.972500000003</v>
      </c>
    </row>
    <row r="35" spans="1:8" ht="15.75" x14ac:dyDescent="0.25">
      <c r="A35" t="s">
        <v>10</v>
      </c>
      <c r="C35" s="10">
        <f>C26-C28-C30-C32</f>
        <v>386879</v>
      </c>
      <c r="H35" s="18"/>
    </row>
    <row r="36" spans="1:8" x14ac:dyDescent="0.25">
      <c r="H36" s="3"/>
    </row>
  </sheetData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D7383-51B5-4214-9E77-A47B2083A2A1}">
  <dimension ref="A1:H36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351</v>
      </c>
    </row>
    <row r="3" spans="1:8" ht="21" x14ac:dyDescent="0.35">
      <c r="A3" s="2" t="s">
        <v>1</v>
      </c>
      <c r="D3" s="11">
        <v>157675</v>
      </c>
      <c r="F3" s="12" t="s">
        <v>3</v>
      </c>
      <c r="H3" s="11">
        <v>25175</v>
      </c>
    </row>
    <row r="4" spans="1:8" x14ac:dyDescent="0.25">
      <c r="A4" s="13" t="s">
        <v>29</v>
      </c>
      <c r="C4" s="28">
        <v>454</v>
      </c>
    </row>
    <row r="5" spans="1:8" ht="21" x14ac:dyDescent="0.35">
      <c r="A5" s="2" t="s">
        <v>2</v>
      </c>
    </row>
    <row r="7" spans="1:8" ht="18.75" x14ac:dyDescent="0.3">
      <c r="A7" s="5"/>
      <c r="D7" s="4"/>
      <c r="E7" s="27"/>
      <c r="H7" s="4"/>
    </row>
    <row r="8" spans="1:8" ht="18.75" x14ac:dyDescent="0.3">
      <c r="A8" s="5" t="s">
        <v>352</v>
      </c>
      <c r="D8" s="4">
        <v>120376</v>
      </c>
      <c r="E8" s="27"/>
      <c r="H8" s="4">
        <v>19220</v>
      </c>
    </row>
    <row r="9" spans="1:8" ht="18.75" x14ac:dyDescent="0.3">
      <c r="A9" s="5"/>
      <c r="D9" s="4"/>
      <c r="E9" s="27"/>
      <c r="H9" s="4">
        <v>0</v>
      </c>
    </row>
    <row r="10" spans="1:8" ht="18.75" x14ac:dyDescent="0.3">
      <c r="A10" s="5"/>
      <c r="D10" s="4"/>
      <c r="E10" s="27"/>
      <c r="H10" s="4"/>
    </row>
    <row r="11" spans="1:8" ht="18.75" x14ac:dyDescent="0.3">
      <c r="A11" s="5"/>
      <c r="D11" s="30"/>
      <c r="E11" s="27"/>
      <c r="H11" s="30"/>
    </row>
    <row r="12" spans="1:8" ht="18.75" x14ac:dyDescent="0.3">
      <c r="A12" s="5"/>
      <c r="D12" s="31"/>
      <c r="H12" s="31"/>
    </row>
    <row r="13" spans="1:8" ht="18.75" x14ac:dyDescent="0.3">
      <c r="A13" s="5"/>
      <c r="D13" s="31"/>
      <c r="H13" s="31"/>
    </row>
    <row r="14" spans="1:8" ht="18.75" x14ac:dyDescent="0.3">
      <c r="A14" s="5"/>
      <c r="D14" s="31"/>
      <c r="H14" s="31"/>
    </row>
    <row r="15" spans="1:8" ht="18.75" x14ac:dyDescent="0.3">
      <c r="A15" s="5"/>
      <c r="D15" s="31"/>
      <c r="H15" s="31"/>
    </row>
    <row r="16" spans="1:8" ht="18.75" x14ac:dyDescent="0.3">
      <c r="A16" s="5"/>
      <c r="D16" s="31"/>
      <c r="H16" s="31"/>
    </row>
    <row r="18" spans="1:8" ht="19.5" thickBot="1" x14ac:dyDescent="0.35">
      <c r="A18" s="5"/>
      <c r="D18" s="23"/>
      <c r="E18" s="27"/>
      <c r="H18" s="23"/>
    </row>
    <row r="19" spans="1:8" ht="18.75" x14ac:dyDescent="0.3">
      <c r="D19" s="4">
        <f>SUM(D7:D18)</f>
        <v>120376</v>
      </c>
      <c r="H19" s="33">
        <f>SUM(H7:H18)</f>
        <v>19220</v>
      </c>
    </row>
    <row r="20" spans="1:8" ht="18.75" x14ac:dyDescent="0.3">
      <c r="A20" s="5"/>
      <c r="C20" s="3"/>
      <c r="D20" s="4"/>
      <c r="H20" s="4"/>
    </row>
    <row r="21" spans="1:8" ht="15.75" thickBot="1" x14ac:dyDescent="0.3">
      <c r="D21" s="7"/>
      <c r="H21" s="7"/>
    </row>
    <row r="23" spans="1:8" ht="18.75" x14ac:dyDescent="0.3">
      <c r="C23" t="s">
        <v>4</v>
      </c>
      <c r="D23" s="4">
        <f>D3-D19</f>
        <v>37299</v>
      </c>
      <c r="G23" t="s">
        <v>5</v>
      </c>
      <c r="H23" s="4">
        <f>H3-H19</f>
        <v>5955</v>
      </c>
    </row>
    <row r="26" spans="1:8" ht="15.75" x14ac:dyDescent="0.25">
      <c r="A26" t="s">
        <v>6</v>
      </c>
      <c r="C26" s="8">
        <f>D23</f>
        <v>37299</v>
      </c>
      <c r="E26" t="s">
        <v>10</v>
      </c>
      <c r="H26" s="6">
        <f>C35</f>
        <v>30713.3</v>
      </c>
    </row>
    <row r="28" spans="1:8" ht="15.75" x14ac:dyDescent="0.25">
      <c r="A28" t="s">
        <v>5</v>
      </c>
      <c r="B28" s="9" t="s">
        <v>7</v>
      </c>
      <c r="C28" s="8">
        <f>H23</f>
        <v>5955</v>
      </c>
      <c r="E28" s="13" t="s">
        <v>11</v>
      </c>
      <c r="F28" s="9" t="s">
        <v>12</v>
      </c>
      <c r="G28" s="15" t="s">
        <v>17</v>
      </c>
      <c r="H28" s="3">
        <f>-(F29*0.007)</f>
        <v>-927.5</v>
      </c>
    </row>
    <row r="29" spans="1:8" x14ac:dyDescent="0.25">
      <c r="F29" s="21">
        <f>D3-H3</f>
        <v>132500</v>
      </c>
    </row>
    <row r="30" spans="1:8" ht="16.5" thickBot="1" x14ac:dyDescent="0.3">
      <c r="A30" t="s">
        <v>8</v>
      </c>
      <c r="B30" s="9" t="s">
        <v>7</v>
      </c>
      <c r="C30" s="8">
        <f>D3*0.004</f>
        <v>630.70000000000005</v>
      </c>
      <c r="F30" s="9" t="s">
        <v>13</v>
      </c>
      <c r="G30" s="16">
        <v>0.35</v>
      </c>
      <c r="H30" s="17">
        <f>-(F31*0.35)</f>
        <v>-10749.654999999999</v>
      </c>
    </row>
    <row r="31" spans="1:8" x14ac:dyDescent="0.25">
      <c r="F31" s="21">
        <f>H26</f>
        <v>30713.3</v>
      </c>
    </row>
    <row r="32" spans="1:8" ht="15.75" x14ac:dyDescent="0.25">
      <c r="A32" t="s">
        <v>9</v>
      </c>
      <c r="B32" s="9" t="s">
        <v>7</v>
      </c>
      <c r="C32" s="10"/>
      <c r="G32" s="13" t="s">
        <v>14</v>
      </c>
      <c r="H32" s="6">
        <f>H26+H28+H30</f>
        <v>19036.145</v>
      </c>
    </row>
    <row r="33" spans="1:8" ht="15.75" thickBot="1" x14ac:dyDescent="0.3">
      <c r="A33" s="16"/>
      <c r="B33" s="14"/>
      <c r="C33" s="7"/>
    </row>
    <row r="34" spans="1:8" x14ac:dyDescent="0.25">
      <c r="E34" t="s">
        <v>100</v>
      </c>
      <c r="H34" s="20">
        <f>H32*0.35</f>
        <v>6662.6507499999998</v>
      </c>
    </row>
    <row r="35" spans="1:8" ht="15.75" x14ac:dyDescent="0.25">
      <c r="A35" t="s">
        <v>10</v>
      </c>
      <c r="C35" s="10">
        <f>C26-C28-C30-C32</f>
        <v>30713.3</v>
      </c>
      <c r="H35" s="18"/>
    </row>
    <row r="36" spans="1:8" x14ac:dyDescent="0.25">
      <c r="H36" s="3"/>
    </row>
  </sheetData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068F0-8330-42F6-BA85-8892F2ADA85E}">
  <dimension ref="A1:H36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353</v>
      </c>
    </row>
    <row r="3" spans="1:8" ht="21" x14ac:dyDescent="0.35">
      <c r="A3" s="2" t="s">
        <v>1</v>
      </c>
      <c r="D3" s="11">
        <v>910987</v>
      </c>
      <c r="F3" s="12" t="s">
        <v>3</v>
      </c>
      <c r="H3" s="11">
        <v>146300</v>
      </c>
    </row>
    <row r="4" spans="1:8" x14ac:dyDescent="0.25">
      <c r="A4" s="13" t="s">
        <v>29</v>
      </c>
      <c r="C4" s="28">
        <v>456</v>
      </c>
    </row>
    <row r="5" spans="1:8" ht="21" x14ac:dyDescent="0.35">
      <c r="A5" s="2" t="s">
        <v>2</v>
      </c>
    </row>
    <row r="7" spans="1:8" ht="18.75" x14ac:dyDescent="0.3">
      <c r="A7" s="5"/>
      <c r="D7" s="4"/>
      <c r="E7" s="27"/>
      <c r="H7" s="4"/>
    </row>
    <row r="8" spans="1:8" ht="18.75" x14ac:dyDescent="0.3">
      <c r="A8" s="5" t="s">
        <v>354</v>
      </c>
      <c r="D8" s="4">
        <v>314790</v>
      </c>
      <c r="E8" s="27"/>
      <c r="H8" s="4">
        <v>50261</v>
      </c>
    </row>
    <row r="9" spans="1:8" ht="18.75" x14ac:dyDescent="0.3">
      <c r="A9" s="5" t="s">
        <v>107</v>
      </c>
      <c r="D9" s="4">
        <v>80000</v>
      </c>
      <c r="E9" s="27"/>
      <c r="H9" s="4">
        <v>0</v>
      </c>
    </row>
    <row r="10" spans="1:8" ht="18.75" x14ac:dyDescent="0.3">
      <c r="A10" s="5" t="s">
        <v>355</v>
      </c>
      <c r="D10" s="4">
        <v>14280</v>
      </c>
      <c r="E10" s="27"/>
      <c r="H10" s="4">
        <v>2280</v>
      </c>
    </row>
    <row r="11" spans="1:8" ht="18.75" x14ac:dyDescent="0.3">
      <c r="A11" s="5"/>
      <c r="D11" s="30"/>
      <c r="E11" s="27"/>
      <c r="H11" s="30"/>
    </row>
    <row r="12" spans="1:8" ht="18.75" x14ac:dyDescent="0.3">
      <c r="A12" s="5"/>
      <c r="D12" s="31"/>
      <c r="H12" s="31"/>
    </row>
    <row r="13" spans="1:8" ht="18.75" x14ac:dyDescent="0.3">
      <c r="A13" s="5"/>
      <c r="D13" s="31"/>
      <c r="H13" s="31"/>
    </row>
    <row r="14" spans="1:8" ht="18.75" x14ac:dyDescent="0.3">
      <c r="A14" s="5"/>
      <c r="D14" s="31"/>
      <c r="H14" s="31"/>
    </row>
    <row r="15" spans="1:8" ht="18.75" x14ac:dyDescent="0.3">
      <c r="A15" s="5"/>
      <c r="D15" s="31"/>
      <c r="H15" s="31"/>
    </row>
    <row r="16" spans="1:8" ht="18.75" x14ac:dyDescent="0.3">
      <c r="A16" s="5"/>
      <c r="D16" s="31"/>
      <c r="H16" s="31"/>
    </row>
    <row r="18" spans="1:8" ht="19.5" thickBot="1" x14ac:dyDescent="0.35">
      <c r="A18" s="5"/>
      <c r="D18" s="23"/>
      <c r="E18" s="27"/>
      <c r="H18" s="23"/>
    </row>
    <row r="19" spans="1:8" ht="18.75" x14ac:dyDescent="0.3">
      <c r="D19" s="4">
        <f>SUM(D7:D18)</f>
        <v>409070</v>
      </c>
      <c r="H19" s="33">
        <f>SUM(H7:H18)</f>
        <v>52541</v>
      </c>
    </row>
    <row r="20" spans="1:8" ht="18.75" x14ac:dyDescent="0.3">
      <c r="A20" s="5"/>
      <c r="C20" s="3"/>
      <c r="D20" s="4"/>
      <c r="H20" s="4"/>
    </row>
    <row r="21" spans="1:8" ht="15.75" thickBot="1" x14ac:dyDescent="0.3">
      <c r="D21" s="7"/>
      <c r="H21" s="7"/>
    </row>
    <row r="23" spans="1:8" ht="18.75" x14ac:dyDescent="0.3">
      <c r="C23" t="s">
        <v>4</v>
      </c>
      <c r="D23" s="4">
        <f>D3-D19</f>
        <v>501917</v>
      </c>
      <c r="G23" t="s">
        <v>5</v>
      </c>
      <c r="H23" s="4">
        <f>H3-H19</f>
        <v>93759</v>
      </c>
    </row>
    <row r="26" spans="1:8" ht="15.75" x14ac:dyDescent="0.25">
      <c r="A26" t="s">
        <v>6</v>
      </c>
      <c r="C26" s="8">
        <f>D23</f>
        <v>501917</v>
      </c>
      <c r="E26" t="s">
        <v>10</v>
      </c>
      <c r="H26" s="6">
        <f>C35</f>
        <v>404514.05200000003</v>
      </c>
    </row>
    <row r="28" spans="1:8" ht="15.75" x14ac:dyDescent="0.25">
      <c r="A28" t="s">
        <v>5</v>
      </c>
      <c r="B28" s="9" t="s">
        <v>7</v>
      </c>
      <c r="C28" s="8">
        <f>H23</f>
        <v>93759</v>
      </c>
      <c r="E28" s="13" t="s">
        <v>11</v>
      </c>
      <c r="F28" s="9" t="s">
        <v>12</v>
      </c>
      <c r="G28" s="15" t="s">
        <v>17</v>
      </c>
      <c r="H28" s="3">
        <f>-(F29*0.007)</f>
        <v>-5352.8090000000002</v>
      </c>
    </row>
    <row r="29" spans="1:8" x14ac:dyDescent="0.25">
      <c r="F29" s="21">
        <f>D3-H3</f>
        <v>764687</v>
      </c>
    </row>
    <row r="30" spans="1:8" ht="16.5" thickBot="1" x14ac:dyDescent="0.3">
      <c r="A30" t="s">
        <v>8</v>
      </c>
      <c r="B30" s="9" t="s">
        <v>7</v>
      </c>
      <c r="C30" s="8">
        <f>D3*0.004</f>
        <v>3643.9479999999999</v>
      </c>
      <c r="F30" s="9" t="s">
        <v>13</v>
      </c>
      <c r="G30" s="16">
        <v>0.35</v>
      </c>
      <c r="H30" s="17">
        <f>-(F31*0.35)</f>
        <v>-141579.91819999999</v>
      </c>
    </row>
    <row r="31" spans="1:8" x14ac:dyDescent="0.25">
      <c r="F31" s="21">
        <f>H26</f>
        <v>404514.05200000003</v>
      </c>
    </row>
    <row r="32" spans="1:8" ht="15.75" x14ac:dyDescent="0.25">
      <c r="A32" t="s">
        <v>9</v>
      </c>
      <c r="B32" s="9" t="s">
        <v>7</v>
      </c>
      <c r="C32" s="10"/>
      <c r="G32" s="13" t="s">
        <v>14</v>
      </c>
      <c r="H32" s="6">
        <f>H26+H28+H30</f>
        <v>257581.32480000003</v>
      </c>
    </row>
    <row r="33" spans="1:8" ht="15.75" thickBot="1" x14ac:dyDescent="0.3">
      <c r="A33" s="16"/>
      <c r="B33" s="14"/>
      <c r="C33" s="7"/>
    </row>
    <row r="34" spans="1:8" x14ac:dyDescent="0.25">
      <c r="E34" t="s">
        <v>100</v>
      </c>
      <c r="H34" s="20">
        <f>H32*0.35</f>
        <v>90153.463680000001</v>
      </c>
    </row>
    <row r="35" spans="1:8" ht="15.75" x14ac:dyDescent="0.25">
      <c r="A35" t="s">
        <v>10</v>
      </c>
      <c r="C35" s="10">
        <f>C26-C28-C30-C32</f>
        <v>404514.05200000003</v>
      </c>
      <c r="H35" s="18"/>
    </row>
    <row r="36" spans="1:8" x14ac:dyDescent="0.25">
      <c r="H36" s="3"/>
    </row>
  </sheetData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A7A12-4455-4DCD-9019-7649F64F90A5}">
  <dimension ref="A1:H36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356</v>
      </c>
    </row>
    <row r="3" spans="1:8" ht="21" x14ac:dyDescent="0.35">
      <c r="A3" s="2" t="s">
        <v>1</v>
      </c>
      <c r="D3" s="11">
        <v>637602</v>
      </c>
      <c r="F3" s="12" t="s">
        <v>3</v>
      </c>
      <c r="H3" s="11">
        <v>101802</v>
      </c>
    </row>
    <row r="4" spans="1:8" x14ac:dyDescent="0.25">
      <c r="A4" s="13" t="s">
        <v>29</v>
      </c>
      <c r="C4" s="28">
        <v>459</v>
      </c>
    </row>
    <row r="5" spans="1:8" ht="21" x14ac:dyDescent="0.35">
      <c r="A5" s="2" t="s">
        <v>2</v>
      </c>
    </row>
    <row r="7" spans="1:8" ht="18.75" x14ac:dyDescent="0.3">
      <c r="A7" s="5"/>
      <c r="D7" s="4"/>
      <c r="E7" s="27"/>
      <c r="H7" s="4"/>
    </row>
    <row r="8" spans="1:8" ht="18.75" x14ac:dyDescent="0.3">
      <c r="A8" s="5" t="s">
        <v>358</v>
      </c>
      <c r="D8" s="4">
        <v>125036</v>
      </c>
      <c r="E8" s="27"/>
      <c r="H8" s="4">
        <v>19964</v>
      </c>
    </row>
    <row r="9" spans="1:8" ht="18.75" x14ac:dyDescent="0.3">
      <c r="A9" s="5" t="s">
        <v>357</v>
      </c>
      <c r="D9" s="4">
        <v>38746</v>
      </c>
      <c r="E9" s="27"/>
      <c r="H9" s="4">
        <v>6186</v>
      </c>
    </row>
    <row r="10" spans="1:8" ht="18.75" x14ac:dyDescent="0.3">
      <c r="A10" s="5" t="s">
        <v>359</v>
      </c>
      <c r="D10" s="4">
        <v>11167</v>
      </c>
      <c r="E10" s="27"/>
      <c r="H10" s="4">
        <v>1783</v>
      </c>
    </row>
    <row r="11" spans="1:8" ht="18.75" x14ac:dyDescent="0.3">
      <c r="A11" s="5" t="s">
        <v>209</v>
      </c>
      <c r="D11" s="30">
        <v>58174</v>
      </c>
      <c r="E11" s="27"/>
      <c r="H11" s="30">
        <v>9288</v>
      </c>
    </row>
    <row r="12" spans="1:8" ht="18.75" x14ac:dyDescent="0.3">
      <c r="A12" s="5" t="s">
        <v>360</v>
      </c>
      <c r="D12" s="31">
        <v>227918</v>
      </c>
      <c r="H12" s="31">
        <v>36390</v>
      </c>
    </row>
    <row r="13" spans="1:8" ht="18.75" x14ac:dyDescent="0.3">
      <c r="A13" s="5"/>
      <c r="D13" s="31"/>
      <c r="H13" s="31"/>
    </row>
    <row r="14" spans="1:8" ht="18.75" x14ac:dyDescent="0.3">
      <c r="A14" s="5"/>
      <c r="D14" s="31"/>
      <c r="H14" s="31"/>
    </row>
    <row r="15" spans="1:8" ht="18.75" x14ac:dyDescent="0.3">
      <c r="A15" s="5"/>
      <c r="D15" s="31"/>
      <c r="H15" s="31"/>
    </row>
    <row r="16" spans="1:8" ht="18.75" x14ac:dyDescent="0.3">
      <c r="A16" s="5"/>
      <c r="D16" s="31"/>
      <c r="H16" s="31"/>
    </row>
    <row r="18" spans="1:8" ht="19.5" thickBot="1" x14ac:dyDescent="0.35">
      <c r="A18" s="5"/>
      <c r="D18" s="23"/>
      <c r="E18" s="27"/>
      <c r="H18" s="23"/>
    </row>
    <row r="19" spans="1:8" ht="18.75" x14ac:dyDescent="0.3">
      <c r="D19" s="4">
        <f>SUM(D7:D18)</f>
        <v>461041</v>
      </c>
      <c r="H19" s="33">
        <f>SUM(H7:H18)</f>
        <v>73611</v>
      </c>
    </row>
    <row r="20" spans="1:8" ht="18.75" x14ac:dyDescent="0.3">
      <c r="A20" s="5"/>
      <c r="C20" s="3"/>
      <c r="D20" s="4"/>
      <c r="H20" s="4"/>
    </row>
    <row r="21" spans="1:8" ht="15.75" thickBot="1" x14ac:dyDescent="0.3">
      <c r="D21" s="7"/>
      <c r="H21" s="7"/>
    </row>
    <row r="23" spans="1:8" ht="18.75" x14ac:dyDescent="0.3">
      <c r="C23" t="s">
        <v>4</v>
      </c>
      <c r="D23" s="4">
        <f>D3-D19</f>
        <v>176561</v>
      </c>
      <c r="G23" t="s">
        <v>5</v>
      </c>
      <c r="H23" s="4">
        <f>H3-H19</f>
        <v>28191</v>
      </c>
    </row>
    <row r="26" spans="1:8" ht="15.75" x14ac:dyDescent="0.25">
      <c r="A26" t="s">
        <v>6</v>
      </c>
      <c r="C26" s="8">
        <f>D23</f>
        <v>176561</v>
      </c>
      <c r="E26" t="s">
        <v>10</v>
      </c>
      <c r="H26" s="6">
        <f>C35</f>
        <v>145819.592</v>
      </c>
    </row>
    <row r="28" spans="1:8" ht="15.75" x14ac:dyDescent="0.25">
      <c r="A28" t="s">
        <v>5</v>
      </c>
      <c r="B28" s="9" t="s">
        <v>7</v>
      </c>
      <c r="C28" s="8">
        <f>H23</f>
        <v>28191</v>
      </c>
      <c r="E28" s="13" t="s">
        <v>11</v>
      </c>
      <c r="F28" s="9" t="s">
        <v>12</v>
      </c>
      <c r="G28" s="15" t="s">
        <v>17</v>
      </c>
      <c r="H28" s="3">
        <f>-(F29*0.007)</f>
        <v>-3750.6</v>
      </c>
    </row>
    <row r="29" spans="1:8" x14ac:dyDescent="0.25">
      <c r="F29" s="21">
        <f>D3-H3</f>
        <v>535800</v>
      </c>
    </row>
    <row r="30" spans="1:8" ht="16.5" thickBot="1" x14ac:dyDescent="0.3">
      <c r="A30" t="s">
        <v>8</v>
      </c>
      <c r="B30" s="9" t="s">
        <v>7</v>
      </c>
      <c r="C30" s="8">
        <f>D3*0.004</f>
        <v>2550.4079999999999</v>
      </c>
      <c r="F30" s="9" t="s">
        <v>13</v>
      </c>
      <c r="G30" s="16">
        <v>0.35</v>
      </c>
      <c r="H30" s="17">
        <f>-(F31*0.35)</f>
        <v>-51036.857199999999</v>
      </c>
    </row>
    <row r="31" spans="1:8" x14ac:dyDescent="0.25">
      <c r="F31" s="21">
        <f>H26</f>
        <v>145819.592</v>
      </c>
    </row>
    <row r="32" spans="1:8" ht="15.75" x14ac:dyDescent="0.25">
      <c r="A32" t="s">
        <v>9</v>
      </c>
      <c r="B32" s="9" t="s">
        <v>7</v>
      </c>
      <c r="C32" s="10"/>
      <c r="G32" s="13" t="s">
        <v>14</v>
      </c>
      <c r="H32" s="6">
        <f>H26+H28+H30</f>
        <v>91032.1348</v>
      </c>
    </row>
    <row r="33" spans="1:8" ht="15.75" thickBot="1" x14ac:dyDescent="0.3">
      <c r="A33" s="16"/>
      <c r="B33" s="14"/>
      <c r="C33" s="7"/>
    </row>
    <row r="34" spans="1:8" x14ac:dyDescent="0.25">
      <c r="E34" t="s">
        <v>100</v>
      </c>
      <c r="H34" s="20">
        <f>H32*0.35</f>
        <v>31861.247179999998</v>
      </c>
    </row>
    <row r="35" spans="1:8" ht="15.75" x14ac:dyDescent="0.25">
      <c r="A35" t="s">
        <v>10</v>
      </c>
      <c r="C35" s="10">
        <f>C26-C28-C30-C32</f>
        <v>145819.592</v>
      </c>
      <c r="H35" s="18"/>
    </row>
    <row r="36" spans="1:8" x14ac:dyDescent="0.25">
      <c r="H36" s="3"/>
    </row>
  </sheetData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36273-5415-460A-A961-22144B650E76}">
  <dimension ref="A1:H36"/>
  <sheetViews>
    <sheetView workbookViewId="0">
      <selection activeCell="D36" sqref="D3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321</v>
      </c>
    </row>
    <row r="3" spans="1:8" ht="21" x14ac:dyDescent="0.35">
      <c r="A3" s="2" t="s">
        <v>1</v>
      </c>
      <c r="D3" s="11">
        <v>214200</v>
      </c>
      <c r="F3" s="12" t="s">
        <v>3</v>
      </c>
      <c r="H3" s="11">
        <v>34200</v>
      </c>
    </row>
    <row r="4" spans="1:8" x14ac:dyDescent="0.25">
      <c r="A4" s="13" t="s">
        <v>29</v>
      </c>
      <c r="C4" s="28">
        <v>461</v>
      </c>
    </row>
    <row r="5" spans="1:8" ht="21" x14ac:dyDescent="0.35">
      <c r="A5" s="2" t="s">
        <v>2</v>
      </c>
    </row>
    <row r="7" spans="1:8" ht="18.75" x14ac:dyDescent="0.3">
      <c r="A7" s="5"/>
      <c r="D7" s="4"/>
      <c r="E7" s="27"/>
      <c r="H7" s="4"/>
    </row>
    <row r="8" spans="1:8" ht="18.75" x14ac:dyDescent="0.3">
      <c r="A8" s="5" t="s">
        <v>231</v>
      </c>
      <c r="D8" s="4">
        <v>71936</v>
      </c>
      <c r="E8" s="27"/>
      <c r="H8" s="4">
        <v>19964</v>
      </c>
    </row>
    <row r="9" spans="1:8" ht="18.75" x14ac:dyDescent="0.3">
      <c r="A9" s="5"/>
      <c r="D9" s="4"/>
      <c r="E9" s="27"/>
      <c r="H9" s="4"/>
    </row>
    <row r="10" spans="1:8" ht="18.75" x14ac:dyDescent="0.3">
      <c r="A10" s="5"/>
      <c r="D10" s="4"/>
      <c r="E10" s="27"/>
      <c r="H10" s="4"/>
    </row>
    <row r="11" spans="1:8" ht="18.75" x14ac:dyDescent="0.3">
      <c r="A11" s="5"/>
      <c r="D11" s="30"/>
      <c r="E11" s="27"/>
      <c r="H11" s="30"/>
    </row>
    <row r="12" spans="1:8" ht="18.75" x14ac:dyDescent="0.3">
      <c r="A12" s="5"/>
      <c r="D12" s="31"/>
      <c r="H12" s="31"/>
    </row>
    <row r="13" spans="1:8" ht="18.75" x14ac:dyDescent="0.3">
      <c r="A13" s="5"/>
      <c r="D13" s="31"/>
      <c r="H13" s="31"/>
    </row>
    <row r="14" spans="1:8" ht="18.75" x14ac:dyDescent="0.3">
      <c r="A14" s="5"/>
      <c r="D14" s="31"/>
      <c r="H14" s="31"/>
    </row>
    <row r="15" spans="1:8" ht="18.75" x14ac:dyDescent="0.3">
      <c r="A15" s="5"/>
      <c r="D15" s="31"/>
      <c r="H15" s="31"/>
    </row>
    <row r="16" spans="1:8" ht="18.75" x14ac:dyDescent="0.3">
      <c r="A16" s="5"/>
      <c r="D16" s="31"/>
      <c r="H16" s="31"/>
    </row>
    <row r="18" spans="1:8" ht="19.5" thickBot="1" x14ac:dyDescent="0.35">
      <c r="A18" s="5"/>
      <c r="D18" s="23"/>
      <c r="E18" s="27"/>
      <c r="H18" s="23"/>
    </row>
    <row r="19" spans="1:8" ht="18.75" x14ac:dyDescent="0.3">
      <c r="D19" s="4">
        <f>SUM(D7:D18)</f>
        <v>71936</v>
      </c>
      <c r="H19" s="33">
        <f>SUM(H7:H18)</f>
        <v>19964</v>
      </c>
    </row>
    <row r="20" spans="1:8" ht="18.75" x14ac:dyDescent="0.3">
      <c r="A20" s="5"/>
      <c r="C20" s="3"/>
      <c r="D20" s="4"/>
      <c r="H20" s="4"/>
    </row>
    <row r="21" spans="1:8" ht="15.75" thickBot="1" x14ac:dyDescent="0.3">
      <c r="D21" s="7"/>
      <c r="H21" s="7"/>
    </row>
    <row r="23" spans="1:8" ht="18.75" x14ac:dyDescent="0.3">
      <c r="C23" t="s">
        <v>4</v>
      </c>
      <c r="D23" s="4">
        <f>D3-D19</f>
        <v>142264</v>
      </c>
      <c r="G23" t="s">
        <v>5</v>
      </c>
      <c r="H23" s="4">
        <f>H3-H19</f>
        <v>14236</v>
      </c>
    </row>
    <row r="26" spans="1:8" ht="15.75" x14ac:dyDescent="0.25">
      <c r="A26" t="s">
        <v>6</v>
      </c>
      <c r="C26" s="8">
        <f>D23</f>
        <v>142264</v>
      </c>
      <c r="E26" t="s">
        <v>10</v>
      </c>
      <c r="H26" s="6">
        <f>C35</f>
        <v>118171.2</v>
      </c>
    </row>
    <row r="28" spans="1:8" ht="15.75" x14ac:dyDescent="0.25">
      <c r="A28" t="s">
        <v>5</v>
      </c>
      <c r="B28" s="9" t="s">
        <v>7</v>
      </c>
      <c r="C28" s="8">
        <f>H23</f>
        <v>14236</v>
      </c>
      <c r="E28" s="13" t="s">
        <v>11</v>
      </c>
      <c r="F28" s="9" t="s">
        <v>12</v>
      </c>
      <c r="G28" s="15" t="s">
        <v>17</v>
      </c>
      <c r="H28" s="3">
        <f>-(F29*0.007)</f>
        <v>-1260</v>
      </c>
    </row>
    <row r="29" spans="1:8" x14ac:dyDescent="0.25">
      <c r="F29" s="21">
        <f>D3-H3</f>
        <v>180000</v>
      </c>
    </row>
    <row r="30" spans="1:8" ht="16.5" thickBot="1" x14ac:dyDescent="0.3">
      <c r="A30" t="s">
        <v>8</v>
      </c>
      <c r="B30" s="9" t="s">
        <v>7</v>
      </c>
      <c r="C30" s="8">
        <f>D3*0.004</f>
        <v>856.80000000000007</v>
      </c>
      <c r="F30" s="9" t="s">
        <v>13</v>
      </c>
      <c r="G30" s="16">
        <v>0.35</v>
      </c>
      <c r="H30" s="17">
        <f>-(F31*0.35)</f>
        <v>-41359.919999999998</v>
      </c>
    </row>
    <row r="31" spans="1:8" x14ac:dyDescent="0.25">
      <c r="F31" s="21">
        <f>H26</f>
        <v>118171.2</v>
      </c>
    </row>
    <row r="32" spans="1:8" ht="15.75" x14ac:dyDescent="0.25">
      <c r="A32" t="s">
        <v>9</v>
      </c>
      <c r="B32" s="9" t="s">
        <v>7</v>
      </c>
      <c r="C32" s="10">
        <v>9000</v>
      </c>
      <c r="G32" s="13" t="s">
        <v>14</v>
      </c>
      <c r="H32" s="6">
        <f>H26+H28+H30</f>
        <v>75551.28</v>
      </c>
    </row>
    <row r="33" spans="1:8" ht="15.75" thickBot="1" x14ac:dyDescent="0.3">
      <c r="A33" s="16" t="s">
        <v>185</v>
      </c>
      <c r="B33" s="14"/>
      <c r="C33" s="7"/>
    </row>
    <row r="34" spans="1:8" x14ac:dyDescent="0.25">
      <c r="E34" t="s">
        <v>100</v>
      </c>
      <c r="H34" s="20">
        <f>H32*0.35</f>
        <v>26442.947999999997</v>
      </c>
    </row>
    <row r="35" spans="1:8" ht="15.75" x14ac:dyDescent="0.25">
      <c r="A35" t="s">
        <v>10</v>
      </c>
      <c r="C35" s="10">
        <f>C26-C28-C30-C32</f>
        <v>118171.2</v>
      </c>
      <c r="H35" s="18"/>
    </row>
    <row r="36" spans="1:8" x14ac:dyDescent="0.25">
      <c r="H36" s="3"/>
    </row>
  </sheetData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951B0-1630-4D5D-A579-B16E4178FF97}">
  <dimension ref="A1:H31"/>
  <sheetViews>
    <sheetView topLeftCell="A19" workbookViewId="0">
      <selection activeCell="A27" sqref="A27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361</v>
      </c>
    </row>
    <row r="3" spans="1:8" ht="21" x14ac:dyDescent="0.35">
      <c r="A3" s="2" t="s">
        <v>1</v>
      </c>
      <c r="D3" s="11">
        <v>86870</v>
      </c>
      <c r="F3" s="12" t="s">
        <v>3</v>
      </c>
      <c r="H3" s="11">
        <v>13870</v>
      </c>
    </row>
    <row r="4" spans="1:8" x14ac:dyDescent="0.25">
      <c r="A4" s="13" t="s">
        <v>29</v>
      </c>
      <c r="C4" s="28">
        <v>464</v>
      </c>
    </row>
    <row r="5" spans="1:8" ht="21" x14ac:dyDescent="0.35">
      <c r="A5" s="2" t="s">
        <v>2</v>
      </c>
    </row>
    <row r="7" spans="1:8" ht="18.75" x14ac:dyDescent="0.3">
      <c r="A7" s="5" t="s">
        <v>283</v>
      </c>
      <c r="D7" s="4">
        <v>41000</v>
      </c>
      <c r="E7" s="27"/>
      <c r="H7" s="4"/>
    </row>
    <row r="8" spans="1:8" ht="18.75" x14ac:dyDescent="0.3">
      <c r="A8" s="5"/>
      <c r="D8" s="4"/>
      <c r="E8" s="27"/>
      <c r="H8" s="4"/>
    </row>
    <row r="9" spans="1:8" ht="18.75" x14ac:dyDescent="0.3">
      <c r="A9" s="5"/>
      <c r="D9" s="4"/>
      <c r="E9" s="27"/>
      <c r="H9" s="4"/>
    </row>
    <row r="10" spans="1:8" ht="18.75" x14ac:dyDescent="0.3">
      <c r="A10" s="5"/>
      <c r="D10" s="4"/>
      <c r="E10" s="27"/>
      <c r="H10" s="4"/>
    </row>
    <row r="11" spans="1:8" ht="18.75" x14ac:dyDescent="0.3">
      <c r="A11" s="5"/>
      <c r="D11" s="30"/>
      <c r="E11" s="27"/>
      <c r="H11" s="30"/>
    </row>
    <row r="12" spans="1:8" ht="19.5" thickBot="1" x14ac:dyDescent="0.35">
      <c r="A12" s="5"/>
      <c r="D12" s="23"/>
      <c r="E12" s="27"/>
      <c r="H12" s="23"/>
    </row>
    <row r="13" spans="1:8" ht="18.75" x14ac:dyDescent="0.3">
      <c r="D13" s="4">
        <f>SUM(D7:D12)</f>
        <v>41000</v>
      </c>
      <c r="H13" s="33">
        <f>SUM(H7:H12)</f>
        <v>0</v>
      </c>
    </row>
    <row r="14" spans="1:8" ht="18.75" x14ac:dyDescent="0.3">
      <c r="A14" s="5"/>
      <c r="C14" s="3"/>
      <c r="D14" s="4"/>
      <c r="H14" s="4"/>
    </row>
    <row r="15" spans="1:8" ht="15.75" thickBot="1" x14ac:dyDescent="0.3">
      <c r="D15" s="7"/>
      <c r="H15" s="7"/>
    </row>
    <row r="17" spans="1:8" ht="18.75" x14ac:dyDescent="0.3">
      <c r="C17" t="s">
        <v>4</v>
      </c>
      <c r="D17" s="4">
        <f>D3-D13</f>
        <v>45870</v>
      </c>
      <c r="G17" t="s">
        <v>5</v>
      </c>
      <c r="H17" s="4">
        <f>H3-H13</f>
        <v>13870</v>
      </c>
    </row>
    <row r="20" spans="1:8" ht="15.75" x14ac:dyDescent="0.25">
      <c r="A20" t="s">
        <v>6</v>
      </c>
      <c r="C20" s="8">
        <f>D17</f>
        <v>45870</v>
      </c>
      <c r="E20" t="s">
        <v>10</v>
      </c>
      <c r="H20" s="6">
        <f>C29</f>
        <v>31652.52</v>
      </c>
    </row>
    <row r="22" spans="1:8" ht="15.75" x14ac:dyDescent="0.25">
      <c r="A22" t="s">
        <v>5</v>
      </c>
      <c r="B22" s="9" t="s">
        <v>7</v>
      </c>
      <c r="C22" s="8">
        <f>H17</f>
        <v>13870</v>
      </c>
      <c r="E22" s="13" t="s">
        <v>11</v>
      </c>
      <c r="F22" s="9" t="s">
        <v>12</v>
      </c>
      <c r="G22" s="15" t="s">
        <v>17</v>
      </c>
      <c r="H22" s="3">
        <f>-(F23*0.007)</f>
        <v>-511</v>
      </c>
    </row>
    <row r="23" spans="1:8" x14ac:dyDescent="0.25">
      <c r="F23" s="21">
        <f>D3-H3</f>
        <v>73000</v>
      </c>
    </row>
    <row r="24" spans="1:8" ht="16.5" thickBot="1" x14ac:dyDescent="0.3">
      <c r="A24" t="s">
        <v>8</v>
      </c>
      <c r="B24" s="9" t="s">
        <v>7</v>
      </c>
      <c r="C24" s="8">
        <f>D3*0.004</f>
        <v>347.48</v>
      </c>
      <c r="F24" s="9" t="s">
        <v>13</v>
      </c>
      <c r="G24" s="16">
        <v>0.35</v>
      </c>
      <c r="H24" s="17">
        <f>-(F25*0.35)</f>
        <v>-11078.382</v>
      </c>
    </row>
    <row r="25" spans="1:8" x14ac:dyDescent="0.25">
      <c r="F25" s="21">
        <f>H20</f>
        <v>31652.52</v>
      </c>
    </row>
    <row r="26" spans="1:8" ht="15.75" x14ac:dyDescent="0.25">
      <c r="A26" t="s">
        <v>9</v>
      </c>
      <c r="B26" s="9" t="s">
        <v>7</v>
      </c>
      <c r="C26" s="10"/>
      <c r="G26" s="13" t="s">
        <v>14</v>
      </c>
      <c r="H26" s="6">
        <f>H20+H22+H24</f>
        <v>20063.137999999999</v>
      </c>
    </row>
    <row r="27" spans="1:8" ht="15.75" thickBot="1" x14ac:dyDescent="0.3">
      <c r="A27" s="16"/>
      <c r="B27" s="14"/>
      <c r="C27" s="7"/>
    </row>
    <row r="28" spans="1:8" x14ac:dyDescent="0.25">
      <c r="E28" t="s">
        <v>100</v>
      </c>
      <c r="H28" s="20">
        <f>H26*0.35</f>
        <v>7022.0982999999997</v>
      </c>
    </row>
    <row r="29" spans="1:8" ht="15.75" x14ac:dyDescent="0.25">
      <c r="A29" t="s">
        <v>10</v>
      </c>
      <c r="C29" s="10">
        <f>C20-C22-C24-C26</f>
        <v>31652.52</v>
      </c>
      <c r="H29" s="18"/>
    </row>
    <row r="30" spans="1:8" x14ac:dyDescent="0.25">
      <c r="H30" s="3"/>
    </row>
    <row r="31" spans="1:8" x14ac:dyDescent="0.25">
      <c r="H31" s="18"/>
    </row>
  </sheetData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3AB0B-0AB1-4DB4-AED0-B856AFDB1111}">
  <dimension ref="A1:H31"/>
  <sheetViews>
    <sheetView topLeftCell="A10" workbookViewId="0">
      <selection activeCell="A27" sqref="A27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362</v>
      </c>
    </row>
    <row r="3" spans="1:8" ht="21" x14ac:dyDescent="0.35">
      <c r="A3" s="2" t="s">
        <v>1</v>
      </c>
      <c r="D3" s="11">
        <v>124534</v>
      </c>
      <c r="F3" s="12" t="s">
        <v>3</v>
      </c>
      <c r="H3" s="11">
        <v>19884</v>
      </c>
    </row>
    <row r="4" spans="1:8" x14ac:dyDescent="0.25">
      <c r="A4" s="13" t="s">
        <v>29</v>
      </c>
      <c r="C4" s="28">
        <v>470</v>
      </c>
    </row>
    <row r="5" spans="1:8" ht="21" x14ac:dyDescent="0.35">
      <c r="A5" s="2" t="s">
        <v>2</v>
      </c>
    </row>
    <row r="7" spans="1:8" ht="18.75" x14ac:dyDescent="0.3">
      <c r="A7" s="5" t="s">
        <v>318</v>
      </c>
      <c r="D7" s="4">
        <v>76087</v>
      </c>
      <c r="E7" s="27"/>
      <c r="H7" s="4">
        <v>12148</v>
      </c>
    </row>
    <row r="8" spans="1:8" ht="18.75" x14ac:dyDescent="0.3">
      <c r="A8" s="5"/>
      <c r="D8" s="4"/>
      <c r="E8" s="27"/>
      <c r="H8" s="4"/>
    </row>
    <row r="9" spans="1:8" ht="18.75" x14ac:dyDescent="0.3">
      <c r="A9" s="5"/>
      <c r="D9" s="4"/>
      <c r="E9" s="27"/>
      <c r="H9" s="4"/>
    </row>
    <row r="10" spans="1:8" ht="18.75" x14ac:dyDescent="0.3">
      <c r="A10" s="5"/>
      <c r="D10" s="4"/>
      <c r="E10" s="27"/>
      <c r="H10" s="4"/>
    </row>
    <row r="11" spans="1:8" ht="18.75" x14ac:dyDescent="0.3">
      <c r="A11" s="5"/>
      <c r="D11" s="30"/>
      <c r="E11" s="27"/>
      <c r="H11" s="30"/>
    </row>
    <row r="12" spans="1:8" ht="19.5" thickBot="1" x14ac:dyDescent="0.35">
      <c r="A12" s="5"/>
      <c r="D12" s="23"/>
      <c r="E12" s="27"/>
      <c r="H12" s="23"/>
    </row>
    <row r="13" spans="1:8" ht="18.75" x14ac:dyDescent="0.3">
      <c r="D13" s="4">
        <f>SUM(D7:D12)</f>
        <v>76087</v>
      </c>
      <c r="H13" s="33">
        <f>SUM(H7:H12)</f>
        <v>12148</v>
      </c>
    </row>
    <row r="14" spans="1:8" ht="18.75" x14ac:dyDescent="0.3">
      <c r="A14" s="5"/>
      <c r="C14" s="3"/>
      <c r="D14" s="4"/>
      <c r="H14" s="4"/>
    </row>
    <row r="15" spans="1:8" ht="15.75" thickBot="1" x14ac:dyDescent="0.3">
      <c r="D15" s="7"/>
      <c r="H15" s="7"/>
    </row>
    <row r="17" spans="1:8" ht="18.75" x14ac:dyDescent="0.3">
      <c r="C17" t="s">
        <v>4</v>
      </c>
      <c r="D17" s="4">
        <f>D3-D13</f>
        <v>48447</v>
      </c>
      <c r="G17" t="s">
        <v>5</v>
      </c>
      <c r="H17" s="4">
        <f>H3-H13</f>
        <v>7736</v>
      </c>
    </row>
    <row r="20" spans="1:8" ht="15.75" x14ac:dyDescent="0.25">
      <c r="A20" t="s">
        <v>6</v>
      </c>
      <c r="C20" s="8">
        <f>D17</f>
        <v>48447</v>
      </c>
      <c r="E20" t="s">
        <v>10</v>
      </c>
      <c r="H20" s="6">
        <f>C29</f>
        <v>40212.864000000001</v>
      </c>
    </row>
    <row r="22" spans="1:8" ht="15.75" x14ac:dyDescent="0.25">
      <c r="A22" t="s">
        <v>5</v>
      </c>
      <c r="B22" s="9" t="s">
        <v>7</v>
      </c>
      <c r="C22" s="8">
        <f>H17</f>
        <v>7736</v>
      </c>
      <c r="E22" s="13" t="s">
        <v>11</v>
      </c>
      <c r="F22" s="9" t="s">
        <v>12</v>
      </c>
      <c r="G22" s="15" t="s">
        <v>17</v>
      </c>
      <c r="H22" s="3">
        <f>-(F23*0.007)</f>
        <v>-732.55000000000007</v>
      </c>
    </row>
    <row r="23" spans="1:8" x14ac:dyDescent="0.25">
      <c r="F23" s="21">
        <f>D3-H3</f>
        <v>104650</v>
      </c>
    </row>
    <row r="24" spans="1:8" ht="16.5" thickBot="1" x14ac:dyDescent="0.3">
      <c r="A24" t="s">
        <v>8</v>
      </c>
      <c r="B24" s="9" t="s">
        <v>7</v>
      </c>
      <c r="C24" s="8">
        <f>D3*0.004</f>
        <v>498.13600000000002</v>
      </c>
      <c r="F24" s="9" t="s">
        <v>13</v>
      </c>
      <c r="G24" s="16">
        <v>0.35</v>
      </c>
      <c r="H24" s="17">
        <f>-(F25*0.35)</f>
        <v>-14074.502399999999</v>
      </c>
    </row>
    <row r="25" spans="1:8" x14ac:dyDescent="0.25">
      <c r="F25" s="21">
        <f>H20</f>
        <v>40212.864000000001</v>
      </c>
    </row>
    <row r="26" spans="1:8" ht="15.75" x14ac:dyDescent="0.25">
      <c r="A26" t="s">
        <v>9</v>
      </c>
      <c r="B26" s="9" t="s">
        <v>7</v>
      </c>
      <c r="C26" s="10"/>
      <c r="G26" s="13" t="s">
        <v>14</v>
      </c>
      <c r="H26" s="6">
        <f>H20+H22+H24</f>
        <v>25405.811600000001</v>
      </c>
    </row>
    <row r="27" spans="1:8" ht="15.75" thickBot="1" x14ac:dyDescent="0.3">
      <c r="A27" s="16"/>
      <c r="B27" s="14"/>
      <c r="C27" s="7"/>
    </row>
    <row r="28" spans="1:8" x14ac:dyDescent="0.25">
      <c r="E28" t="s">
        <v>100</v>
      </c>
      <c r="H28" s="20">
        <f>H26*0.35</f>
        <v>8892.03406</v>
      </c>
    </row>
    <row r="29" spans="1:8" ht="15.75" x14ac:dyDescent="0.25">
      <c r="A29" t="s">
        <v>10</v>
      </c>
      <c r="C29" s="10">
        <f>C20-C22-C24-C26</f>
        <v>40212.864000000001</v>
      </c>
      <c r="H29" s="18"/>
    </row>
    <row r="30" spans="1:8" x14ac:dyDescent="0.25">
      <c r="H30" s="3"/>
    </row>
    <row r="31" spans="1:8" x14ac:dyDescent="0.25">
      <c r="H31" s="18"/>
    </row>
  </sheetData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490B7-54C1-4A10-A914-201AA160A15C}">
  <dimension ref="A1:H31"/>
  <sheetViews>
    <sheetView topLeftCell="A4"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363</v>
      </c>
    </row>
    <row r="3" spans="1:8" ht="21" x14ac:dyDescent="0.35">
      <c r="A3" s="2" t="s">
        <v>1</v>
      </c>
      <c r="D3" s="11">
        <v>2317158</v>
      </c>
      <c r="F3" s="12" t="s">
        <v>3</v>
      </c>
      <c r="H3" s="11">
        <v>380190</v>
      </c>
    </row>
    <row r="4" spans="1:8" x14ac:dyDescent="0.25">
      <c r="A4" s="13" t="s">
        <v>29</v>
      </c>
      <c r="C4" s="28">
        <v>471</v>
      </c>
    </row>
    <row r="5" spans="1:8" ht="21" x14ac:dyDescent="0.35">
      <c r="A5" s="2" t="s">
        <v>2</v>
      </c>
    </row>
    <row r="7" spans="1:8" ht="18.75" x14ac:dyDescent="0.3">
      <c r="A7" s="5" t="s">
        <v>364</v>
      </c>
      <c r="D7" s="4">
        <v>1746603</v>
      </c>
      <c r="E7" s="27"/>
      <c r="H7" s="4">
        <v>278869</v>
      </c>
    </row>
    <row r="8" spans="1:8" ht="18.75" x14ac:dyDescent="0.3">
      <c r="A8" s="5"/>
      <c r="D8" s="4"/>
      <c r="E8" s="27"/>
      <c r="H8" s="4"/>
    </row>
    <row r="9" spans="1:8" ht="18.75" x14ac:dyDescent="0.3">
      <c r="A9" s="5"/>
      <c r="D9" s="4"/>
      <c r="E9" s="27"/>
      <c r="H9" s="4"/>
    </row>
    <row r="10" spans="1:8" ht="18.75" x14ac:dyDescent="0.3">
      <c r="A10" s="5"/>
      <c r="D10" s="4"/>
      <c r="E10" s="27"/>
      <c r="H10" s="4"/>
    </row>
    <row r="11" spans="1:8" ht="18.75" x14ac:dyDescent="0.3">
      <c r="A11" s="5"/>
      <c r="D11" s="30"/>
      <c r="E11" s="27"/>
      <c r="H11" s="30"/>
    </row>
    <row r="12" spans="1:8" ht="19.5" thickBot="1" x14ac:dyDescent="0.35">
      <c r="A12" s="5"/>
      <c r="D12" s="23"/>
      <c r="E12" s="27"/>
      <c r="H12" s="23"/>
    </row>
    <row r="13" spans="1:8" ht="18.75" x14ac:dyDescent="0.3">
      <c r="D13" s="4">
        <f>SUM(D7:D12)</f>
        <v>1746603</v>
      </c>
      <c r="H13" s="33">
        <f>SUM(H7:H12)</f>
        <v>278869</v>
      </c>
    </row>
    <row r="14" spans="1:8" ht="18.75" x14ac:dyDescent="0.3">
      <c r="A14" s="5"/>
      <c r="C14" s="3"/>
      <c r="D14" s="4"/>
      <c r="H14" s="4"/>
    </row>
    <row r="15" spans="1:8" ht="15.75" thickBot="1" x14ac:dyDescent="0.3">
      <c r="D15" s="7"/>
      <c r="H15" s="7"/>
    </row>
    <row r="17" spans="1:8" ht="18.75" x14ac:dyDescent="0.3">
      <c r="C17" t="s">
        <v>4</v>
      </c>
      <c r="D17" s="4">
        <f>D3-D13</f>
        <v>570555</v>
      </c>
      <c r="G17" t="s">
        <v>5</v>
      </c>
      <c r="H17" s="4">
        <f>H3-H13</f>
        <v>101321</v>
      </c>
    </row>
    <row r="20" spans="1:8" ht="15.75" x14ac:dyDescent="0.25">
      <c r="A20" t="s">
        <v>6</v>
      </c>
      <c r="C20" s="8">
        <f>D17</f>
        <v>570555</v>
      </c>
      <c r="E20" t="s">
        <v>10</v>
      </c>
      <c r="H20" s="6">
        <f>C29</f>
        <v>459965.36800000002</v>
      </c>
    </row>
    <row r="22" spans="1:8" ht="15.75" x14ac:dyDescent="0.25">
      <c r="A22" t="s">
        <v>5</v>
      </c>
      <c r="B22" s="9" t="s">
        <v>7</v>
      </c>
      <c r="C22" s="8">
        <f>H17</f>
        <v>101321</v>
      </c>
      <c r="E22" s="13" t="s">
        <v>11</v>
      </c>
      <c r="F22" s="9" t="s">
        <v>12</v>
      </c>
      <c r="G22" s="15" t="s">
        <v>17</v>
      </c>
      <c r="H22" s="3">
        <f>-(F23*0.007)</f>
        <v>-14007</v>
      </c>
    </row>
    <row r="23" spans="1:8" x14ac:dyDescent="0.25">
      <c r="F23" s="21">
        <v>2001000</v>
      </c>
    </row>
    <row r="24" spans="1:8" ht="16.5" thickBot="1" x14ac:dyDescent="0.3">
      <c r="A24" t="s">
        <v>8</v>
      </c>
      <c r="B24" s="9" t="s">
        <v>7</v>
      </c>
      <c r="C24" s="8">
        <f>D3*0.004</f>
        <v>9268.6319999999996</v>
      </c>
      <c r="F24" s="9" t="s">
        <v>13</v>
      </c>
      <c r="G24" s="16">
        <v>0.35</v>
      </c>
      <c r="H24" s="17">
        <f>-(F25*0.35)</f>
        <v>-160987.87880000001</v>
      </c>
    </row>
    <row r="25" spans="1:8" x14ac:dyDescent="0.25">
      <c r="F25" s="21">
        <f>H20</f>
        <v>459965.36800000002</v>
      </c>
    </row>
    <row r="26" spans="1:8" ht="15.75" x14ac:dyDescent="0.25">
      <c r="A26" t="s">
        <v>9</v>
      </c>
      <c r="B26" s="9" t="s">
        <v>7</v>
      </c>
      <c r="C26" s="10"/>
      <c r="G26" s="13" t="s">
        <v>14</v>
      </c>
      <c r="H26" s="6">
        <f>H20+H22+H24</f>
        <v>284970.48920000001</v>
      </c>
    </row>
    <row r="27" spans="1:8" ht="15.75" thickBot="1" x14ac:dyDescent="0.3">
      <c r="A27" s="16"/>
      <c r="B27" s="14"/>
      <c r="C27" s="7"/>
    </row>
    <row r="28" spans="1:8" x14ac:dyDescent="0.25">
      <c r="E28" t="s">
        <v>100</v>
      </c>
      <c r="H28" s="20">
        <f>H26*0.35</f>
        <v>99739.671220000004</v>
      </c>
    </row>
    <row r="29" spans="1:8" ht="15.75" x14ac:dyDescent="0.25">
      <c r="A29" t="s">
        <v>10</v>
      </c>
      <c r="C29" s="10">
        <f>C20-C22-C24-C26</f>
        <v>459965.36800000002</v>
      </c>
      <c r="H29" s="18"/>
    </row>
    <row r="30" spans="1:8" x14ac:dyDescent="0.25">
      <c r="H30" s="3"/>
    </row>
    <row r="31" spans="1:8" x14ac:dyDescent="0.25">
      <c r="H31" s="18"/>
    </row>
  </sheetData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2546A-7913-48C5-A56F-113103075D9F}">
  <dimension ref="A1:H31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365</v>
      </c>
    </row>
    <row r="3" spans="1:8" ht="21" x14ac:dyDescent="0.35">
      <c r="A3" s="2" t="s">
        <v>1</v>
      </c>
      <c r="D3" s="11">
        <v>417690</v>
      </c>
      <c r="F3" s="12" t="s">
        <v>3</v>
      </c>
      <c r="H3" s="11">
        <v>66690</v>
      </c>
    </row>
    <row r="4" spans="1:8" x14ac:dyDescent="0.25">
      <c r="A4" s="13" t="s">
        <v>29</v>
      </c>
      <c r="C4" s="28">
        <v>472</v>
      </c>
    </row>
    <row r="5" spans="1:8" ht="21" x14ac:dyDescent="0.35">
      <c r="A5" s="2" t="s">
        <v>2</v>
      </c>
    </row>
    <row r="7" spans="1:8" ht="18.75" x14ac:dyDescent="0.3">
      <c r="A7" s="5" t="s">
        <v>366</v>
      </c>
      <c r="D7" s="4">
        <v>310704</v>
      </c>
      <c r="E7" s="27"/>
      <c r="H7" s="4">
        <v>49608</v>
      </c>
    </row>
    <row r="8" spans="1:8" ht="18.75" x14ac:dyDescent="0.3">
      <c r="A8" s="5"/>
      <c r="D8" s="4"/>
      <c r="E8" s="27"/>
      <c r="H8" s="4"/>
    </row>
    <row r="9" spans="1:8" ht="18.75" x14ac:dyDescent="0.3">
      <c r="A9" s="5"/>
      <c r="D9" s="4"/>
      <c r="E9" s="27"/>
      <c r="H9" s="4"/>
    </row>
    <row r="10" spans="1:8" ht="18.75" x14ac:dyDescent="0.3">
      <c r="A10" s="5"/>
      <c r="D10" s="4"/>
      <c r="E10" s="27"/>
      <c r="H10" s="4"/>
    </row>
    <row r="11" spans="1:8" ht="18.75" x14ac:dyDescent="0.3">
      <c r="A11" s="5"/>
      <c r="D11" s="30"/>
      <c r="E11" s="27"/>
      <c r="H11" s="30"/>
    </row>
    <row r="12" spans="1:8" ht="19.5" thickBot="1" x14ac:dyDescent="0.35">
      <c r="A12" s="5"/>
      <c r="D12" s="23"/>
      <c r="E12" s="27"/>
      <c r="H12" s="23"/>
    </row>
    <row r="13" spans="1:8" ht="18.75" x14ac:dyDescent="0.3">
      <c r="D13" s="4">
        <f>SUM(D7:D12)</f>
        <v>310704</v>
      </c>
      <c r="H13" s="33">
        <f>SUM(H7:H12)</f>
        <v>49608</v>
      </c>
    </row>
    <row r="14" spans="1:8" ht="18.75" x14ac:dyDescent="0.3">
      <c r="A14" s="5"/>
      <c r="C14" s="3"/>
      <c r="D14" s="4"/>
      <c r="H14" s="4"/>
    </row>
    <row r="15" spans="1:8" ht="15.75" thickBot="1" x14ac:dyDescent="0.3">
      <c r="D15" s="7"/>
      <c r="H15" s="7"/>
    </row>
    <row r="17" spans="1:8" ht="18.75" x14ac:dyDescent="0.3">
      <c r="C17" t="s">
        <v>4</v>
      </c>
      <c r="D17" s="4">
        <f>D3-D13</f>
        <v>106986</v>
      </c>
      <c r="G17" t="s">
        <v>5</v>
      </c>
      <c r="H17" s="4">
        <f>H3-H13</f>
        <v>17082</v>
      </c>
    </row>
    <row r="20" spans="1:8" ht="15.75" x14ac:dyDescent="0.25">
      <c r="A20" t="s">
        <v>6</v>
      </c>
      <c r="C20" s="8">
        <f>D17</f>
        <v>106986</v>
      </c>
      <c r="E20" t="s">
        <v>10</v>
      </c>
      <c r="H20" s="6">
        <f>C29</f>
        <v>88233.24</v>
      </c>
    </row>
    <row r="22" spans="1:8" ht="15.75" x14ac:dyDescent="0.25">
      <c r="A22" t="s">
        <v>5</v>
      </c>
      <c r="B22" s="9" t="s">
        <v>7</v>
      </c>
      <c r="C22" s="8">
        <f>H17</f>
        <v>17082</v>
      </c>
      <c r="E22" s="13" t="s">
        <v>11</v>
      </c>
      <c r="F22" s="9" t="s">
        <v>12</v>
      </c>
      <c r="G22" s="15" t="s">
        <v>17</v>
      </c>
      <c r="H22" s="3">
        <f>-(F23*0.007)</f>
        <v>-2457</v>
      </c>
    </row>
    <row r="23" spans="1:8" x14ac:dyDescent="0.25">
      <c r="F23" s="21">
        <f>D3-H3</f>
        <v>351000</v>
      </c>
    </row>
    <row r="24" spans="1:8" ht="16.5" thickBot="1" x14ac:dyDescent="0.3">
      <c r="A24" t="s">
        <v>8</v>
      </c>
      <c r="B24" s="9" t="s">
        <v>7</v>
      </c>
      <c r="C24" s="8">
        <f>D3*0.004</f>
        <v>1670.76</v>
      </c>
      <c r="F24" s="9" t="s">
        <v>13</v>
      </c>
      <c r="G24" s="16">
        <v>0.35</v>
      </c>
      <c r="H24" s="17">
        <f>-(F25*0.35)</f>
        <v>-30881.633999999998</v>
      </c>
    </row>
    <row r="25" spans="1:8" x14ac:dyDescent="0.25">
      <c r="F25" s="21">
        <f>H20</f>
        <v>88233.24</v>
      </c>
    </row>
    <row r="26" spans="1:8" ht="15.75" x14ac:dyDescent="0.25">
      <c r="A26" t="s">
        <v>9</v>
      </c>
      <c r="B26" s="9" t="s">
        <v>7</v>
      </c>
      <c r="C26" s="10"/>
      <c r="G26" s="13" t="s">
        <v>14</v>
      </c>
      <c r="H26" s="6">
        <f>H20+H22+H24</f>
        <v>54894.606000000007</v>
      </c>
    </row>
    <row r="27" spans="1:8" ht="15.75" thickBot="1" x14ac:dyDescent="0.3">
      <c r="A27" s="16"/>
      <c r="B27" s="14"/>
      <c r="C27" s="7"/>
    </row>
    <row r="28" spans="1:8" x14ac:dyDescent="0.25">
      <c r="E28" t="s">
        <v>100</v>
      </c>
      <c r="H28" s="20">
        <f>H26*0.35</f>
        <v>19213.112100000002</v>
      </c>
    </row>
    <row r="29" spans="1:8" ht="15.75" x14ac:dyDescent="0.25">
      <c r="A29" t="s">
        <v>10</v>
      </c>
      <c r="C29" s="10">
        <f>C20-C22-C24-C26</f>
        <v>88233.24</v>
      </c>
      <c r="H29" s="18"/>
    </row>
    <row r="30" spans="1:8" x14ac:dyDescent="0.25">
      <c r="H30" s="3"/>
    </row>
    <row r="31" spans="1:8" x14ac:dyDescent="0.25">
      <c r="H31" s="18"/>
    </row>
  </sheetData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A5E30-2620-4E3F-B264-907E9AA0A7B2}">
  <dimension ref="A1:H31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367</v>
      </c>
    </row>
    <row r="3" spans="1:8" ht="21" x14ac:dyDescent="0.35">
      <c r="A3" s="2" t="s">
        <v>1</v>
      </c>
      <c r="D3" s="11">
        <v>177548</v>
      </c>
      <c r="F3" s="12" t="s">
        <v>3</v>
      </c>
      <c r="H3" s="11">
        <v>28348</v>
      </c>
    </row>
    <row r="4" spans="1:8" x14ac:dyDescent="0.25">
      <c r="A4" s="13" t="s">
        <v>29</v>
      </c>
      <c r="C4" s="28">
        <v>472</v>
      </c>
    </row>
    <row r="5" spans="1:8" ht="21" x14ac:dyDescent="0.35">
      <c r="A5" s="2" t="s">
        <v>2</v>
      </c>
    </row>
    <row r="7" spans="1:8" ht="18.75" x14ac:dyDescent="0.3">
      <c r="A7" s="5" t="s">
        <v>222</v>
      </c>
      <c r="D7" s="4">
        <v>135522</v>
      </c>
      <c r="E7" s="27"/>
      <c r="H7" s="4">
        <v>21638</v>
      </c>
    </row>
    <row r="8" spans="1:8" ht="18.75" x14ac:dyDescent="0.3">
      <c r="A8" s="5"/>
      <c r="D8" s="4"/>
      <c r="E8" s="27"/>
      <c r="H8" s="4"/>
    </row>
    <row r="9" spans="1:8" ht="18.75" x14ac:dyDescent="0.3">
      <c r="A9" s="5"/>
      <c r="D9" s="4"/>
      <c r="E9" s="27"/>
      <c r="H9" s="4"/>
    </row>
    <row r="10" spans="1:8" ht="18.75" x14ac:dyDescent="0.3">
      <c r="A10" s="5"/>
      <c r="D10" s="4"/>
      <c r="E10" s="27"/>
      <c r="H10" s="4"/>
    </row>
    <row r="11" spans="1:8" ht="18.75" x14ac:dyDescent="0.3">
      <c r="A11" s="5"/>
      <c r="D11" s="30"/>
      <c r="E11" s="27"/>
      <c r="H11" s="30"/>
    </row>
    <row r="12" spans="1:8" ht="19.5" thickBot="1" x14ac:dyDescent="0.35">
      <c r="A12" s="5"/>
      <c r="D12" s="23"/>
      <c r="E12" s="27"/>
      <c r="H12" s="23"/>
    </row>
    <row r="13" spans="1:8" ht="18.75" x14ac:dyDescent="0.3">
      <c r="D13" s="4">
        <f>SUM(D7:D12)</f>
        <v>135522</v>
      </c>
      <c r="H13" s="33">
        <f>SUM(H7:H12)</f>
        <v>21638</v>
      </c>
    </row>
    <row r="14" spans="1:8" ht="18.75" x14ac:dyDescent="0.3">
      <c r="A14" s="5"/>
      <c r="C14" s="3"/>
      <c r="D14" s="4"/>
      <c r="H14" s="4"/>
    </row>
    <row r="15" spans="1:8" ht="15.75" thickBot="1" x14ac:dyDescent="0.3">
      <c r="D15" s="7"/>
      <c r="H15" s="7"/>
    </row>
    <row r="17" spans="1:8" ht="18.75" x14ac:dyDescent="0.3">
      <c r="C17" t="s">
        <v>4</v>
      </c>
      <c r="D17" s="4">
        <f>D3-D13</f>
        <v>42026</v>
      </c>
      <c r="G17" t="s">
        <v>5</v>
      </c>
      <c r="H17" s="4">
        <f>H3-H13</f>
        <v>6710</v>
      </c>
    </row>
    <row r="20" spans="1:8" ht="15.75" x14ac:dyDescent="0.25">
      <c r="A20" t="s">
        <v>6</v>
      </c>
      <c r="C20" s="8">
        <f>D17</f>
        <v>42026</v>
      </c>
      <c r="E20" t="s">
        <v>10</v>
      </c>
      <c r="H20" s="6">
        <f>C29</f>
        <v>34605.807999999997</v>
      </c>
    </row>
    <row r="22" spans="1:8" ht="15.75" x14ac:dyDescent="0.25">
      <c r="A22" t="s">
        <v>5</v>
      </c>
      <c r="B22" s="9" t="s">
        <v>7</v>
      </c>
      <c r="C22" s="8">
        <f>H17</f>
        <v>6710</v>
      </c>
      <c r="E22" s="13" t="s">
        <v>11</v>
      </c>
      <c r="F22" s="9" t="s">
        <v>12</v>
      </c>
      <c r="G22" s="15" t="s">
        <v>17</v>
      </c>
      <c r="H22" s="3">
        <f>-(F23*0.007)</f>
        <v>-1044.4000000000001</v>
      </c>
    </row>
    <row r="23" spans="1:8" x14ac:dyDescent="0.25">
      <c r="F23" s="21">
        <f>D3-H3</f>
        <v>149200</v>
      </c>
    </row>
    <row r="24" spans="1:8" ht="16.5" thickBot="1" x14ac:dyDescent="0.3">
      <c r="A24" t="s">
        <v>8</v>
      </c>
      <c r="B24" s="9" t="s">
        <v>7</v>
      </c>
      <c r="C24" s="8">
        <f>D3*0.004</f>
        <v>710.19200000000001</v>
      </c>
      <c r="F24" s="9" t="s">
        <v>13</v>
      </c>
      <c r="G24" s="16">
        <v>0.35</v>
      </c>
      <c r="H24" s="17">
        <f>-(F25*0.35)</f>
        <v>-12112.032799999999</v>
      </c>
    </row>
    <row r="25" spans="1:8" x14ac:dyDescent="0.25">
      <c r="F25" s="21">
        <f>H20</f>
        <v>34605.807999999997</v>
      </c>
    </row>
    <row r="26" spans="1:8" ht="15.75" x14ac:dyDescent="0.25">
      <c r="A26" t="s">
        <v>9</v>
      </c>
      <c r="B26" s="9" t="s">
        <v>7</v>
      </c>
      <c r="C26" s="10"/>
      <c r="G26" s="13" t="s">
        <v>14</v>
      </c>
      <c r="H26" s="6">
        <f>H20+H22+H24</f>
        <v>21449.375199999995</v>
      </c>
    </row>
    <row r="27" spans="1:8" ht="15.75" thickBot="1" x14ac:dyDescent="0.3">
      <c r="A27" s="16"/>
      <c r="B27" s="14"/>
      <c r="C27" s="7"/>
    </row>
    <row r="28" spans="1:8" x14ac:dyDescent="0.25">
      <c r="E28" t="s">
        <v>100</v>
      </c>
      <c r="H28" s="20">
        <f>H26*0.4</f>
        <v>8579.750079999998</v>
      </c>
    </row>
    <row r="29" spans="1:8" ht="15.75" x14ac:dyDescent="0.25">
      <c r="A29" t="s">
        <v>10</v>
      </c>
      <c r="C29" s="10">
        <f>C20-C22-C24-C26</f>
        <v>34605.807999999997</v>
      </c>
      <c r="H29" s="18"/>
    </row>
    <row r="30" spans="1:8" x14ac:dyDescent="0.25">
      <c r="H30" s="3"/>
    </row>
    <row r="31" spans="1:8" x14ac:dyDescent="0.25">
      <c r="H31" s="18"/>
    </row>
  </sheetData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3E430-E20A-4980-AED3-BE47AD68EE6C}">
  <dimension ref="A1:H31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368</v>
      </c>
    </row>
    <row r="3" spans="1:8" ht="21" x14ac:dyDescent="0.35">
      <c r="A3" s="2" t="s">
        <v>1</v>
      </c>
      <c r="D3" s="11">
        <v>114014</v>
      </c>
      <c r="F3" s="12" t="s">
        <v>3</v>
      </c>
      <c r="H3" s="11">
        <v>18204</v>
      </c>
    </row>
    <row r="4" spans="1:8" x14ac:dyDescent="0.25">
      <c r="A4" s="13" t="s">
        <v>29</v>
      </c>
      <c r="C4" s="28">
        <v>472</v>
      </c>
    </row>
    <row r="5" spans="1:8" ht="21" x14ac:dyDescent="0.35">
      <c r="A5" s="2" t="s">
        <v>2</v>
      </c>
    </row>
    <row r="7" spans="1:8" ht="18.75" x14ac:dyDescent="0.3">
      <c r="A7" s="5" t="s">
        <v>222</v>
      </c>
      <c r="D7" s="4">
        <v>86277</v>
      </c>
      <c r="E7" s="27"/>
      <c r="H7" s="4">
        <v>13775</v>
      </c>
    </row>
    <row r="8" spans="1:8" ht="18.75" x14ac:dyDescent="0.3">
      <c r="A8" s="5"/>
      <c r="D8" s="4"/>
      <c r="E8" s="27"/>
      <c r="H8" s="4"/>
    </row>
    <row r="9" spans="1:8" ht="18.75" x14ac:dyDescent="0.3">
      <c r="A9" s="5"/>
      <c r="D9" s="4"/>
      <c r="E9" s="27"/>
      <c r="H9" s="4"/>
    </row>
    <row r="10" spans="1:8" ht="18.75" x14ac:dyDescent="0.3">
      <c r="A10" s="5"/>
      <c r="D10" s="4"/>
      <c r="E10" s="27"/>
      <c r="H10" s="4"/>
    </row>
    <row r="11" spans="1:8" ht="18.75" x14ac:dyDescent="0.3">
      <c r="A11" s="5"/>
      <c r="D11" s="30"/>
      <c r="E11" s="27"/>
      <c r="H11" s="30"/>
    </row>
    <row r="12" spans="1:8" ht="19.5" thickBot="1" x14ac:dyDescent="0.35">
      <c r="A12" s="5"/>
      <c r="D12" s="23"/>
      <c r="E12" s="27"/>
      <c r="H12" s="23"/>
    </row>
    <row r="13" spans="1:8" ht="18.75" x14ac:dyDescent="0.3">
      <c r="D13" s="4">
        <f>SUM(D7:D12)</f>
        <v>86277</v>
      </c>
      <c r="H13" s="33">
        <f>SUM(H7:H12)</f>
        <v>13775</v>
      </c>
    </row>
    <row r="14" spans="1:8" ht="18.75" x14ac:dyDescent="0.3">
      <c r="A14" s="5"/>
      <c r="C14" s="3"/>
      <c r="D14" s="4"/>
      <c r="H14" s="4"/>
    </row>
    <row r="15" spans="1:8" ht="15.75" thickBot="1" x14ac:dyDescent="0.3">
      <c r="D15" s="7"/>
      <c r="H15" s="7"/>
    </row>
    <row r="17" spans="1:8" ht="18.75" x14ac:dyDescent="0.3">
      <c r="C17" t="s">
        <v>4</v>
      </c>
      <c r="D17" s="4">
        <f>D3-D13</f>
        <v>27737</v>
      </c>
      <c r="G17" t="s">
        <v>5</v>
      </c>
      <c r="H17" s="4">
        <f>H3-H13</f>
        <v>4429</v>
      </c>
    </row>
    <row r="20" spans="1:8" ht="15.75" x14ac:dyDescent="0.25">
      <c r="A20" t="s">
        <v>6</v>
      </c>
      <c r="C20" s="8">
        <f>D17</f>
        <v>27737</v>
      </c>
      <c r="E20" t="s">
        <v>10</v>
      </c>
      <c r="H20" s="6">
        <f>C29</f>
        <v>22851.944</v>
      </c>
    </row>
    <row r="22" spans="1:8" ht="15.75" x14ac:dyDescent="0.25">
      <c r="A22" t="s">
        <v>5</v>
      </c>
      <c r="B22" s="9" t="s">
        <v>7</v>
      </c>
      <c r="C22" s="8">
        <f>H17</f>
        <v>4429</v>
      </c>
      <c r="E22" s="13" t="s">
        <v>11</v>
      </c>
      <c r="F22" s="9" t="s">
        <v>12</v>
      </c>
      <c r="G22" s="15" t="s">
        <v>17</v>
      </c>
      <c r="H22" s="3">
        <f>-(F23*0.007)</f>
        <v>-670.67</v>
      </c>
    </row>
    <row r="23" spans="1:8" x14ac:dyDescent="0.25">
      <c r="F23" s="21">
        <f>D3-H3</f>
        <v>95810</v>
      </c>
    </row>
    <row r="24" spans="1:8" ht="16.5" thickBot="1" x14ac:dyDescent="0.3">
      <c r="A24" t="s">
        <v>8</v>
      </c>
      <c r="B24" s="9" t="s">
        <v>7</v>
      </c>
      <c r="C24" s="8">
        <f>D3*0.004</f>
        <v>456.05599999999998</v>
      </c>
      <c r="F24" s="9" t="s">
        <v>13</v>
      </c>
      <c r="G24" s="16">
        <v>0.35</v>
      </c>
      <c r="H24" s="17">
        <f>-(F25*0.35)</f>
        <v>-7998.1803999999993</v>
      </c>
    </row>
    <row r="25" spans="1:8" x14ac:dyDescent="0.25">
      <c r="F25" s="21">
        <f>H20</f>
        <v>22851.944</v>
      </c>
    </row>
    <row r="26" spans="1:8" ht="15.75" x14ac:dyDescent="0.25">
      <c r="A26" t="s">
        <v>9</v>
      </c>
      <c r="B26" s="9" t="s">
        <v>7</v>
      </c>
      <c r="C26" s="10"/>
      <c r="G26" s="13" t="s">
        <v>14</v>
      </c>
      <c r="H26" s="6">
        <f>H20+H22+H24</f>
        <v>14183.093600000002</v>
      </c>
    </row>
    <row r="27" spans="1:8" ht="15.75" thickBot="1" x14ac:dyDescent="0.3">
      <c r="A27" s="16"/>
      <c r="B27" s="14"/>
      <c r="C27" s="7"/>
    </row>
    <row r="28" spans="1:8" x14ac:dyDescent="0.25">
      <c r="E28" t="s">
        <v>100</v>
      </c>
      <c r="H28" s="20">
        <f>H26*0.4</f>
        <v>5673.2374400000008</v>
      </c>
    </row>
    <row r="29" spans="1:8" ht="15.75" x14ac:dyDescent="0.25">
      <c r="A29" t="s">
        <v>10</v>
      </c>
      <c r="C29" s="10">
        <f>C20-C22-C24-C26</f>
        <v>22851.944</v>
      </c>
      <c r="H29" s="18"/>
    </row>
    <row r="30" spans="1:8" x14ac:dyDescent="0.25">
      <c r="H30" s="3"/>
    </row>
    <row r="31" spans="1:8" x14ac:dyDescent="0.25">
      <c r="H31" s="18"/>
    </row>
  </sheetData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70341-6659-49D3-B62B-FB5971884DF2}">
  <dimension ref="A1:H31"/>
  <sheetViews>
    <sheetView topLeftCell="A10" workbookViewId="0">
      <selection activeCell="A10"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369</v>
      </c>
    </row>
    <row r="3" spans="1:8" ht="21" x14ac:dyDescent="0.35">
      <c r="A3" s="2" t="s">
        <v>1</v>
      </c>
      <c r="D3" s="11">
        <v>2031061</v>
      </c>
      <c r="F3" s="12" t="s">
        <v>3</v>
      </c>
      <c r="H3" s="11">
        <v>331246</v>
      </c>
    </row>
    <row r="4" spans="1:8" x14ac:dyDescent="0.25">
      <c r="A4" s="13" t="s">
        <v>29</v>
      </c>
      <c r="C4" s="28">
        <v>472</v>
      </c>
    </row>
    <row r="5" spans="1:8" ht="21" x14ac:dyDescent="0.35">
      <c r="A5" s="2" t="s">
        <v>2</v>
      </c>
    </row>
    <row r="7" spans="1:8" ht="18.75" x14ac:dyDescent="0.3">
      <c r="A7" s="5" t="s">
        <v>370</v>
      </c>
      <c r="D7" s="4">
        <v>464695</v>
      </c>
      <c r="E7" s="27"/>
      <c r="H7" s="4">
        <v>74195</v>
      </c>
    </row>
    <row r="8" spans="1:8" ht="18.75" x14ac:dyDescent="0.3">
      <c r="A8" s="5" t="s">
        <v>222</v>
      </c>
      <c r="D8" s="4">
        <v>192887</v>
      </c>
      <c r="E8" s="27"/>
      <c r="H8" s="4">
        <v>30797</v>
      </c>
    </row>
    <row r="9" spans="1:8" ht="18.75" x14ac:dyDescent="0.3">
      <c r="A9" s="5" t="s">
        <v>371</v>
      </c>
      <c r="D9" s="4">
        <v>595184</v>
      </c>
      <c r="E9" s="27"/>
      <c r="H9" s="4">
        <v>95029</v>
      </c>
    </row>
    <row r="10" spans="1:8" ht="18.75" x14ac:dyDescent="0.3">
      <c r="A10" s="5" t="s">
        <v>372</v>
      </c>
      <c r="D10" s="4">
        <v>59518</v>
      </c>
      <c r="E10" s="27"/>
      <c r="H10" s="4">
        <v>9503</v>
      </c>
    </row>
    <row r="11" spans="1:8" ht="18.75" x14ac:dyDescent="0.3">
      <c r="A11" s="5" t="s">
        <v>373</v>
      </c>
      <c r="D11" s="30">
        <v>15000</v>
      </c>
      <c r="E11" s="27"/>
      <c r="H11" s="30"/>
    </row>
    <row r="12" spans="1:8" ht="19.5" thickBot="1" x14ac:dyDescent="0.35">
      <c r="A12" s="5"/>
      <c r="D12" s="23"/>
      <c r="E12" s="27"/>
      <c r="H12" s="23"/>
    </row>
    <row r="13" spans="1:8" ht="18.75" x14ac:dyDescent="0.3">
      <c r="D13" s="4">
        <f>SUM(D7:D12)</f>
        <v>1327284</v>
      </c>
      <c r="H13" s="33">
        <f>SUM(H7:H12)</f>
        <v>209524</v>
      </c>
    </row>
    <row r="14" spans="1:8" ht="18.75" x14ac:dyDescent="0.3">
      <c r="A14" s="5"/>
      <c r="C14" s="3"/>
      <c r="D14" s="4"/>
      <c r="H14" s="4"/>
    </row>
    <row r="15" spans="1:8" ht="15.75" thickBot="1" x14ac:dyDescent="0.3">
      <c r="D15" s="7"/>
      <c r="H15" s="7"/>
    </row>
    <row r="17" spans="1:8" ht="18.75" x14ac:dyDescent="0.3">
      <c r="C17" t="s">
        <v>4</v>
      </c>
      <c r="D17" s="4">
        <f>D3-D13</f>
        <v>703777</v>
      </c>
      <c r="G17" t="s">
        <v>5</v>
      </c>
      <c r="H17" s="4">
        <f>H3-H13</f>
        <v>121722</v>
      </c>
    </row>
    <row r="20" spans="1:8" ht="15.75" x14ac:dyDescent="0.25">
      <c r="A20" t="s">
        <v>6</v>
      </c>
      <c r="C20" s="8">
        <f>D17</f>
        <v>703777</v>
      </c>
      <c r="E20" t="s">
        <v>10</v>
      </c>
      <c r="H20" s="6">
        <f>C29</f>
        <v>573930.75600000005</v>
      </c>
    </row>
    <row r="22" spans="1:8" ht="15.75" x14ac:dyDescent="0.25">
      <c r="A22" t="s">
        <v>5</v>
      </c>
      <c r="B22" s="9" t="s">
        <v>7</v>
      </c>
      <c r="C22" s="8">
        <f>H17</f>
        <v>121722</v>
      </c>
      <c r="E22" s="13" t="s">
        <v>11</v>
      </c>
      <c r="F22" s="9" t="s">
        <v>12</v>
      </c>
      <c r="G22" s="15" t="s">
        <v>17</v>
      </c>
      <c r="H22" s="3">
        <f>-(F23*0.007)</f>
        <v>-12203.800000000001</v>
      </c>
    </row>
    <row r="23" spans="1:8" x14ac:dyDescent="0.25">
      <c r="F23" s="21">
        <v>1743400</v>
      </c>
    </row>
    <row r="24" spans="1:8" ht="16.5" thickBot="1" x14ac:dyDescent="0.3">
      <c r="A24" t="s">
        <v>8</v>
      </c>
      <c r="B24" s="9" t="s">
        <v>7</v>
      </c>
      <c r="C24" s="8">
        <f>D3*0.004</f>
        <v>8124.2440000000006</v>
      </c>
      <c r="F24" s="9" t="s">
        <v>13</v>
      </c>
      <c r="G24" s="16">
        <v>0.35</v>
      </c>
      <c r="H24" s="17">
        <f>-(F25*0.35)</f>
        <v>-200875.76459999999</v>
      </c>
    </row>
    <row r="25" spans="1:8" x14ac:dyDescent="0.25">
      <c r="F25" s="21">
        <f>H20</f>
        <v>573930.75600000005</v>
      </c>
    </row>
    <row r="26" spans="1:8" ht="15.75" x14ac:dyDescent="0.25">
      <c r="A26" t="s">
        <v>9</v>
      </c>
      <c r="B26" s="9" t="s">
        <v>7</v>
      </c>
      <c r="C26" s="10"/>
      <c r="G26" s="13" t="s">
        <v>14</v>
      </c>
      <c r="H26" s="6">
        <f>H20+H22+H24</f>
        <v>360851.19140000001</v>
      </c>
    </row>
    <row r="27" spans="1:8" ht="15.75" thickBot="1" x14ac:dyDescent="0.3">
      <c r="A27" s="16"/>
      <c r="B27" s="14"/>
      <c r="C27" s="7"/>
    </row>
    <row r="28" spans="1:8" x14ac:dyDescent="0.25">
      <c r="E28" t="s">
        <v>100</v>
      </c>
      <c r="H28" s="20">
        <f>H26*0.4</f>
        <v>144340.47656000001</v>
      </c>
    </row>
    <row r="29" spans="1:8" ht="15.75" x14ac:dyDescent="0.25">
      <c r="A29" t="s">
        <v>10</v>
      </c>
      <c r="C29" s="10">
        <f>C20-C22-C24-C26</f>
        <v>573930.75600000005</v>
      </c>
      <c r="H29" s="18"/>
    </row>
    <row r="30" spans="1:8" x14ac:dyDescent="0.25">
      <c r="H30" s="3"/>
    </row>
    <row r="31" spans="1:8" x14ac:dyDescent="0.25">
      <c r="H31" s="18"/>
    </row>
  </sheetData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427A7-FCD9-4D63-8E81-E0DAD3E88618}">
  <dimension ref="A1:H31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374</v>
      </c>
    </row>
    <row r="3" spans="1:8" ht="21" x14ac:dyDescent="0.35">
      <c r="A3" s="2" t="s">
        <v>1</v>
      </c>
      <c r="D3" s="11">
        <v>328440</v>
      </c>
      <c r="F3" s="12" t="s">
        <v>3</v>
      </c>
      <c r="H3" s="11">
        <v>52440</v>
      </c>
    </row>
    <row r="4" spans="1:8" x14ac:dyDescent="0.25">
      <c r="A4" s="13" t="s">
        <v>29</v>
      </c>
      <c r="C4" s="28">
        <v>479</v>
      </c>
    </row>
    <row r="5" spans="1:8" ht="21" x14ac:dyDescent="0.35">
      <c r="A5" s="2" t="s">
        <v>2</v>
      </c>
    </row>
    <row r="7" spans="1:8" ht="18.75" x14ac:dyDescent="0.3">
      <c r="A7" s="5" t="s">
        <v>375</v>
      </c>
      <c r="D7" s="4">
        <v>247815</v>
      </c>
      <c r="E7" s="27"/>
      <c r="H7" s="4">
        <v>39567</v>
      </c>
    </row>
    <row r="8" spans="1:8" ht="18.75" x14ac:dyDescent="0.3">
      <c r="A8" s="5"/>
      <c r="D8" s="4"/>
      <c r="E8" s="27"/>
      <c r="H8" s="4"/>
    </row>
    <row r="9" spans="1:8" ht="18.75" x14ac:dyDescent="0.3">
      <c r="A9" s="5"/>
      <c r="D9" s="4"/>
      <c r="E9" s="27"/>
      <c r="H9" s="4"/>
    </row>
    <row r="10" spans="1:8" ht="18.75" x14ac:dyDescent="0.3">
      <c r="A10" s="5"/>
      <c r="D10" s="4"/>
      <c r="E10" s="27"/>
      <c r="H10" s="4"/>
    </row>
    <row r="11" spans="1:8" ht="18.75" x14ac:dyDescent="0.3">
      <c r="A11" s="5"/>
      <c r="D11" s="30"/>
      <c r="E11" s="27"/>
      <c r="H11" s="30"/>
    </row>
    <row r="12" spans="1:8" ht="19.5" thickBot="1" x14ac:dyDescent="0.35">
      <c r="A12" s="5"/>
      <c r="D12" s="23"/>
      <c r="E12" s="27"/>
      <c r="H12" s="23"/>
    </row>
    <row r="13" spans="1:8" ht="18.75" x14ac:dyDescent="0.3">
      <c r="D13" s="4">
        <f>SUM(D7:D12)</f>
        <v>247815</v>
      </c>
      <c r="H13" s="33">
        <f>SUM(H7:H12)</f>
        <v>39567</v>
      </c>
    </row>
    <row r="14" spans="1:8" ht="18.75" x14ac:dyDescent="0.3">
      <c r="A14" s="5"/>
      <c r="C14" s="3"/>
      <c r="D14" s="4"/>
      <c r="H14" s="4"/>
    </row>
    <row r="15" spans="1:8" ht="15.75" thickBot="1" x14ac:dyDescent="0.3">
      <c r="D15" s="7"/>
      <c r="H15" s="7"/>
    </row>
    <row r="17" spans="1:8" ht="18.75" x14ac:dyDescent="0.3">
      <c r="C17" t="s">
        <v>4</v>
      </c>
      <c r="D17" s="4">
        <f>D3-D13</f>
        <v>80625</v>
      </c>
      <c r="G17" t="s">
        <v>5</v>
      </c>
      <c r="H17" s="4">
        <f>H3-H13</f>
        <v>12873</v>
      </c>
    </row>
    <row r="20" spans="1:8" ht="15.75" x14ac:dyDescent="0.25">
      <c r="A20" t="s">
        <v>6</v>
      </c>
      <c r="C20" s="8">
        <f>D17</f>
        <v>80625</v>
      </c>
      <c r="E20" t="s">
        <v>10</v>
      </c>
      <c r="H20" s="6">
        <f>C29</f>
        <v>66438.240000000005</v>
      </c>
    </row>
    <row r="22" spans="1:8" ht="15.75" x14ac:dyDescent="0.25">
      <c r="A22" t="s">
        <v>5</v>
      </c>
      <c r="B22" s="9" t="s">
        <v>7</v>
      </c>
      <c r="C22" s="8">
        <f>H17</f>
        <v>12873</v>
      </c>
      <c r="E22" s="13" t="s">
        <v>11</v>
      </c>
      <c r="F22" s="9" t="s">
        <v>12</v>
      </c>
      <c r="G22" s="15" t="s">
        <v>17</v>
      </c>
      <c r="H22" s="3">
        <f>-(F23*0.007)</f>
        <v>-1932</v>
      </c>
    </row>
    <row r="23" spans="1:8" x14ac:dyDescent="0.25">
      <c r="F23" s="21">
        <f>D3-H3</f>
        <v>276000</v>
      </c>
    </row>
    <row r="24" spans="1:8" ht="16.5" thickBot="1" x14ac:dyDescent="0.3">
      <c r="A24" t="s">
        <v>8</v>
      </c>
      <c r="B24" s="9" t="s">
        <v>7</v>
      </c>
      <c r="C24" s="8">
        <f>D3*0.004</f>
        <v>1313.76</v>
      </c>
      <c r="F24" s="9" t="s">
        <v>13</v>
      </c>
      <c r="G24" s="16">
        <v>0.35</v>
      </c>
      <c r="H24" s="17">
        <f>-(F25*0.35)</f>
        <v>-23253.384000000002</v>
      </c>
    </row>
    <row r="25" spans="1:8" x14ac:dyDescent="0.25">
      <c r="F25" s="21">
        <f>H20</f>
        <v>66438.240000000005</v>
      </c>
    </row>
    <row r="26" spans="1:8" ht="15.75" x14ac:dyDescent="0.25">
      <c r="A26" t="s">
        <v>9</v>
      </c>
      <c r="B26" s="9" t="s">
        <v>7</v>
      </c>
      <c r="C26" s="10"/>
      <c r="G26" s="13" t="s">
        <v>14</v>
      </c>
      <c r="H26" s="6">
        <f>H20+H22+H24</f>
        <v>41252.856</v>
      </c>
    </row>
    <row r="27" spans="1:8" ht="15.75" thickBot="1" x14ac:dyDescent="0.3">
      <c r="A27" s="16"/>
      <c r="B27" s="14"/>
      <c r="C27" s="7"/>
    </row>
    <row r="28" spans="1:8" x14ac:dyDescent="0.25">
      <c r="E28" t="s">
        <v>100</v>
      </c>
      <c r="H28" s="20">
        <f>H26*0.4</f>
        <v>16501.142400000001</v>
      </c>
    </row>
    <row r="29" spans="1:8" ht="15.75" x14ac:dyDescent="0.25">
      <c r="A29" t="s">
        <v>10</v>
      </c>
      <c r="C29" s="10">
        <f>C20-C22-C24-C26</f>
        <v>66438.240000000005</v>
      </c>
      <c r="H29" s="18"/>
    </row>
    <row r="30" spans="1:8" x14ac:dyDescent="0.25">
      <c r="H30" s="3"/>
    </row>
    <row r="31" spans="1:8" x14ac:dyDescent="0.25">
      <c r="H31" s="18"/>
    </row>
  </sheetData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2C67F-B90F-49F8-B240-3DC80A22F3CF}">
  <dimension ref="A1:H31"/>
  <sheetViews>
    <sheetView workbookViewId="0">
      <selection activeCell="C4" sqref="C4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376</v>
      </c>
    </row>
    <row r="3" spans="1:8" ht="21" x14ac:dyDescent="0.35">
      <c r="A3" s="2" t="s">
        <v>1</v>
      </c>
      <c r="D3" s="11">
        <v>317730</v>
      </c>
      <c r="F3" s="12" t="s">
        <v>3</v>
      </c>
      <c r="H3" s="11">
        <v>50730</v>
      </c>
    </row>
    <row r="4" spans="1:8" x14ac:dyDescent="0.25">
      <c r="A4" s="13" t="s">
        <v>29</v>
      </c>
      <c r="C4" s="28">
        <v>481</v>
      </c>
    </row>
    <row r="5" spans="1:8" ht="21" x14ac:dyDescent="0.35">
      <c r="A5" s="2" t="s">
        <v>2</v>
      </c>
    </row>
    <row r="7" spans="1:8" ht="18.75" x14ac:dyDescent="0.3">
      <c r="A7" s="5" t="s">
        <v>310</v>
      </c>
      <c r="D7" s="4">
        <v>240654</v>
      </c>
      <c r="E7" s="27"/>
      <c r="H7" s="4">
        <v>38424</v>
      </c>
    </row>
    <row r="8" spans="1:8" ht="18.75" x14ac:dyDescent="0.3">
      <c r="A8" s="5"/>
      <c r="D8" s="4"/>
      <c r="E8" s="27"/>
      <c r="H8" s="4"/>
    </row>
    <row r="9" spans="1:8" ht="18.75" x14ac:dyDescent="0.3">
      <c r="A9" s="5"/>
      <c r="D9" s="4"/>
      <c r="E9" s="27"/>
      <c r="H9" s="4"/>
    </row>
    <row r="10" spans="1:8" ht="18.75" x14ac:dyDescent="0.3">
      <c r="A10" s="5"/>
      <c r="D10" s="4"/>
      <c r="E10" s="27"/>
      <c r="H10" s="4"/>
    </row>
    <row r="11" spans="1:8" ht="18.75" x14ac:dyDescent="0.3">
      <c r="A11" s="5"/>
      <c r="D11" s="30"/>
      <c r="E11" s="27"/>
      <c r="H11" s="30"/>
    </row>
    <row r="12" spans="1:8" ht="19.5" thickBot="1" x14ac:dyDescent="0.35">
      <c r="A12" s="5"/>
      <c r="D12" s="23"/>
      <c r="E12" s="27"/>
      <c r="H12" s="23"/>
    </row>
    <row r="13" spans="1:8" ht="18.75" x14ac:dyDescent="0.3">
      <c r="D13" s="4">
        <f>SUM(D7:D12)</f>
        <v>240654</v>
      </c>
      <c r="H13" s="33">
        <f>SUM(H7:H12)</f>
        <v>38424</v>
      </c>
    </row>
    <row r="14" spans="1:8" ht="18.75" x14ac:dyDescent="0.3">
      <c r="A14" s="5"/>
      <c r="C14" s="3"/>
      <c r="D14" s="4"/>
      <c r="H14" s="4"/>
    </row>
    <row r="15" spans="1:8" ht="15.75" thickBot="1" x14ac:dyDescent="0.3">
      <c r="D15" s="7"/>
      <c r="H15" s="7"/>
    </row>
    <row r="17" spans="1:8" ht="18.75" x14ac:dyDescent="0.3">
      <c r="C17" t="s">
        <v>4</v>
      </c>
      <c r="D17" s="4">
        <f>D3-D13</f>
        <v>77076</v>
      </c>
      <c r="G17" t="s">
        <v>5</v>
      </c>
      <c r="H17" s="4">
        <f>H3-H13</f>
        <v>12306</v>
      </c>
    </row>
    <row r="20" spans="1:8" ht="15.75" x14ac:dyDescent="0.25">
      <c r="A20" t="s">
        <v>6</v>
      </c>
      <c r="C20" s="8">
        <f>D17</f>
        <v>77076</v>
      </c>
      <c r="E20" t="s">
        <v>10</v>
      </c>
      <c r="H20" s="6">
        <f>C29</f>
        <v>63499.08</v>
      </c>
    </row>
    <row r="22" spans="1:8" ht="15.75" x14ac:dyDescent="0.25">
      <c r="A22" t="s">
        <v>5</v>
      </c>
      <c r="B22" s="9" t="s">
        <v>7</v>
      </c>
      <c r="C22" s="8">
        <f>H17</f>
        <v>12306</v>
      </c>
      <c r="E22" s="13" t="s">
        <v>11</v>
      </c>
      <c r="F22" s="9" t="s">
        <v>12</v>
      </c>
      <c r="G22" s="15" t="s">
        <v>17</v>
      </c>
      <c r="H22" s="3">
        <f>-(F23*0.007)</f>
        <v>-1869</v>
      </c>
    </row>
    <row r="23" spans="1:8" x14ac:dyDescent="0.25">
      <c r="F23" s="21">
        <f>D3-H3</f>
        <v>267000</v>
      </c>
    </row>
    <row r="24" spans="1:8" ht="16.5" thickBot="1" x14ac:dyDescent="0.3">
      <c r="A24" t="s">
        <v>8</v>
      </c>
      <c r="B24" s="9" t="s">
        <v>7</v>
      </c>
      <c r="C24" s="8">
        <f>D3*0.004</f>
        <v>1270.92</v>
      </c>
      <c r="F24" s="9" t="s">
        <v>13</v>
      </c>
      <c r="G24" s="16">
        <v>0.35</v>
      </c>
      <c r="H24" s="17">
        <f>-(F25*0.35)</f>
        <v>-22224.678</v>
      </c>
    </row>
    <row r="25" spans="1:8" x14ac:dyDescent="0.25">
      <c r="F25" s="21">
        <f>H20</f>
        <v>63499.08</v>
      </c>
    </row>
    <row r="26" spans="1:8" ht="15.75" x14ac:dyDescent="0.25">
      <c r="A26" t="s">
        <v>9</v>
      </c>
      <c r="B26" s="9" t="s">
        <v>7</v>
      </c>
      <c r="C26" s="10"/>
      <c r="G26" s="13" t="s">
        <v>14</v>
      </c>
      <c r="H26" s="6">
        <f>H20+H22+H24</f>
        <v>39405.402000000002</v>
      </c>
    </row>
    <row r="27" spans="1:8" ht="15.75" thickBot="1" x14ac:dyDescent="0.3">
      <c r="A27" s="16"/>
      <c r="B27" s="14"/>
      <c r="C27" s="7"/>
    </row>
    <row r="28" spans="1:8" x14ac:dyDescent="0.25">
      <c r="E28" t="s">
        <v>100</v>
      </c>
      <c r="H28" s="20">
        <f>H26*0.4</f>
        <v>15762.160800000001</v>
      </c>
    </row>
    <row r="29" spans="1:8" ht="15.75" x14ac:dyDescent="0.25">
      <c r="A29" t="s">
        <v>10</v>
      </c>
      <c r="C29" s="10">
        <f>C20-C22-C24-C26</f>
        <v>63499.08</v>
      </c>
      <c r="H29" s="18"/>
    </row>
    <row r="30" spans="1:8" x14ac:dyDescent="0.25">
      <c r="H30" s="3"/>
    </row>
    <row r="31" spans="1:8" x14ac:dyDescent="0.25">
      <c r="H31" s="18"/>
    </row>
  </sheetData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DBFFD-C0F3-47BC-B3BB-380C8574675D}">
  <dimension ref="A1:H31"/>
  <sheetViews>
    <sheetView workbookViewId="0">
      <selection activeCell="C4" sqref="C4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377</v>
      </c>
    </row>
    <row r="3" spans="1:8" ht="21" x14ac:dyDescent="0.35">
      <c r="A3" s="2" t="s">
        <v>1</v>
      </c>
      <c r="D3" s="11">
        <v>999635</v>
      </c>
      <c r="F3" s="12" t="s">
        <v>3</v>
      </c>
      <c r="H3" s="11">
        <v>160550</v>
      </c>
    </row>
    <row r="4" spans="1:8" x14ac:dyDescent="0.25">
      <c r="A4" s="13" t="s">
        <v>29</v>
      </c>
      <c r="C4" s="28">
        <v>483</v>
      </c>
    </row>
    <row r="5" spans="1:8" ht="21" x14ac:dyDescent="0.35">
      <c r="A5" s="2" t="s">
        <v>2</v>
      </c>
    </row>
    <row r="7" spans="1:8" ht="18.75" x14ac:dyDescent="0.3">
      <c r="A7" s="5" t="s">
        <v>378</v>
      </c>
      <c r="D7" s="4">
        <v>669732</v>
      </c>
      <c r="E7" s="27"/>
      <c r="H7" s="4">
        <v>106932</v>
      </c>
    </row>
    <row r="8" spans="1:8" ht="18.75" x14ac:dyDescent="0.3">
      <c r="A8" s="5"/>
      <c r="D8" s="4"/>
      <c r="E8" s="27"/>
      <c r="H8" s="4"/>
    </row>
    <row r="9" spans="1:8" ht="18.75" x14ac:dyDescent="0.3">
      <c r="A9" s="5"/>
      <c r="D9" s="4"/>
      <c r="E9" s="27"/>
      <c r="H9" s="4"/>
    </row>
    <row r="10" spans="1:8" ht="18.75" x14ac:dyDescent="0.3">
      <c r="A10" s="5"/>
      <c r="D10" s="4"/>
      <c r="E10" s="27"/>
      <c r="H10" s="4"/>
    </row>
    <row r="11" spans="1:8" ht="18.75" x14ac:dyDescent="0.3">
      <c r="A11" s="5"/>
      <c r="D11" s="30"/>
      <c r="E11" s="27"/>
      <c r="H11" s="30"/>
    </row>
    <row r="12" spans="1:8" ht="19.5" thickBot="1" x14ac:dyDescent="0.35">
      <c r="A12" s="5"/>
      <c r="D12" s="23"/>
      <c r="E12" s="27"/>
      <c r="H12" s="23"/>
    </row>
    <row r="13" spans="1:8" ht="18.75" x14ac:dyDescent="0.3">
      <c r="D13" s="4">
        <f>SUM(D7:D12)</f>
        <v>669732</v>
      </c>
      <c r="H13" s="33">
        <f>SUM(H7:H12)</f>
        <v>106932</v>
      </c>
    </row>
    <row r="14" spans="1:8" ht="18.75" x14ac:dyDescent="0.3">
      <c r="A14" s="5"/>
      <c r="C14" s="3"/>
      <c r="D14" s="4"/>
      <c r="H14" s="4"/>
    </row>
    <row r="15" spans="1:8" ht="15.75" thickBot="1" x14ac:dyDescent="0.3">
      <c r="D15" s="7"/>
      <c r="H15" s="7"/>
    </row>
    <row r="17" spans="1:8" ht="18.75" x14ac:dyDescent="0.3">
      <c r="C17" t="s">
        <v>4</v>
      </c>
      <c r="D17" s="4">
        <f>D3-D13</f>
        <v>329903</v>
      </c>
      <c r="G17" t="s">
        <v>5</v>
      </c>
      <c r="H17" s="4">
        <f>H3-H13</f>
        <v>53618</v>
      </c>
    </row>
    <row r="20" spans="1:8" ht="15.75" x14ac:dyDescent="0.25">
      <c r="A20" t="s">
        <v>6</v>
      </c>
      <c r="C20" s="8">
        <f>D17</f>
        <v>329903</v>
      </c>
      <c r="E20" t="s">
        <v>10</v>
      </c>
      <c r="H20" s="6">
        <f>C29</f>
        <v>272286.46000000002</v>
      </c>
    </row>
    <row r="22" spans="1:8" ht="15.75" x14ac:dyDescent="0.25">
      <c r="A22" t="s">
        <v>5</v>
      </c>
      <c r="B22" s="9" t="s">
        <v>7</v>
      </c>
      <c r="C22" s="8">
        <f>H17</f>
        <v>53618</v>
      </c>
      <c r="E22" s="13" t="s">
        <v>11</v>
      </c>
      <c r="F22" s="9" t="s">
        <v>12</v>
      </c>
      <c r="G22" s="15" t="s">
        <v>17</v>
      </c>
      <c r="H22" s="3">
        <f>-(F23*0.007)</f>
        <v>-5915</v>
      </c>
    </row>
    <row r="23" spans="1:8" x14ac:dyDescent="0.25">
      <c r="F23" s="21">
        <v>845000</v>
      </c>
    </row>
    <row r="24" spans="1:8" ht="16.5" thickBot="1" x14ac:dyDescent="0.3">
      <c r="A24" t="s">
        <v>8</v>
      </c>
      <c r="B24" s="9" t="s">
        <v>7</v>
      </c>
      <c r="C24" s="8">
        <f>D3*0.004</f>
        <v>3998.54</v>
      </c>
      <c r="F24" s="9" t="s">
        <v>13</v>
      </c>
      <c r="G24" s="16">
        <v>0.35</v>
      </c>
      <c r="H24" s="17">
        <f>-(F25*0.35)</f>
        <v>-95300.260999999999</v>
      </c>
    </row>
    <row r="25" spans="1:8" x14ac:dyDescent="0.25">
      <c r="F25" s="21">
        <f>H20</f>
        <v>272286.46000000002</v>
      </c>
    </row>
    <row r="26" spans="1:8" ht="15.75" x14ac:dyDescent="0.25">
      <c r="A26" t="s">
        <v>9</v>
      </c>
      <c r="B26" s="9" t="s">
        <v>7</v>
      </c>
      <c r="C26" s="10"/>
      <c r="G26" s="13" t="s">
        <v>14</v>
      </c>
      <c r="H26" s="6">
        <f>H20+H22+H24</f>
        <v>171071.19900000002</v>
      </c>
    </row>
    <row r="27" spans="1:8" ht="15.75" thickBot="1" x14ac:dyDescent="0.3">
      <c r="A27" s="16"/>
      <c r="B27" s="14"/>
      <c r="C27" s="7"/>
    </row>
    <row r="28" spans="1:8" x14ac:dyDescent="0.25">
      <c r="E28" t="s">
        <v>100</v>
      </c>
      <c r="H28" s="20">
        <f>H26*0.4</f>
        <v>68428.479600000006</v>
      </c>
    </row>
    <row r="29" spans="1:8" ht="15.75" x14ac:dyDescent="0.25">
      <c r="A29" t="s">
        <v>10</v>
      </c>
      <c r="C29" s="10">
        <f>C20-C22-C24-C26</f>
        <v>272286.46000000002</v>
      </c>
      <c r="H29" s="18"/>
    </row>
    <row r="30" spans="1:8" x14ac:dyDescent="0.25">
      <c r="H30" s="3"/>
    </row>
    <row r="31" spans="1:8" x14ac:dyDescent="0.25">
      <c r="H31" s="18"/>
    </row>
  </sheetData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F2A97-6ED4-49C1-9CF6-B1991383A2E7}">
  <dimension ref="A1:H31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379</v>
      </c>
    </row>
    <row r="3" spans="1:8" ht="21" x14ac:dyDescent="0.35">
      <c r="A3" s="2" t="s">
        <v>1</v>
      </c>
      <c r="D3" s="11">
        <v>873722</v>
      </c>
      <c r="F3" s="12" t="s">
        <v>3</v>
      </c>
      <c r="H3" s="11">
        <v>139502</v>
      </c>
    </row>
    <row r="4" spans="1:8" x14ac:dyDescent="0.25">
      <c r="A4" s="13" t="s">
        <v>29</v>
      </c>
      <c r="C4" s="28">
        <v>484</v>
      </c>
    </row>
    <row r="5" spans="1:8" ht="21" x14ac:dyDescent="0.35">
      <c r="A5" s="2" t="s">
        <v>2</v>
      </c>
    </row>
    <row r="7" spans="1:8" ht="18.75" x14ac:dyDescent="0.3">
      <c r="A7" s="5" t="s">
        <v>380</v>
      </c>
      <c r="D7" s="4">
        <v>646491</v>
      </c>
      <c r="E7" s="27"/>
      <c r="H7" s="4">
        <v>103221</v>
      </c>
    </row>
    <row r="8" spans="1:8" ht="18.75" x14ac:dyDescent="0.3">
      <c r="A8" s="5"/>
      <c r="D8" s="4"/>
      <c r="E8" s="27"/>
      <c r="H8" s="4"/>
    </row>
    <row r="9" spans="1:8" ht="18.75" x14ac:dyDescent="0.3">
      <c r="A9" s="5"/>
      <c r="D9" s="4"/>
      <c r="E9" s="27"/>
      <c r="H9" s="4"/>
    </row>
    <row r="10" spans="1:8" ht="18.75" x14ac:dyDescent="0.3">
      <c r="A10" s="5"/>
      <c r="D10" s="4"/>
      <c r="E10" s="27"/>
      <c r="H10" s="4"/>
    </row>
    <row r="11" spans="1:8" ht="18.75" x14ac:dyDescent="0.3">
      <c r="A11" s="5"/>
      <c r="D11" s="30"/>
      <c r="E11" s="27"/>
      <c r="H11" s="30"/>
    </row>
    <row r="12" spans="1:8" ht="19.5" thickBot="1" x14ac:dyDescent="0.35">
      <c r="A12" s="5"/>
      <c r="D12" s="23"/>
      <c r="E12" s="27"/>
      <c r="H12" s="23"/>
    </row>
    <row r="13" spans="1:8" ht="18.75" x14ac:dyDescent="0.3">
      <c r="D13" s="4">
        <f>SUM(D7:D12)</f>
        <v>646491</v>
      </c>
      <c r="H13" s="33">
        <f>SUM(H7:H12)</f>
        <v>103221</v>
      </c>
    </row>
    <row r="14" spans="1:8" ht="18.75" x14ac:dyDescent="0.3">
      <c r="A14" s="5"/>
      <c r="C14" s="3"/>
      <c r="D14" s="4"/>
      <c r="H14" s="4"/>
    </row>
    <row r="15" spans="1:8" ht="15.75" thickBot="1" x14ac:dyDescent="0.3">
      <c r="D15" s="7"/>
      <c r="H15" s="7"/>
    </row>
    <row r="17" spans="1:8" ht="18.75" x14ac:dyDescent="0.3">
      <c r="C17" t="s">
        <v>4</v>
      </c>
      <c r="D17" s="4">
        <f>D3-D13</f>
        <v>227231</v>
      </c>
      <c r="G17" t="s">
        <v>5</v>
      </c>
      <c r="H17" s="4">
        <f>H3-H13</f>
        <v>36281</v>
      </c>
    </row>
    <row r="20" spans="1:8" ht="15.75" x14ac:dyDescent="0.25">
      <c r="A20" t="s">
        <v>6</v>
      </c>
      <c r="C20" s="8">
        <f>D17</f>
        <v>227231</v>
      </c>
      <c r="E20" t="s">
        <v>10</v>
      </c>
      <c r="H20" s="6">
        <f>C29</f>
        <v>187455.11199999999</v>
      </c>
    </row>
    <row r="22" spans="1:8" ht="15.75" x14ac:dyDescent="0.25">
      <c r="A22" t="s">
        <v>5</v>
      </c>
      <c r="B22" s="9" t="s">
        <v>7</v>
      </c>
      <c r="C22" s="8">
        <f>H17</f>
        <v>36281</v>
      </c>
      <c r="E22" s="13" t="s">
        <v>11</v>
      </c>
      <c r="F22" s="9" t="s">
        <v>12</v>
      </c>
      <c r="G22" s="15" t="s">
        <v>17</v>
      </c>
      <c r="H22" s="3">
        <f>-(F23*0.007)</f>
        <v>-5139.54</v>
      </c>
    </row>
    <row r="23" spans="1:8" x14ac:dyDescent="0.25">
      <c r="F23" s="21">
        <f>D3-H3</f>
        <v>734220</v>
      </c>
    </row>
    <row r="24" spans="1:8" ht="16.5" thickBot="1" x14ac:dyDescent="0.3">
      <c r="A24" t="s">
        <v>8</v>
      </c>
      <c r="B24" s="9" t="s">
        <v>7</v>
      </c>
      <c r="C24" s="8">
        <f>D3*0.004</f>
        <v>3494.8879999999999</v>
      </c>
      <c r="F24" s="9" t="s">
        <v>13</v>
      </c>
      <c r="G24" s="16">
        <v>0.35</v>
      </c>
      <c r="H24" s="17">
        <f>-(F25*0.35)</f>
        <v>-65609.289199999999</v>
      </c>
    </row>
    <row r="25" spans="1:8" x14ac:dyDescent="0.25">
      <c r="F25" s="21">
        <f>H20</f>
        <v>187455.11199999999</v>
      </c>
    </row>
    <row r="26" spans="1:8" ht="15.75" x14ac:dyDescent="0.25">
      <c r="A26" t="s">
        <v>9</v>
      </c>
      <c r="B26" s="9" t="s">
        <v>7</v>
      </c>
      <c r="C26" s="10"/>
      <c r="G26" s="13" t="s">
        <v>14</v>
      </c>
      <c r="H26" s="6">
        <f>H20+H22+H24</f>
        <v>116706.28279999999</v>
      </c>
    </row>
    <row r="27" spans="1:8" ht="15.75" thickBot="1" x14ac:dyDescent="0.3">
      <c r="A27" s="16"/>
      <c r="B27" s="14"/>
      <c r="C27" s="7"/>
    </row>
    <row r="28" spans="1:8" x14ac:dyDescent="0.25">
      <c r="E28" t="s">
        <v>100</v>
      </c>
      <c r="H28" s="20">
        <f>H26*0.4</f>
        <v>46682.513119999996</v>
      </c>
    </row>
    <row r="29" spans="1:8" ht="15.75" x14ac:dyDescent="0.25">
      <c r="A29" t="s">
        <v>10</v>
      </c>
      <c r="C29" s="10">
        <f>C20-C22-C24-C26</f>
        <v>187455.11199999999</v>
      </c>
      <c r="H29" s="18"/>
    </row>
    <row r="30" spans="1:8" x14ac:dyDescent="0.25">
      <c r="H30" s="3"/>
    </row>
    <row r="31" spans="1:8" x14ac:dyDescent="0.25">
      <c r="H31" s="18"/>
    </row>
  </sheetData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48915-3CAE-444F-A8E4-EEEDA816DA39}">
  <dimension ref="A1:H31"/>
  <sheetViews>
    <sheetView workbookViewId="0">
      <selection activeCell="C5" sqref="C5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381</v>
      </c>
    </row>
    <row r="3" spans="1:8" ht="21" x14ac:dyDescent="0.35">
      <c r="A3" s="2" t="s">
        <v>1</v>
      </c>
      <c r="D3" s="11">
        <v>2929740</v>
      </c>
      <c r="F3" s="12" t="s">
        <v>3</v>
      </c>
      <c r="H3" s="11">
        <v>480700</v>
      </c>
    </row>
    <row r="4" spans="1:8" x14ac:dyDescent="0.25">
      <c r="A4" s="13" t="s">
        <v>29</v>
      </c>
      <c r="C4" s="28">
        <v>485</v>
      </c>
    </row>
    <row r="5" spans="1:8" ht="21" x14ac:dyDescent="0.35">
      <c r="A5" s="2" t="s">
        <v>2</v>
      </c>
    </row>
    <row r="7" spans="1:8" ht="18.75" x14ac:dyDescent="0.3">
      <c r="A7" s="5" t="s">
        <v>382</v>
      </c>
      <c r="D7" s="4">
        <v>1309610</v>
      </c>
      <c r="E7" s="27"/>
      <c r="H7" s="4">
        <v>209097</v>
      </c>
    </row>
    <row r="8" spans="1:8" ht="18.75" x14ac:dyDescent="0.3">
      <c r="A8" s="5" t="s">
        <v>383</v>
      </c>
      <c r="D8" s="4">
        <v>553350</v>
      </c>
      <c r="E8" s="27"/>
      <c r="H8" s="4">
        <v>88350</v>
      </c>
    </row>
    <row r="9" spans="1:8" ht="18.75" x14ac:dyDescent="0.3">
      <c r="A9" s="5"/>
      <c r="D9" s="4"/>
      <c r="E9" s="27"/>
      <c r="H9" s="4"/>
    </row>
    <row r="10" spans="1:8" ht="18.75" x14ac:dyDescent="0.3">
      <c r="A10" s="5"/>
      <c r="D10" s="4"/>
      <c r="E10" s="27"/>
      <c r="H10" s="4"/>
    </row>
    <row r="11" spans="1:8" ht="18.75" x14ac:dyDescent="0.3">
      <c r="A11" s="5"/>
      <c r="D11" s="30"/>
      <c r="E11" s="27"/>
      <c r="H11" s="30"/>
    </row>
    <row r="12" spans="1:8" ht="19.5" thickBot="1" x14ac:dyDescent="0.35">
      <c r="A12" s="5"/>
      <c r="D12" s="23"/>
      <c r="E12" s="27"/>
      <c r="H12" s="23"/>
    </row>
    <row r="13" spans="1:8" ht="18.75" x14ac:dyDescent="0.3">
      <c r="D13" s="4">
        <f>SUM(D7:D12)</f>
        <v>1862960</v>
      </c>
      <c r="H13" s="33">
        <f>SUM(H7:H12)</f>
        <v>297447</v>
      </c>
    </row>
    <row r="14" spans="1:8" ht="18.75" x14ac:dyDescent="0.3">
      <c r="A14" s="5"/>
      <c r="C14" s="3"/>
      <c r="D14" s="4"/>
      <c r="H14" s="4"/>
    </row>
    <row r="15" spans="1:8" ht="15.75" thickBot="1" x14ac:dyDescent="0.3">
      <c r="D15" s="7"/>
      <c r="H15" s="7"/>
    </row>
    <row r="17" spans="1:8" ht="18.75" x14ac:dyDescent="0.3">
      <c r="C17" t="s">
        <v>4</v>
      </c>
      <c r="D17" s="4">
        <f>D3-D13</f>
        <v>1066780</v>
      </c>
      <c r="G17" t="s">
        <v>5</v>
      </c>
      <c r="H17" s="4">
        <f>H3-H13</f>
        <v>183253</v>
      </c>
    </row>
    <row r="20" spans="1:8" ht="15.75" x14ac:dyDescent="0.25">
      <c r="A20" t="s">
        <v>6</v>
      </c>
      <c r="C20" s="8">
        <f>D17</f>
        <v>1066780</v>
      </c>
      <c r="E20" t="s">
        <v>10</v>
      </c>
      <c r="H20" s="6">
        <f>C29</f>
        <v>871808.04</v>
      </c>
    </row>
    <row r="22" spans="1:8" ht="15.75" x14ac:dyDescent="0.25">
      <c r="A22" t="s">
        <v>5</v>
      </c>
      <c r="B22" s="9" t="s">
        <v>7</v>
      </c>
      <c r="C22" s="8">
        <f>H17</f>
        <v>183253</v>
      </c>
      <c r="E22" s="13" t="s">
        <v>11</v>
      </c>
      <c r="F22" s="9" t="s">
        <v>12</v>
      </c>
      <c r="G22" s="15" t="s">
        <v>17</v>
      </c>
      <c r="H22" s="3">
        <f>-(F23*0.007)</f>
        <v>-17710</v>
      </c>
    </row>
    <row r="23" spans="1:8" x14ac:dyDescent="0.25">
      <c r="F23" s="21">
        <v>2530000</v>
      </c>
    </row>
    <row r="24" spans="1:8" ht="16.5" thickBot="1" x14ac:dyDescent="0.3">
      <c r="A24" t="s">
        <v>8</v>
      </c>
      <c r="B24" s="9" t="s">
        <v>7</v>
      </c>
      <c r="C24" s="8">
        <f>D3*0.004</f>
        <v>11718.960000000001</v>
      </c>
      <c r="F24" s="9" t="s">
        <v>13</v>
      </c>
      <c r="G24" s="16">
        <v>0.35</v>
      </c>
      <c r="H24" s="17">
        <f>-(F25*0.35)</f>
        <v>-305132.81400000001</v>
      </c>
    </row>
    <row r="25" spans="1:8" x14ac:dyDescent="0.25">
      <c r="F25" s="21">
        <f>H20</f>
        <v>871808.04</v>
      </c>
    </row>
    <row r="26" spans="1:8" ht="15.75" x14ac:dyDescent="0.25">
      <c r="A26" t="s">
        <v>9</v>
      </c>
      <c r="B26" s="9" t="s">
        <v>7</v>
      </c>
      <c r="C26" s="10"/>
      <c r="G26" s="13" t="s">
        <v>14</v>
      </c>
      <c r="H26" s="6">
        <f>H20+H22+H24</f>
        <v>548965.22600000002</v>
      </c>
    </row>
    <row r="27" spans="1:8" ht="15.75" thickBot="1" x14ac:dyDescent="0.3">
      <c r="A27" s="16"/>
      <c r="B27" s="14"/>
      <c r="C27" s="7"/>
    </row>
    <row r="28" spans="1:8" x14ac:dyDescent="0.25">
      <c r="E28" t="s">
        <v>100</v>
      </c>
      <c r="H28" s="20">
        <f>H26*0.4</f>
        <v>219586.09040000002</v>
      </c>
    </row>
    <row r="29" spans="1:8" ht="15.75" x14ac:dyDescent="0.25">
      <c r="A29" t="s">
        <v>10</v>
      </c>
      <c r="C29" s="10">
        <f>C20-C22-C24-C26</f>
        <v>871808.04</v>
      </c>
      <c r="H29" s="18"/>
    </row>
    <row r="30" spans="1:8" x14ac:dyDescent="0.25">
      <c r="H30" s="3"/>
    </row>
    <row r="31" spans="1:8" x14ac:dyDescent="0.25">
      <c r="H31" s="18"/>
    </row>
  </sheetData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52EB7-9D54-4930-B90A-23C69F069455}">
  <dimension ref="A1:H31"/>
  <sheetViews>
    <sheetView topLeftCell="A12" workbookViewId="0">
      <selection activeCell="F24" sqref="F24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384</v>
      </c>
    </row>
    <row r="3" spans="1:8" ht="21" x14ac:dyDescent="0.35">
      <c r="A3" s="2" t="s">
        <v>1</v>
      </c>
      <c r="D3" s="11">
        <v>285600</v>
      </c>
      <c r="F3" s="12" t="s">
        <v>3</v>
      </c>
      <c r="H3" s="11">
        <v>45600</v>
      </c>
    </row>
    <row r="4" spans="1:8" x14ac:dyDescent="0.25">
      <c r="A4" s="13" t="s">
        <v>29</v>
      </c>
      <c r="C4" s="28">
        <v>489</v>
      </c>
    </row>
    <row r="5" spans="1:8" ht="21" x14ac:dyDescent="0.35">
      <c r="A5" s="2" t="s">
        <v>2</v>
      </c>
    </row>
    <row r="7" spans="1:8" ht="18.75" x14ac:dyDescent="0.3">
      <c r="A7" s="5" t="s">
        <v>385</v>
      </c>
      <c r="D7" s="4">
        <v>103887</v>
      </c>
      <c r="E7" s="27"/>
      <c r="H7" s="4">
        <v>16587</v>
      </c>
    </row>
    <row r="8" spans="1:8" ht="18.75" x14ac:dyDescent="0.3">
      <c r="A8" s="5"/>
      <c r="D8" s="4"/>
      <c r="E8" s="27"/>
      <c r="H8" s="4"/>
    </row>
    <row r="9" spans="1:8" ht="18.75" x14ac:dyDescent="0.3">
      <c r="A9" s="5"/>
      <c r="D9" s="4"/>
      <c r="E9" s="27"/>
      <c r="H9" s="4"/>
    </row>
    <row r="10" spans="1:8" ht="18.75" x14ac:dyDescent="0.3">
      <c r="A10" s="5"/>
      <c r="D10" s="4"/>
      <c r="E10" s="27"/>
      <c r="H10" s="4"/>
    </row>
    <row r="11" spans="1:8" ht="18.75" x14ac:dyDescent="0.3">
      <c r="A11" s="5"/>
      <c r="D11" s="30"/>
      <c r="E11" s="27"/>
      <c r="H11" s="30"/>
    </row>
    <row r="12" spans="1:8" ht="19.5" thickBot="1" x14ac:dyDescent="0.35">
      <c r="A12" s="5"/>
      <c r="D12" s="23"/>
      <c r="E12" s="27"/>
      <c r="H12" s="23"/>
    </row>
    <row r="13" spans="1:8" ht="18.75" x14ac:dyDescent="0.3">
      <c r="D13" s="4">
        <f>SUM(D7:D12)</f>
        <v>103887</v>
      </c>
      <c r="H13" s="33">
        <f>SUM(H7:H12)</f>
        <v>16587</v>
      </c>
    </row>
    <row r="14" spans="1:8" ht="18.75" x14ac:dyDescent="0.3">
      <c r="A14" s="5"/>
      <c r="C14" s="3"/>
      <c r="D14" s="4"/>
      <c r="H14" s="4"/>
    </row>
    <row r="15" spans="1:8" ht="15.75" thickBot="1" x14ac:dyDescent="0.3">
      <c r="D15" s="7"/>
      <c r="H15" s="7"/>
    </row>
    <row r="17" spans="1:8" ht="18.75" x14ac:dyDescent="0.3">
      <c r="C17" t="s">
        <v>4</v>
      </c>
      <c r="D17" s="4">
        <f>D3-D13</f>
        <v>181713</v>
      </c>
      <c r="G17" t="s">
        <v>5</v>
      </c>
      <c r="H17" s="4">
        <f>H3-H13</f>
        <v>29013</v>
      </c>
    </row>
    <row r="20" spans="1:8" ht="15.75" x14ac:dyDescent="0.25">
      <c r="A20" t="s">
        <v>6</v>
      </c>
      <c r="C20" s="8">
        <f>D17</f>
        <v>181713</v>
      </c>
      <c r="E20" t="s">
        <v>10</v>
      </c>
      <c r="H20" s="6">
        <f>C29</f>
        <v>151557.6</v>
      </c>
    </row>
    <row r="22" spans="1:8" ht="15.75" x14ac:dyDescent="0.25">
      <c r="A22" t="s">
        <v>5</v>
      </c>
      <c r="B22" s="9" t="s">
        <v>7</v>
      </c>
      <c r="C22" s="8">
        <f>H17</f>
        <v>29013</v>
      </c>
      <c r="E22" s="13" t="s">
        <v>11</v>
      </c>
      <c r="F22" s="9" t="s">
        <v>12</v>
      </c>
      <c r="G22" s="15" t="s">
        <v>17</v>
      </c>
      <c r="H22" s="3">
        <f>-(F23*0.007)</f>
        <v>-1680</v>
      </c>
    </row>
    <row r="23" spans="1:8" x14ac:dyDescent="0.25">
      <c r="F23" s="21">
        <f>D3-H3</f>
        <v>240000</v>
      </c>
    </row>
    <row r="24" spans="1:8" ht="16.5" thickBot="1" x14ac:dyDescent="0.3">
      <c r="A24" t="s">
        <v>8</v>
      </c>
      <c r="B24" s="9" t="s">
        <v>7</v>
      </c>
      <c r="C24" s="8">
        <f>D3*0.004</f>
        <v>1142.4000000000001</v>
      </c>
      <c r="F24" s="9" t="s">
        <v>13</v>
      </c>
      <c r="G24" s="16">
        <v>0.35</v>
      </c>
      <c r="H24" s="17">
        <f>-(F25*0.35)</f>
        <v>-53045.159999999996</v>
      </c>
    </row>
    <row r="25" spans="1:8" x14ac:dyDescent="0.25">
      <c r="F25" s="21">
        <f>H20</f>
        <v>151557.6</v>
      </c>
    </row>
    <row r="26" spans="1:8" ht="15.75" x14ac:dyDescent="0.25">
      <c r="A26" t="s">
        <v>9</v>
      </c>
      <c r="B26" s="9" t="s">
        <v>7</v>
      </c>
      <c r="C26" s="10"/>
      <c r="G26" s="13" t="s">
        <v>14</v>
      </c>
      <c r="H26" s="6">
        <f>H20+H22+H24</f>
        <v>96832.44</v>
      </c>
    </row>
    <row r="27" spans="1:8" ht="15.75" thickBot="1" x14ac:dyDescent="0.3">
      <c r="A27" s="16"/>
      <c r="B27" s="14"/>
      <c r="C27" s="7"/>
    </row>
    <row r="28" spans="1:8" x14ac:dyDescent="0.25">
      <c r="E28" t="s">
        <v>100</v>
      </c>
      <c r="H28" s="20">
        <f>H26*0.4</f>
        <v>38732.976000000002</v>
      </c>
    </row>
    <row r="29" spans="1:8" ht="15.75" x14ac:dyDescent="0.25">
      <c r="A29" t="s">
        <v>10</v>
      </c>
      <c r="C29" s="10">
        <f>C20-C22-C24-C26</f>
        <v>151557.6</v>
      </c>
      <c r="H29" s="18"/>
    </row>
    <row r="30" spans="1:8" x14ac:dyDescent="0.25">
      <c r="H30" s="3"/>
    </row>
    <row r="31" spans="1:8" x14ac:dyDescent="0.25">
      <c r="H31" s="18"/>
    </row>
  </sheetData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AEB76-CE88-4A56-AC3D-56D381C1944E}">
  <dimension ref="A1:H31"/>
  <sheetViews>
    <sheetView topLeftCell="A10" workbookViewId="0">
      <selection activeCell="C27" sqref="C27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386</v>
      </c>
    </row>
    <row r="3" spans="1:8" ht="21" x14ac:dyDescent="0.35">
      <c r="A3" s="2" t="s">
        <v>1</v>
      </c>
      <c r="D3" s="11">
        <v>742560</v>
      </c>
      <c r="F3" s="12" t="s">
        <v>3</v>
      </c>
      <c r="H3" s="11">
        <v>118560</v>
      </c>
    </row>
    <row r="4" spans="1:8" x14ac:dyDescent="0.25">
      <c r="A4" s="13" t="s">
        <v>29</v>
      </c>
      <c r="C4" s="28">
        <v>491</v>
      </c>
    </row>
    <row r="5" spans="1:8" ht="21" x14ac:dyDescent="0.35">
      <c r="A5" s="2" t="s">
        <v>2</v>
      </c>
    </row>
    <row r="7" spans="1:8" ht="18.75" x14ac:dyDescent="0.3">
      <c r="A7" s="5" t="s">
        <v>385</v>
      </c>
      <c r="D7" s="4">
        <v>92733</v>
      </c>
      <c r="E7" s="27"/>
      <c r="H7" s="4">
        <v>14806</v>
      </c>
    </row>
    <row r="8" spans="1:8" ht="18.75" x14ac:dyDescent="0.3">
      <c r="A8" s="5" t="s">
        <v>387</v>
      </c>
      <c r="D8" s="4">
        <v>249543</v>
      </c>
      <c r="E8" s="27"/>
      <c r="H8" s="4">
        <v>39843</v>
      </c>
    </row>
    <row r="9" spans="1:8" ht="18.75" x14ac:dyDescent="0.3">
      <c r="A9" s="5"/>
      <c r="D9" s="4"/>
      <c r="E9" s="27"/>
      <c r="H9" s="4"/>
    </row>
    <row r="10" spans="1:8" ht="18.75" x14ac:dyDescent="0.3">
      <c r="A10" s="5"/>
      <c r="D10" s="4"/>
      <c r="E10" s="27"/>
      <c r="H10" s="4"/>
    </row>
    <row r="11" spans="1:8" ht="18.75" x14ac:dyDescent="0.3">
      <c r="A11" s="5"/>
      <c r="D11" s="30"/>
      <c r="E11" s="27"/>
      <c r="H11" s="30"/>
    </row>
    <row r="12" spans="1:8" ht="19.5" thickBot="1" x14ac:dyDescent="0.35">
      <c r="A12" s="5"/>
      <c r="D12" s="23"/>
      <c r="E12" s="27"/>
      <c r="H12" s="23"/>
    </row>
    <row r="13" spans="1:8" ht="18.75" x14ac:dyDescent="0.3">
      <c r="D13" s="4">
        <f>SUM(D7:D12)</f>
        <v>342276</v>
      </c>
      <c r="H13" s="33">
        <f>SUM(H7:H12)</f>
        <v>54649</v>
      </c>
    </row>
    <row r="14" spans="1:8" ht="18.75" x14ac:dyDescent="0.3">
      <c r="A14" s="5"/>
      <c r="C14" s="3"/>
      <c r="D14" s="4"/>
      <c r="H14" s="4"/>
    </row>
    <row r="15" spans="1:8" ht="15.75" thickBot="1" x14ac:dyDescent="0.3">
      <c r="D15" s="7"/>
      <c r="H15" s="7"/>
    </row>
    <row r="17" spans="1:8" ht="18.75" x14ac:dyDescent="0.3">
      <c r="C17" t="s">
        <v>4</v>
      </c>
      <c r="D17" s="4">
        <f>D3-D13</f>
        <v>400284</v>
      </c>
      <c r="G17" t="s">
        <v>5</v>
      </c>
      <c r="H17" s="4">
        <f>H3-H13</f>
        <v>63911</v>
      </c>
    </row>
    <row r="20" spans="1:8" ht="15.75" x14ac:dyDescent="0.25">
      <c r="A20" t="s">
        <v>6</v>
      </c>
      <c r="C20" s="8">
        <f>D17</f>
        <v>400284</v>
      </c>
      <c r="E20" t="s">
        <v>10</v>
      </c>
      <c r="H20" s="6">
        <f>C29</f>
        <v>302202.76</v>
      </c>
    </row>
    <row r="22" spans="1:8" ht="15.75" x14ac:dyDescent="0.25">
      <c r="A22" t="s">
        <v>5</v>
      </c>
      <c r="B22" s="9" t="s">
        <v>7</v>
      </c>
      <c r="C22" s="8">
        <f>H17</f>
        <v>63911</v>
      </c>
      <c r="E22" s="13" t="s">
        <v>11</v>
      </c>
      <c r="F22" s="9" t="s">
        <v>12</v>
      </c>
      <c r="G22" s="15" t="s">
        <v>17</v>
      </c>
      <c r="H22" s="3">
        <f>-(F23*0.007)</f>
        <v>-4368</v>
      </c>
    </row>
    <row r="23" spans="1:8" x14ac:dyDescent="0.25">
      <c r="F23" s="21">
        <f>D3-H3</f>
        <v>624000</v>
      </c>
    </row>
    <row r="24" spans="1:8" ht="16.5" thickBot="1" x14ac:dyDescent="0.3">
      <c r="A24" t="s">
        <v>8</v>
      </c>
      <c r="B24" s="9" t="s">
        <v>7</v>
      </c>
      <c r="C24" s="8">
        <f>D3*0.004</f>
        <v>2970.2400000000002</v>
      </c>
      <c r="F24" s="9" t="s">
        <v>13</v>
      </c>
      <c r="G24" s="16">
        <v>0.35</v>
      </c>
      <c r="H24" s="17">
        <f>-(F25*0.35)</f>
        <v>-105770.966</v>
      </c>
    </row>
    <row r="25" spans="1:8" x14ac:dyDescent="0.25">
      <c r="F25" s="21">
        <f>H20</f>
        <v>302202.76</v>
      </c>
    </row>
    <row r="26" spans="1:8" ht="15.75" x14ac:dyDescent="0.25">
      <c r="A26" t="s">
        <v>9</v>
      </c>
      <c r="B26" s="9" t="s">
        <v>7</v>
      </c>
      <c r="C26" s="10">
        <v>31200</v>
      </c>
      <c r="G26" s="13" t="s">
        <v>14</v>
      </c>
      <c r="H26" s="6">
        <f>H20+H22+H24</f>
        <v>192063.79399999999</v>
      </c>
    </row>
    <row r="27" spans="1:8" ht="15.75" thickBot="1" x14ac:dyDescent="0.3">
      <c r="A27" s="16" t="s">
        <v>185</v>
      </c>
      <c r="B27" s="14"/>
      <c r="C27" s="7"/>
    </row>
    <row r="28" spans="1:8" x14ac:dyDescent="0.25">
      <c r="E28" t="s">
        <v>100</v>
      </c>
      <c r="H28" s="20">
        <f>H26*0.4</f>
        <v>76825.517600000006</v>
      </c>
    </row>
    <row r="29" spans="1:8" ht="15.75" x14ac:dyDescent="0.25">
      <c r="A29" t="s">
        <v>10</v>
      </c>
      <c r="C29" s="10">
        <f>C20-C22-C24-C26</f>
        <v>302202.76</v>
      </c>
      <c r="H29" s="18"/>
    </row>
    <row r="30" spans="1:8" x14ac:dyDescent="0.25">
      <c r="H30" s="3"/>
    </row>
    <row r="31" spans="1:8" x14ac:dyDescent="0.25">
      <c r="H31" s="18"/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B7262-A488-4232-85A8-D92D7E2715D2}">
  <dimension ref="A1:H31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388</v>
      </c>
    </row>
    <row r="3" spans="1:8" ht="21" x14ac:dyDescent="0.35">
      <c r="A3" s="2" t="s">
        <v>1</v>
      </c>
      <c r="D3" s="11">
        <v>74256</v>
      </c>
      <c r="F3" s="12" t="s">
        <v>3</v>
      </c>
      <c r="H3" s="11">
        <v>11856</v>
      </c>
    </row>
    <row r="4" spans="1:8" x14ac:dyDescent="0.25">
      <c r="A4" s="13" t="s">
        <v>29</v>
      </c>
      <c r="C4" s="28" t="s">
        <v>389</v>
      </c>
    </row>
    <row r="5" spans="1:8" ht="21" x14ac:dyDescent="0.35">
      <c r="A5" s="2" t="s">
        <v>2</v>
      </c>
    </row>
    <row r="7" spans="1:8" ht="18.75" x14ac:dyDescent="0.3">
      <c r="A7" s="5" t="s">
        <v>209</v>
      </c>
      <c r="D7" s="4">
        <v>58174</v>
      </c>
      <c r="E7" s="27"/>
      <c r="H7" s="4">
        <v>9288</v>
      </c>
    </row>
    <row r="8" spans="1:8" ht="18.75" x14ac:dyDescent="0.3">
      <c r="A8" s="5"/>
      <c r="D8" s="4"/>
      <c r="E8" s="27"/>
      <c r="H8" s="4"/>
    </row>
    <row r="9" spans="1:8" ht="18.75" x14ac:dyDescent="0.3">
      <c r="A9" s="5"/>
      <c r="D9" s="4"/>
      <c r="E9" s="27"/>
      <c r="H9" s="4"/>
    </row>
    <row r="10" spans="1:8" ht="18.75" x14ac:dyDescent="0.3">
      <c r="A10" s="5"/>
      <c r="D10" s="4"/>
      <c r="E10" s="27"/>
      <c r="H10" s="4"/>
    </row>
    <row r="11" spans="1:8" ht="18.75" x14ac:dyDescent="0.3">
      <c r="A11" s="5"/>
      <c r="D11" s="30"/>
      <c r="E11" s="27"/>
      <c r="H11" s="30"/>
    </row>
    <row r="12" spans="1:8" ht="19.5" thickBot="1" x14ac:dyDescent="0.35">
      <c r="A12" s="5"/>
      <c r="D12" s="23"/>
      <c r="E12" s="27"/>
      <c r="H12" s="23"/>
    </row>
    <row r="13" spans="1:8" ht="18.75" x14ac:dyDescent="0.3">
      <c r="D13" s="4">
        <f>SUM(D7:D12)</f>
        <v>58174</v>
      </c>
      <c r="H13" s="33">
        <f>SUM(H7:H12)</f>
        <v>9288</v>
      </c>
    </row>
    <row r="14" spans="1:8" ht="18.75" x14ac:dyDescent="0.3">
      <c r="A14" s="5"/>
      <c r="C14" s="3"/>
      <c r="D14" s="4"/>
      <c r="H14" s="4"/>
    </row>
    <row r="15" spans="1:8" ht="15.75" thickBot="1" x14ac:dyDescent="0.3">
      <c r="D15" s="7"/>
      <c r="H15" s="7"/>
    </row>
    <row r="17" spans="1:8" ht="18.75" x14ac:dyDescent="0.3">
      <c r="C17" t="s">
        <v>4</v>
      </c>
      <c r="D17" s="4">
        <f>D3-D13</f>
        <v>16082</v>
      </c>
      <c r="G17" t="s">
        <v>5</v>
      </c>
      <c r="H17" s="4">
        <f>H3-H13</f>
        <v>2568</v>
      </c>
    </row>
    <row r="20" spans="1:8" ht="15.75" x14ac:dyDescent="0.25">
      <c r="A20" t="s">
        <v>6</v>
      </c>
      <c r="C20" s="8">
        <f>D17</f>
        <v>16082</v>
      </c>
      <c r="E20" t="s">
        <v>10</v>
      </c>
      <c r="H20" s="6">
        <f>C29</f>
        <v>13216.976000000001</v>
      </c>
    </row>
    <row r="22" spans="1:8" ht="15.75" x14ac:dyDescent="0.25">
      <c r="A22" t="s">
        <v>5</v>
      </c>
      <c r="B22" s="9" t="s">
        <v>7</v>
      </c>
      <c r="C22" s="8">
        <f>H17</f>
        <v>2568</v>
      </c>
      <c r="E22" s="13" t="s">
        <v>11</v>
      </c>
      <c r="F22" s="9" t="s">
        <v>12</v>
      </c>
      <c r="G22" s="15" t="s">
        <v>17</v>
      </c>
      <c r="H22" s="3">
        <f>-(F23*0.007)</f>
        <v>-436.8</v>
      </c>
    </row>
    <row r="23" spans="1:8" x14ac:dyDescent="0.25">
      <c r="F23" s="21">
        <f>D3-H3</f>
        <v>62400</v>
      </c>
    </row>
    <row r="24" spans="1:8" ht="16.5" thickBot="1" x14ac:dyDescent="0.3">
      <c r="A24" t="s">
        <v>8</v>
      </c>
      <c r="B24" s="9" t="s">
        <v>7</v>
      </c>
      <c r="C24" s="8">
        <f>D3*0.004</f>
        <v>297.024</v>
      </c>
      <c r="F24" s="9" t="s">
        <v>13</v>
      </c>
      <c r="G24" s="16">
        <v>0.35</v>
      </c>
      <c r="H24" s="17">
        <f>-(F25*0.35)</f>
        <v>-4625.9416000000001</v>
      </c>
    </row>
    <row r="25" spans="1:8" x14ac:dyDescent="0.25">
      <c r="F25" s="21">
        <f>H20</f>
        <v>13216.976000000001</v>
      </c>
    </row>
    <row r="26" spans="1:8" ht="15.75" x14ac:dyDescent="0.25">
      <c r="A26" t="s">
        <v>9</v>
      </c>
      <c r="B26" s="9" t="s">
        <v>7</v>
      </c>
      <c r="C26" s="10"/>
      <c r="G26" s="13" t="s">
        <v>14</v>
      </c>
      <c r="H26" s="6">
        <f>H20+H22+H24</f>
        <v>8154.2344000000012</v>
      </c>
    </row>
    <row r="27" spans="1:8" ht="15.75" thickBot="1" x14ac:dyDescent="0.3">
      <c r="A27" s="16"/>
      <c r="B27" s="14"/>
      <c r="C27" s="7"/>
    </row>
    <row r="28" spans="1:8" x14ac:dyDescent="0.25">
      <c r="E28" t="s">
        <v>100</v>
      </c>
      <c r="H28" s="20">
        <f>H26*0.4</f>
        <v>3261.6937600000006</v>
      </c>
    </row>
    <row r="29" spans="1:8" ht="15.75" x14ac:dyDescent="0.25">
      <c r="A29" t="s">
        <v>10</v>
      </c>
      <c r="C29" s="10">
        <f>C20-C22-C24-C26</f>
        <v>13216.976000000001</v>
      </c>
      <c r="H29" s="18"/>
    </row>
    <row r="30" spans="1:8" x14ac:dyDescent="0.25">
      <c r="H30" s="3"/>
    </row>
    <row r="31" spans="1:8" x14ac:dyDescent="0.25">
      <c r="H31" s="18"/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45B53-82A5-4027-84DE-02D4986DD950}">
  <dimension ref="A1:H31"/>
  <sheetViews>
    <sheetView workbookViewId="0">
      <selection activeCell="C5" sqref="C5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390</v>
      </c>
    </row>
    <row r="3" spans="1:8" ht="21" x14ac:dyDescent="0.35">
      <c r="A3" s="2" t="s">
        <v>1</v>
      </c>
      <c r="D3" s="11">
        <v>177929</v>
      </c>
      <c r="F3" s="12" t="s">
        <v>3</v>
      </c>
      <c r="H3" s="11">
        <v>28409</v>
      </c>
    </row>
    <row r="4" spans="1:8" x14ac:dyDescent="0.25">
      <c r="A4" s="13" t="s">
        <v>29</v>
      </c>
      <c r="C4" s="28">
        <v>497</v>
      </c>
    </row>
    <row r="5" spans="1:8" ht="21" x14ac:dyDescent="0.35">
      <c r="A5" s="2" t="s">
        <v>2</v>
      </c>
    </row>
    <row r="7" spans="1:8" ht="18.75" x14ac:dyDescent="0.3">
      <c r="A7" s="5" t="s">
        <v>391</v>
      </c>
      <c r="D7" s="4">
        <v>84823</v>
      </c>
      <c r="E7" s="27"/>
      <c r="H7" s="4">
        <v>13543</v>
      </c>
    </row>
    <row r="8" spans="1:8" ht="18.75" x14ac:dyDescent="0.3">
      <c r="A8" s="5" t="s">
        <v>392</v>
      </c>
      <c r="D8" s="4">
        <v>15921</v>
      </c>
      <c r="E8" s="27"/>
      <c r="H8" s="4">
        <v>2542</v>
      </c>
    </row>
    <row r="9" spans="1:8" ht="18.75" x14ac:dyDescent="0.3">
      <c r="A9" s="5"/>
      <c r="D9" s="4"/>
      <c r="E9" s="27"/>
      <c r="H9" s="4"/>
    </row>
    <row r="10" spans="1:8" ht="18.75" x14ac:dyDescent="0.3">
      <c r="A10" s="5"/>
      <c r="D10" s="4"/>
      <c r="E10" s="27"/>
      <c r="H10" s="4"/>
    </row>
    <row r="11" spans="1:8" ht="18.75" x14ac:dyDescent="0.3">
      <c r="A11" s="5"/>
      <c r="D11" s="30"/>
      <c r="E11" s="27"/>
      <c r="H11" s="30"/>
    </row>
    <row r="12" spans="1:8" ht="19.5" thickBot="1" x14ac:dyDescent="0.35">
      <c r="A12" s="5"/>
      <c r="D12" s="23"/>
      <c r="E12" s="27"/>
      <c r="H12" s="23"/>
    </row>
    <row r="13" spans="1:8" ht="18.75" x14ac:dyDescent="0.3">
      <c r="D13" s="4">
        <f>SUM(D7:D12)</f>
        <v>100744</v>
      </c>
      <c r="H13" s="33">
        <f>SUM(H7:H12)</f>
        <v>16085</v>
      </c>
    </row>
    <row r="14" spans="1:8" ht="18.75" x14ac:dyDescent="0.3">
      <c r="A14" s="5"/>
      <c r="C14" s="3"/>
      <c r="D14" s="4"/>
      <c r="H14" s="4"/>
    </row>
    <row r="15" spans="1:8" ht="15.75" thickBot="1" x14ac:dyDescent="0.3">
      <c r="D15" s="7"/>
      <c r="H15" s="7"/>
    </row>
    <row r="17" spans="1:8" ht="18.75" x14ac:dyDescent="0.3">
      <c r="C17" t="s">
        <v>4</v>
      </c>
      <c r="D17" s="4">
        <f>D3-D13</f>
        <v>77185</v>
      </c>
      <c r="G17" t="s">
        <v>5</v>
      </c>
      <c r="H17" s="4">
        <f>H3-H13</f>
        <v>12324</v>
      </c>
    </row>
    <row r="20" spans="1:8" ht="15.75" x14ac:dyDescent="0.25">
      <c r="A20" t="s">
        <v>6</v>
      </c>
      <c r="C20" s="8">
        <f>D17</f>
        <v>77185</v>
      </c>
      <c r="E20" t="s">
        <v>10</v>
      </c>
      <c r="H20" s="6">
        <f>C29</f>
        <v>64149.284</v>
      </c>
    </row>
    <row r="22" spans="1:8" ht="15.75" x14ac:dyDescent="0.25">
      <c r="A22" t="s">
        <v>5</v>
      </c>
      <c r="B22" s="9" t="s">
        <v>7</v>
      </c>
      <c r="C22" s="8">
        <f>H17</f>
        <v>12324</v>
      </c>
      <c r="E22" s="13" t="s">
        <v>11</v>
      </c>
      <c r="F22" s="9" t="s">
        <v>12</v>
      </c>
      <c r="G22" s="15" t="s">
        <v>17</v>
      </c>
      <c r="H22" s="3">
        <f>-(F23*0.007)</f>
        <v>-1046.6400000000001</v>
      </c>
    </row>
    <row r="23" spans="1:8" x14ac:dyDescent="0.25">
      <c r="F23" s="21">
        <f>D3-H3</f>
        <v>149520</v>
      </c>
    </row>
    <row r="24" spans="1:8" ht="16.5" thickBot="1" x14ac:dyDescent="0.3">
      <c r="A24" t="s">
        <v>8</v>
      </c>
      <c r="B24" s="9" t="s">
        <v>7</v>
      </c>
      <c r="C24" s="8">
        <f>D3*0.004</f>
        <v>711.71600000000001</v>
      </c>
      <c r="F24" s="9" t="s">
        <v>13</v>
      </c>
      <c r="G24" s="16">
        <v>0.35</v>
      </c>
      <c r="H24" s="17">
        <f>-(F25*0.35)</f>
        <v>-22452.249399999997</v>
      </c>
    </row>
    <row r="25" spans="1:8" x14ac:dyDescent="0.25">
      <c r="F25" s="21">
        <f>H20</f>
        <v>64149.284</v>
      </c>
    </row>
    <row r="26" spans="1:8" ht="15.75" x14ac:dyDescent="0.25">
      <c r="A26" t="s">
        <v>9</v>
      </c>
      <c r="B26" s="9" t="s">
        <v>7</v>
      </c>
      <c r="C26" s="10"/>
      <c r="G26" s="13" t="s">
        <v>14</v>
      </c>
      <c r="H26" s="6">
        <f>H20+H22+H24</f>
        <v>40650.3946</v>
      </c>
    </row>
    <row r="27" spans="1:8" ht="15.75" thickBot="1" x14ac:dyDescent="0.3">
      <c r="A27" s="16"/>
      <c r="B27" s="14"/>
      <c r="C27" s="7"/>
    </row>
    <row r="28" spans="1:8" x14ac:dyDescent="0.25">
      <c r="E28" t="s">
        <v>100</v>
      </c>
      <c r="H28" s="20">
        <f>H26*0.4</f>
        <v>16260.15784</v>
      </c>
    </row>
    <row r="29" spans="1:8" ht="15.75" x14ac:dyDescent="0.25">
      <c r="A29" t="s">
        <v>10</v>
      </c>
      <c r="C29" s="10">
        <f>C20-C22-C24-C26</f>
        <v>64149.284</v>
      </c>
      <c r="H29" s="18"/>
    </row>
    <row r="30" spans="1:8" x14ac:dyDescent="0.25">
      <c r="H30" s="3"/>
    </row>
    <row r="31" spans="1:8" x14ac:dyDescent="0.25">
      <c r="H31" s="18"/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16EE0-7829-4112-896B-D8C86CD0E305}">
  <dimension ref="A1:H31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393</v>
      </c>
    </row>
    <row r="3" spans="1:8" ht="21" x14ac:dyDescent="0.35">
      <c r="A3" s="2" t="s">
        <v>1</v>
      </c>
      <c r="D3" s="11">
        <v>2332470</v>
      </c>
      <c r="F3" s="12" t="s">
        <v>3</v>
      </c>
      <c r="H3" s="11">
        <v>380403</v>
      </c>
    </row>
    <row r="4" spans="1:8" x14ac:dyDescent="0.25">
      <c r="A4" s="13" t="s">
        <v>29</v>
      </c>
      <c r="C4" s="28">
        <v>498</v>
      </c>
    </row>
    <row r="5" spans="1:8" ht="21" x14ac:dyDescent="0.35">
      <c r="A5" s="2" t="s">
        <v>2</v>
      </c>
    </row>
    <row r="7" spans="1:8" ht="18.75" x14ac:dyDescent="0.3">
      <c r="A7" s="5" t="s">
        <v>394</v>
      </c>
      <c r="D7" s="4">
        <v>721260</v>
      </c>
      <c r="E7" s="27"/>
      <c r="H7" s="4">
        <v>115159</v>
      </c>
    </row>
    <row r="8" spans="1:8" ht="18.75" x14ac:dyDescent="0.3">
      <c r="A8" s="5" t="s">
        <v>395</v>
      </c>
      <c r="D8" s="4">
        <v>104148</v>
      </c>
      <c r="E8" s="27"/>
      <c r="H8" s="4">
        <v>16629</v>
      </c>
    </row>
    <row r="9" spans="1:8" ht="18.75" x14ac:dyDescent="0.3">
      <c r="A9" s="5" t="s">
        <v>396</v>
      </c>
      <c r="D9" s="4">
        <v>528000</v>
      </c>
      <c r="E9" s="27"/>
      <c r="H9" s="4"/>
    </row>
    <row r="10" spans="1:8" ht="18.75" x14ac:dyDescent="0.3">
      <c r="A10" s="5" t="s">
        <v>209</v>
      </c>
      <c r="D10" s="4">
        <v>119469</v>
      </c>
      <c r="E10" s="27"/>
      <c r="H10" s="4">
        <v>19075</v>
      </c>
    </row>
    <row r="11" spans="1:8" ht="18.75" x14ac:dyDescent="0.3">
      <c r="A11" s="5" t="s">
        <v>310</v>
      </c>
      <c r="D11" s="30">
        <v>24714</v>
      </c>
      <c r="E11" s="27"/>
      <c r="H11" s="30">
        <v>3946</v>
      </c>
    </row>
    <row r="12" spans="1:8" ht="19.5" thickBot="1" x14ac:dyDescent="0.35">
      <c r="A12" s="5"/>
      <c r="D12" s="23"/>
      <c r="E12" s="27"/>
      <c r="H12" s="23"/>
    </row>
    <row r="13" spans="1:8" ht="18.75" x14ac:dyDescent="0.3">
      <c r="D13" s="4">
        <f>SUM(D7:D12)</f>
        <v>1497591</v>
      </c>
      <c r="H13" s="33">
        <f>SUM(H7:H12)</f>
        <v>154809</v>
      </c>
    </row>
    <row r="14" spans="1:8" ht="18.75" x14ac:dyDescent="0.3">
      <c r="A14" s="5"/>
      <c r="C14" s="3"/>
      <c r="D14" s="4"/>
      <c r="H14" s="4"/>
    </row>
    <row r="15" spans="1:8" ht="15.75" thickBot="1" x14ac:dyDescent="0.3">
      <c r="D15" s="7"/>
      <c r="H15" s="7"/>
    </row>
    <row r="17" spans="1:8" ht="18.75" x14ac:dyDescent="0.3">
      <c r="C17" t="s">
        <v>4</v>
      </c>
      <c r="D17" s="4">
        <f>D3-D13</f>
        <v>834879</v>
      </c>
      <c r="G17" t="s">
        <v>5</v>
      </c>
      <c r="H17" s="4">
        <f>H3-H13</f>
        <v>225594</v>
      </c>
    </row>
    <row r="20" spans="1:8" ht="15.75" x14ac:dyDescent="0.25">
      <c r="A20" t="s">
        <v>6</v>
      </c>
      <c r="C20" s="8">
        <f>D17</f>
        <v>834879</v>
      </c>
      <c r="E20" t="s">
        <v>10</v>
      </c>
      <c r="H20" s="6">
        <f>C29</f>
        <v>599955.12</v>
      </c>
    </row>
    <row r="22" spans="1:8" ht="15.75" x14ac:dyDescent="0.25">
      <c r="A22" t="s">
        <v>5</v>
      </c>
      <c r="B22" s="9" t="s">
        <v>7</v>
      </c>
      <c r="C22" s="8">
        <f>H17</f>
        <v>225594</v>
      </c>
      <c r="E22" s="13" t="s">
        <v>11</v>
      </c>
      <c r="F22" s="9" t="s">
        <v>12</v>
      </c>
      <c r="G22" s="15" t="s">
        <v>17</v>
      </c>
      <c r="H22" s="3">
        <f>-(F23*0.007)</f>
        <v>-14014.84</v>
      </c>
    </row>
    <row r="23" spans="1:8" x14ac:dyDescent="0.25">
      <c r="F23" s="21">
        <v>2002120</v>
      </c>
    </row>
    <row r="24" spans="1:8" ht="16.5" thickBot="1" x14ac:dyDescent="0.3">
      <c r="A24" t="s">
        <v>8</v>
      </c>
      <c r="B24" s="9" t="s">
        <v>7</v>
      </c>
      <c r="C24" s="8">
        <f>D3*0.004</f>
        <v>9329.880000000001</v>
      </c>
      <c r="F24" s="9" t="s">
        <v>13</v>
      </c>
      <c r="G24" s="16">
        <v>0.35</v>
      </c>
      <c r="H24" s="17">
        <f>-(F25*0.35)</f>
        <v>-209984.29199999999</v>
      </c>
    </row>
    <row r="25" spans="1:8" x14ac:dyDescent="0.25">
      <c r="F25" s="21">
        <f>H20</f>
        <v>599955.12</v>
      </c>
    </row>
    <row r="26" spans="1:8" ht="15.75" x14ac:dyDescent="0.25">
      <c r="A26" t="s">
        <v>9</v>
      </c>
      <c r="B26" s="9" t="s">
        <v>7</v>
      </c>
      <c r="C26" s="10"/>
      <c r="G26" s="13" t="s">
        <v>14</v>
      </c>
      <c r="H26" s="6">
        <f>H20+H22+H24</f>
        <v>375955.98800000001</v>
      </c>
    </row>
    <row r="27" spans="1:8" ht="15.75" thickBot="1" x14ac:dyDescent="0.3">
      <c r="A27" s="16"/>
      <c r="B27" s="14"/>
      <c r="C27" s="7"/>
    </row>
    <row r="28" spans="1:8" x14ac:dyDescent="0.25">
      <c r="E28" t="s">
        <v>100</v>
      </c>
      <c r="H28" s="20">
        <f>H26*0.4</f>
        <v>150382.3952</v>
      </c>
    </row>
    <row r="29" spans="1:8" ht="15.75" x14ac:dyDescent="0.25">
      <c r="A29" t="s">
        <v>10</v>
      </c>
      <c r="C29" s="10">
        <f>C20-C22-C24-C26</f>
        <v>599955.12</v>
      </c>
      <c r="H29" s="18"/>
    </row>
    <row r="30" spans="1:8" x14ac:dyDescent="0.25">
      <c r="H30" s="3"/>
    </row>
    <row r="31" spans="1:8" x14ac:dyDescent="0.25">
      <c r="H31" s="18"/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4EEEF-BDF1-4BDF-B708-FBAA291228F8}">
  <dimension ref="A1:H31"/>
  <sheetViews>
    <sheetView topLeftCell="A13" workbookViewId="0">
      <selection activeCell="C27" sqref="C27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386</v>
      </c>
    </row>
    <row r="3" spans="1:8" ht="21" x14ac:dyDescent="0.35">
      <c r="A3" s="2" t="s">
        <v>1</v>
      </c>
      <c r="D3" s="11">
        <v>107100</v>
      </c>
      <c r="F3" s="12" t="s">
        <v>3</v>
      </c>
      <c r="H3" s="11">
        <v>17100</v>
      </c>
    </row>
    <row r="4" spans="1:8" x14ac:dyDescent="0.25">
      <c r="A4" s="13" t="s">
        <v>29</v>
      </c>
      <c r="C4" s="28">
        <v>502</v>
      </c>
    </row>
    <row r="5" spans="1:8" ht="21" x14ac:dyDescent="0.35">
      <c r="A5" s="2" t="s">
        <v>2</v>
      </c>
    </row>
    <row r="7" spans="1:8" ht="18.75" x14ac:dyDescent="0.3">
      <c r="A7" s="5" t="s">
        <v>397</v>
      </c>
      <c r="D7" s="4">
        <v>55692</v>
      </c>
      <c r="E7" s="27"/>
      <c r="H7" s="4">
        <v>8892</v>
      </c>
    </row>
    <row r="8" spans="1:8" ht="18.75" x14ac:dyDescent="0.3">
      <c r="A8" s="5"/>
      <c r="D8" s="4"/>
      <c r="E8" s="27"/>
      <c r="H8" s="4"/>
    </row>
    <row r="9" spans="1:8" ht="18.75" x14ac:dyDescent="0.3">
      <c r="A9" s="5"/>
      <c r="D9" s="4"/>
      <c r="E9" s="27"/>
      <c r="H9" s="4"/>
    </row>
    <row r="10" spans="1:8" ht="18.75" x14ac:dyDescent="0.3">
      <c r="A10" s="5"/>
      <c r="D10" s="4"/>
      <c r="E10" s="27"/>
      <c r="H10" s="4"/>
    </row>
    <row r="11" spans="1:8" ht="18.75" x14ac:dyDescent="0.3">
      <c r="A11" s="5"/>
      <c r="D11" s="30"/>
      <c r="E11" s="27"/>
      <c r="H11" s="30"/>
    </row>
    <row r="12" spans="1:8" ht="19.5" thickBot="1" x14ac:dyDescent="0.35">
      <c r="A12" s="5"/>
      <c r="D12" s="23"/>
      <c r="E12" s="27"/>
      <c r="H12" s="23"/>
    </row>
    <row r="13" spans="1:8" ht="18.75" x14ac:dyDescent="0.3">
      <c r="D13" s="4">
        <f>SUM(D7:D12)</f>
        <v>55692</v>
      </c>
      <c r="H13" s="33">
        <f>SUM(H7:H12)</f>
        <v>8892</v>
      </c>
    </row>
    <row r="14" spans="1:8" ht="18.75" x14ac:dyDescent="0.3">
      <c r="A14" s="5"/>
      <c r="C14" s="3"/>
      <c r="D14" s="4"/>
      <c r="H14" s="4"/>
    </row>
    <row r="15" spans="1:8" ht="15.75" thickBot="1" x14ac:dyDescent="0.3">
      <c r="D15" s="7"/>
      <c r="H15" s="7"/>
    </row>
    <row r="17" spans="1:8" ht="18.75" x14ac:dyDescent="0.3">
      <c r="C17" t="s">
        <v>4</v>
      </c>
      <c r="D17" s="4">
        <f>D3-D13</f>
        <v>51408</v>
      </c>
      <c r="G17" t="s">
        <v>5</v>
      </c>
      <c r="H17" s="4">
        <f>H3-H13</f>
        <v>8208</v>
      </c>
    </row>
    <row r="20" spans="1:8" ht="15.75" x14ac:dyDescent="0.25">
      <c r="A20" t="s">
        <v>6</v>
      </c>
      <c r="C20" s="8">
        <f>D17</f>
        <v>51408</v>
      </c>
      <c r="E20" t="s">
        <v>10</v>
      </c>
      <c r="H20" s="6">
        <f>C29</f>
        <v>38271.599999999999</v>
      </c>
    </row>
    <row r="22" spans="1:8" ht="15.75" x14ac:dyDescent="0.25">
      <c r="A22" t="s">
        <v>5</v>
      </c>
      <c r="B22" s="9" t="s">
        <v>7</v>
      </c>
      <c r="C22" s="8">
        <f>H17</f>
        <v>8208</v>
      </c>
      <c r="E22" s="13" t="s">
        <v>11</v>
      </c>
      <c r="F22" s="9" t="s">
        <v>12</v>
      </c>
      <c r="G22" s="15" t="s">
        <v>17</v>
      </c>
      <c r="H22" s="3">
        <f>-(F23*0.007)</f>
        <v>-630</v>
      </c>
    </row>
    <row r="23" spans="1:8" x14ac:dyDescent="0.25">
      <c r="F23" s="21">
        <f>D3-H3</f>
        <v>90000</v>
      </c>
    </row>
    <row r="24" spans="1:8" ht="16.5" thickBot="1" x14ac:dyDescent="0.3">
      <c r="A24" t="s">
        <v>8</v>
      </c>
      <c r="B24" s="9" t="s">
        <v>7</v>
      </c>
      <c r="C24" s="8">
        <f>D3*0.004</f>
        <v>428.40000000000003</v>
      </c>
      <c r="F24" s="9" t="s">
        <v>13</v>
      </c>
      <c r="G24" s="16">
        <v>0.35</v>
      </c>
      <c r="H24" s="17">
        <f>-(F25*0.35)</f>
        <v>-13395.06</v>
      </c>
    </row>
    <row r="25" spans="1:8" x14ac:dyDescent="0.25">
      <c r="F25" s="21">
        <f>H20</f>
        <v>38271.599999999999</v>
      </c>
    </row>
    <row r="26" spans="1:8" ht="15.75" x14ac:dyDescent="0.25">
      <c r="A26" t="s">
        <v>9</v>
      </c>
      <c r="B26" s="9" t="s">
        <v>7</v>
      </c>
      <c r="C26" s="10">
        <v>4500</v>
      </c>
      <c r="G26" s="13" t="s">
        <v>14</v>
      </c>
      <c r="H26" s="6">
        <f>H20+H22+H24</f>
        <v>24246.54</v>
      </c>
    </row>
    <row r="27" spans="1:8" ht="15.75" thickBot="1" x14ac:dyDescent="0.3">
      <c r="A27" s="16" t="s">
        <v>185</v>
      </c>
      <c r="B27" s="14"/>
      <c r="C27" s="7"/>
    </row>
    <row r="28" spans="1:8" x14ac:dyDescent="0.25">
      <c r="E28" t="s">
        <v>100</v>
      </c>
      <c r="H28" s="20">
        <f>H26*0.4</f>
        <v>9698.616</v>
      </c>
    </row>
    <row r="29" spans="1:8" ht="15.75" x14ac:dyDescent="0.25">
      <c r="A29" t="s">
        <v>10</v>
      </c>
      <c r="C29" s="10">
        <f>C20-C22-C24-C26</f>
        <v>38271.599999999999</v>
      </c>
      <c r="H29" s="18"/>
    </row>
    <row r="30" spans="1:8" x14ac:dyDescent="0.25">
      <c r="H30" s="3"/>
    </row>
    <row r="31" spans="1:8" x14ac:dyDescent="0.25">
      <c r="H31" s="18"/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27814-0F6C-46D7-BEFB-C4CC16CFC375}">
  <dimension ref="A1:H31"/>
  <sheetViews>
    <sheetView workbookViewId="0">
      <selection activeCell="C4" sqref="C4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393</v>
      </c>
    </row>
    <row r="3" spans="1:8" ht="21" x14ac:dyDescent="0.35">
      <c r="A3" s="2" t="s">
        <v>1</v>
      </c>
      <c r="D3" s="11">
        <v>1868951</v>
      </c>
      <c r="F3" s="12" t="s">
        <v>3</v>
      </c>
      <c r="H3" s="11">
        <v>304808</v>
      </c>
    </row>
    <row r="4" spans="1:8" x14ac:dyDescent="0.25">
      <c r="A4" s="13" t="s">
        <v>29</v>
      </c>
      <c r="C4" s="28">
        <v>505</v>
      </c>
    </row>
    <row r="5" spans="1:8" ht="21" x14ac:dyDescent="0.35">
      <c r="A5" s="2" t="s">
        <v>2</v>
      </c>
    </row>
    <row r="7" spans="1:8" ht="18.75" x14ac:dyDescent="0.3">
      <c r="A7" s="5" t="s">
        <v>310</v>
      </c>
      <c r="D7" s="4">
        <v>11853</v>
      </c>
      <c r="E7" s="27"/>
      <c r="H7" s="4">
        <v>1893</v>
      </c>
    </row>
    <row r="8" spans="1:8" ht="18.75" x14ac:dyDescent="0.3">
      <c r="A8" s="5" t="s">
        <v>398</v>
      </c>
      <c r="D8" s="4">
        <v>280807</v>
      </c>
      <c r="E8" s="27"/>
      <c r="H8" s="4">
        <v>44835</v>
      </c>
    </row>
    <row r="9" spans="1:8" ht="18.75" x14ac:dyDescent="0.3">
      <c r="A9" s="5" t="s">
        <v>399</v>
      </c>
      <c r="D9" s="4">
        <v>1103873</v>
      </c>
      <c r="E9" s="27"/>
      <c r="H9" s="4">
        <v>176249</v>
      </c>
    </row>
    <row r="10" spans="1:8" ht="18.75" x14ac:dyDescent="0.3">
      <c r="A10" s="5"/>
      <c r="D10" s="4"/>
      <c r="E10" s="27"/>
      <c r="H10" s="4"/>
    </row>
    <row r="11" spans="1:8" ht="18.75" x14ac:dyDescent="0.3">
      <c r="A11" s="5"/>
      <c r="D11" s="30"/>
      <c r="E11" s="27"/>
      <c r="H11" s="30"/>
    </row>
    <row r="12" spans="1:8" ht="19.5" thickBot="1" x14ac:dyDescent="0.35">
      <c r="A12" s="5"/>
      <c r="D12" s="23"/>
      <c r="E12" s="27"/>
      <c r="H12" s="23"/>
    </row>
    <row r="13" spans="1:8" ht="18.75" x14ac:dyDescent="0.3">
      <c r="D13" s="4">
        <f>SUM(D7:D12)</f>
        <v>1396533</v>
      </c>
      <c r="H13" s="33">
        <f>SUM(H7:H12)</f>
        <v>222977</v>
      </c>
    </row>
    <row r="14" spans="1:8" ht="18.75" x14ac:dyDescent="0.3">
      <c r="A14" s="5"/>
      <c r="C14" s="3"/>
      <c r="D14" s="4"/>
      <c r="H14" s="4"/>
    </row>
    <row r="15" spans="1:8" ht="15.75" thickBot="1" x14ac:dyDescent="0.3">
      <c r="D15" s="7"/>
      <c r="H15" s="7"/>
    </row>
    <row r="17" spans="1:8" ht="18.75" x14ac:dyDescent="0.3">
      <c r="C17" t="s">
        <v>4</v>
      </c>
      <c r="D17" s="4">
        <f>D3-D13</f>
        <v>472418</v>
      </c>
      <c r="G17" t="s">
        <v>5</v>
      </c>
      <c r="H17" s="4">
        <f>H3-H13</f>
        <v>81831</v>
      </c>
    </row>
    <row r="20" spans="1:8" ht="15.75" x14ac:dyDescent="0.25">
      <c r="A20" t="s">
        <v>6</v>
      </c>
      <c r="C20" s="8">
        <f>D17</f>
        <v>472418</v>
      </c>
      <c r="E20" t="s">
        <v>10</v>
      </c>
      <c r="H20" s="6">
        <f>C29</f>
        <v>383111.196</v>
      </c>
    </row>
    <row r="22" spans="1:8" ht="15.75" x14ac:dyDescent="0.25">
      <c r="A22" t="s">
        <v>5</v>
      </c>
      <c r="B22" s="9" t="s">
        <v>7</v>
      </c>
      <c r="C22" s="8">
        <f>H17</f>
        <v>81831</v>
      </c>
      <c r="E22" s="13" t="s">
        <v>11</v>
      </c>
      <c r="F22" s="9" t="s">
        <v>12</v>
      </c>
      <c r="G22" s="15" t="s">
        <v>17</v>
      </c>
      <c r="H22" s="3">
        <f>-(F23*0.007)</f>
        <v>-11229.75</v>
      </c>
    </row>
    <row r="23" spans="1:8" x14ac:dyDescent="0.25">
      <c r="F23" s="21">
        <v>1604250</v>
      </c>
    </row>
    <row r="24" spans="1:8" ht="16.5" thickBot="1" x14ac:dyDescent="0.3">
      <c r="A24" t="s">
        <v>8</v>
      </c>
      <c r="B24" s="9" t="s">
        <v>7</v>
      </c>
      <c r="C24" s="8">
        <f>D3*0.004</f>
        <v>7475.8040000000001</v>
      </c>
      <c r="F24" s="9" t="s">
        <v>13</v>
      </c>
      <c r="G24" s="16">
        <v>0.35</v>
      </c>
      <c r="H24" s="17">
        <f>-(F25*0.35)</f>
        <v>-134088.9186</v>
      </c>
    </row>
    <row r="25" spans="1:8" x14ac:dyDescent="0.25">
      <c r="F25" s="21">
        <f>H20</f>
        <v>383111.196</v>
      </c>
    </row>
    <row r="26" spans="1:8" ht="15.75" x14ac:dyDescent="0.25">
      <c r="A26" t="s">
        <v>9</v>
      </c>
      <c r="B26" s="9" t="s">
        <v>7</v>
      </c>
      <c r="C26" s="10"/>
      <c r="G26" s="13" t="s">
        <v>14</v>
      </c>
      <c r="H26" s="6">
        <f>H20+H22+H24</f>
        <v>237792.52739999999</v>
      </c>
    </row>
    <row r="27" spans="1:8" ht="15.75" thickBot="1" x14ac:dyDescent="0.3">
      <c r="A27" s="16"/>
      <c r="B27" s="14"/>
      <c r="C27" s="7"/>
    </row>
    <row r="28" spans="1:8" x14ac:dyDescent="0.25">
      <c r="E28" t="s">
        <v>100</v>
      </c>
      <c r="H28" s="20">
        <f>H26*0.4</f>
        <v>95117.01096</v>
      </c>
    </row>
    <row r="29" spans="1:8" ht="15.75" x14ac:dyDescent="0.25">
      <c r="A29" t="s">
        <v>10</v>
      </c>
      <c r="C29" s="10">
        <f>C20-C22-C24-C26</f>
        <v>383111.196</v>
      </c>
      <c r="H29" s="18"/>
    </row>
    <row r="30" spans="1:8" x14ac:dyDescent="0.25">
      <c r="H30" s="3"/>
    </row>
    <row r="31" spans="1:8" x14ac:dyDescent="0.25">
      <c r="H31" s="18"/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C49FC-7DD8-4A71-9F63-0B13346615E9}">
  <dimension ref="A1:H31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400</v>
      </c>
    </row>
    <row r="3" spans="1:8" ht="21" x14ac:dyDescent="0.35">
      <c r="A3" s="2" t="s">
        <v>1</v>
      </c>
      <c r="D3" s="11">
        <v>73780</v>
      </c>
      <c r="F3" s="12" t="s">
        <v>3</v>
      </c>
      <c r="H3" s="11">
        <v>11780</v>
      </c>
    </row>
    <row r="4" spans="1:8" x14ac:dyDescent="0.25">
      <c r="A4" s="13" t="s">
        <v>29</v>
      </c>
      <c r="C4" s="28">
        <v>508</v>
      </c>
    </row>
    <row r="5" spans="1:8" ht="21" x14ac:dyDescent="0.35">
      <c r="A5" s="2" t="s">
        <v>2</v>
      </c>
    </row>
    <row r="7" spans="1:8" ht="18.75" x14ac:dyDescent="0.3">
      <c r="A7" s="5" t="s">
        <v>310</v>
      </c>
      <c r="D7" s="4">
        <v>26950</v>
      </c>
      <c r="E7" s="27"/>
      <c r="H7" s="4">
        <v>4300</v>
      </c>
    </row>
    <row r="8" spans="1:8" ht="18.75" x14ac:dyDescent="0.3">
      <c r="A8" s="5"/>
      <c r="D8" s="4"/>
      <c r="E8" s="27"/>
      <c r="H8" s="4"/>
    </row>
    <row r="9" spans="1:8" ht="18.75" x14ac:dyDescent="0.3">
      <c r="A9" s="5"/>
      <c r="D9" s="4"/>
      <c r="E9" s="27"/>
      <c r="H9" s="4"/>
    </row>
    <row r="10" spans="1:8" ht="18.75" x14ac:dyDescent="0.3">
      <c r="A10" s="5"/>
      <c r="D10" s="4"/>
      <c r="E10" s="27"/>
      <c r="H10" s="4"/>
    </row>
    <row r="11" spans="1:8" ht="18.75" x14ac:dyDescent="0.3">
      <c r="A11" s="5"/>
      <c r="D11" s="30"/>
      <c r="E11" s="27"/>
      <c r="H11" s="30"/>
    </row>
    <row r="12" spans="1:8" ht="19.5" thickBot="1" x14ac:dyDescent="0.35">
      <c r="A12" s="5"/>
      <c r="D12" s="23"/>
      <c r="E12" s="27"/>
      <c r="H12" s="23"/>
    </row>
    <row r="13" spans="1:8" ht="18.75" x14ac:dyDescent="0.3">
      <c r="D13" s="4">
        <f>SUM(D7:D12)</f>
        <v>26950</v>
      </c>
      <c r="H13" s="33">
        <f>SUM(H7:H12)</f>
        <v>4300</v>
      </c>
    </row>
    <row r="14" spans="1:8" ht="18.75" x14ac:dyDescent="0.3">
      <c r="A14" s="5"/>
      <c r="C14" s="3"/>
      <c r="D14" s="4"/>
      <c r="H14" s="4"/>
    </row>
    <row r="15" spans="1:8" ht="15.75" thickBot="1" x14ac:dyDescent="0.3">
      <c r="D15" s="7"/>
      <c r="H15" s="7"/>
    </row>
    <row r="17" spans="1:8" ht="18.75" x14ac:dyDescent="0.3">
      <c r="C17" t="s">
        <v>4</v>
      </c>
      <c r="D17" s="4">
        <f>D3-D13</f>
        <v>46830</v>
      </c>
      <c r="G17" t="s">
        <v>5</v>
      </c>
      <c r="H17" s="4">
        <f>H3-H13</f>
        <v>7480</v>
      </c>
    </row>
    <row r="20" spans="1:8" ht="15.75" x14ac:dyDescent="0.25">
      <c r="A20" t="s">
        <v>6</v>
      </c>
      <c r="C20" s="8">
        <f>D17</f>
        <v>46830</v>
      </c>
      <c r="E20" t="s">
        <v>10</v>
      </c>
      <c r="H20" s="6">
        <f>C29</f>
        <v>39054.879999999997</v>
      </c>
    </row>
    <row r="22" spans="1:8" ht="15.75" x14ac:dyDescent="0.25">
      <c r="A22" t="s">
        <v>5</v>
      </c>
      <c r="B22" s="9" t="s">
        <v>7</v>
      </c>
      <c r="C22" s="8">
        <f>H17</f>
        <v>7480</v>
      </c>
      <c r="E22" s="13" t="s">
        <v>11</v>
      </c>
      <c r="F22" s="9" t="s">
        <v>12</v>
      </c>
      <c r="G22" s="15" t="s">
        <v>17</v>
      </c>
      <c r="H22" s="3">
        <f>-(F23*0.007)</f>
        <v>-434</v>
      </c>
    </row>
    <row r="23" spans="1:8" x14ac:dyDescent="0.25">
      <c r="F23" s="21">
        <f>D3-H3</f>
        <v>62000</v>
      </c>
    </row>
    <row r="24" spans="1:8" ht="16.5" thickBot="1" x14ac:dyDescent="0.3">
      <c r="A24" t="s">
        <v>8</v>
      </c>
      <c r="B24" s="9" t="s">
        <v>7</v>
      </c>
      <c r="C24" s="8">
        <f>D3*0.004</f>
        <v>295.12</v>
      </c>
      <c r="F24" s="9" t="s">
        <v>13</v>
      </c>
      <c r="G24" s="16">
        <v>0.35</v>
      </c>
      <c r="H24" s="17">
        <f>-(F25*0.35)</f>
        <v>-13669.207999999999</v>
      </c>
    </row>
    <row r="25" spans="1:8" x14ac:dyDescent="0.25">
      <c r="F25" s="21">
        <f>H20</f>
        <v>39054.879999999997</v>
      </c>
    </row>
    <row r="26" spans="1:8" ht="15.75" x14ac:dyDescent="0.25">
      <c r="A26" t="s">
        <v>9</v>
      </c>
      <c r="B26" s="9" t="s">
        <v>7</v>
      </c>
      <c r="C26" s="10"/>
      <c r="G26" s="13" t="s">
        <v>14</v>
      </c>
      <c r="H26" s="6">
        <f>H20+H22+H24</f>
        <v>24951.671999999999</v>
      </c>
    </row>
    <row r="27" spans="1:8" ht="15.75" thickBot="1" x14ac:dyDescent="0.3">
      <c r="A27" s="16"/>
      <c r="B27" s="14"/>
      <c r="C27" s="7"/>
    </row>
    <row r="28" spans="1:8" x14ac:dyDescent="0.25">
      <c r="E28" t="s">
        <v>100</v>
      </c>
      <c r="H28" s="20">
        <f>H26*0.4</f>
        <v>9980.6687999999995</v>
      </c>
    </row>
    <row r="29" spans="1:8" ht="15.75" x14ac:dyDescent="0.25">
      <c r="A29" t="s">
        <v>10</v>
      </c>
      <c r="C29" s="10">
        <f>C20-C22-C24-C26</f>
        <v>39054.879999999997</v>
      </c>
      <c r="H29" s="18"/>
    </row>
    <row r="30" spans="1:8" x14ac:dyDescent="0.25">
      <c r="H30" s="3"/>
    </row>
    <row r="31" spans="1:8" x14ac:dyDescent="0.25">
      <c r="H31" s="18"/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A817F-3C08-4608-8DBD-D8BF7E23C5F9}">
  <dimension ref="A1:H31"/>
  <sheetViews>
    <sheetView workbookViewId="0">
      <selection activeCell="C11" sqref="C11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401</v>
      </c>
    </row>
    <row r="3" spans="1:8" ht="21" x14ac:dyDescent="0.35">
      <c r="A3" s="2" t="s">
        <v>1</v>
      </c>
      <c r="D3" s="11">
        <v>139926</v>
      </c>
      <c r="F3" s="12" t="s">
        <v>3</v>
      </c>
      <c r="H3" s="11">
        <v>22341</v>
      </c>
    </row>
    <row r="4" spans="1:8" x14ac:dyDescent="0.25">
      <c r="A4" s="13" t="s">
        <v>29</v>
      </c>
      <c r="C4" s="28">
        <v>509</v>
      </c>
    </row>
    <row r="5" spans="1:8" ht="21" x14ac:dyDescent="0.35">
      <c r="A5" s="2" t="s">
        <v>2</v>
      </c>
    </row>
    <row r="7" spans="1:8" ht="18.75" x14ac:dyDescent="0.3">
      <c r="A7" s="5" t="s">
        <v>402</v>
      </c>
      <c r="D7" s="4">
        <v>55000</v>
      </c>
      <c r="E7" s="27"/>
      <c r="H7" s="4">
        <v>0</v>
      </c>
    </row>
    <row r="8" spans="1:8" ht="18.75" x14ac:dyDescent="0.3">
      <c r="A8" s="5"/>
      <c r="D8" s="4"/>
      <c r="E8" s="27"/>
      <c r="H8" s="4"/>
    </row>
    <row r="9" spans="1:8" ht="18.75" x14ac:dyDescent="0.3">
      <c r="A9" s="5"/>
      <c r="D9" s="4"/>
      <c r="E9" s="27"/>
      <c r="H9" s="4"/>
    </row>
    <row r="10" spans="1:8" ht="18.75" x14ac:dyDescent="0.3">
      <c r="A10" s="5"/>
      <c r="D10" s="4"/>
      <c r="E10" s="27"/>
      <c r="H10" s="4"/>
    </row>
    <row r="11" spans="1:8" ht="18.75" x14ac:dyDescent="0.3">
      <c r="A11" s="5"/>
      <c r="D11" s="30"/>
      <c r="E11" s="27"/>
      <c r="H11" s="30"/>
    </row>
    <row r="12" spans="1:8" ht="19.5" thickBot="1" x14ac:dyDescent="0.35">
      <c r="A12" s="5"/>
      <c r="D12" s="23"/>
      <c r="E12" s="27"/>
      <c r="H12" s="23"/>
    </row>
    <row r="13" spans="1:8" ht="18.75" x14ac:dyDescent="0.3">
      <c r="D13" s="4">
        <f>SUM(D7:D12)</f>
        <v>55000</v>
      </c>
      <c r="H13" s="33">
        <f>SUM(H7:H12)</f>
        <v>0</v>
      </c>
    </row>
    <row r="14" spans="1:8" ht="18.75" x14ac:dyDescent="0.3">
      <c r="A14" s="5"/>
      <c r="C14" s="3"/>
      <c r="D14" s="4"/>
      <c r="H14" s="4"/>
    </row>
    <row r="15" spans="1:8" ht="15.75" thickBot="1" x14ac:dyDescent="0.3">
      <c r="D15" s="7"/>
      <c r="H15" s="7"/>
    </row>
    <row r="17" spans="1:8" ht="18.75" x14ac:dyDescent="0.3">
      <c r="C17" t="s">
        <v>4</v>
      </c>
      <c r="D17" s="4">
        <f>D3-D13</f>
        <v>84926</v>
      </c>
      <c r="G17" t="s">
        <v>5</v>
      </c>
      <c r="H17" s="4">
        <f>H3-H13</f>
        <v>22341</v>
      </c>
    </row>
    <row r="20" spans="1:8" ht="15.75" x14ac:dyDescent="0.25">
      <c r="A20" t="s">
        <v>6</v>
      </c>
      <c r="C20" s="8">
        <f>D17</f>
        <v>84926</v>
      </c>
      <c r="E20" t="s">
        <v>10</v>
      </c>
      <c r="H20" s="6">
        <f>C29</f>
        <v>62025.296000000002</v>
      </c>
    </row>
    <row r="22" spans="1:8" ht="15.75" x14ac:dyDescent="0.25">
      <c r="A22" t="s">
        <v>5</v>
      </c>
      <c r="B22" s="9" t="s">
        <v>7</v>
      </c>
      <c r="C22" s="8">
        <f>H17</f>
        <v>22341</v>
      </c>
      <c r="E22" s="13" t="s">
        <v>11</v>
      </c>
      <c r="F22" s="9" t="s">
        <v>12</v>
      </c>
      <c r="G22" s="15" t="s">
        <v>17</v>
      </c>
      <c r="H22" s="3">
        <f>-(F23*0.007)</f>
        <v>-823.09500000000003</v>
      </c>
    </row>
    <row r="23" spans="1:8" x14ac:dyDescent="0.25">
      <c r="F23" s="21">
        <f>D3-H3</f>
        <v>117585</v>
      </c>
    </row>
    <row r="24" spans="1:8" ht="16.5" thickBot="1" x14ac:dyDescent="0.3">
      <c r="A24" t="s">
        <v>8</v>
      </c>
      <c r="B24" s="9" t="s">
        <v>7</v>
      </c>
      <c r="C24" s="8">
        <f>D3*0.004</f>
        <v>559.70400000000006</v>
      </c>
      <c r="F24" s="9" t="s">
        <v>13</v>
      </c>
      <c r="G24" s="16">
        <v>0.35</v>
      </c>
      <c r="H24" s="17">
        <f>-(F25*0.35)</f>
        <v>-21708.853599999999</v>
      </c>
    </row>
    <row r="25" spans="1:8" x14ac:dyDescent="0.25">
      <c r="F25" s="21">
        <f>H20</f>
        <v>62025.296000000002</v>
      </c>
    </row>
    <row r="26" spans="1:8" ht="15.75" x14ac:dyDescent="0.25">
      <c r="A26" t="s">
        <v>9</v>
      </c>
      <c r="B26" s="9" t="s">
        <v>7</v>
      </c>
      <c r="C26" s="10"/>
      <c r="G26" s="13" t="s">
        <v>14</v>
      </c>
      <c r="H26" s="6">
        <f>H20+H22+H24</f>
        <v>39493.347399999999</v>
      </c>
    </row>
    <row r="27" spans="1:8" ht="15.75" thickBot="1" x14ac:dyDescent="0.3">
      <c r="A27" s="16"/>
      <c r="B27" s="14"/>
      <c r="C27" s="7"/>
    </row>
    <row r="28" spans="1:8" x14ac:dyDescent="0.25">
      <c r="E28" t="s">
        <v>100</v>
      </c>
      <c r="H28" s="20">
        <f>H26*0.4</f>
        <v>15797.338960000001</v>
      </c>
    </row>
    <row r="29" spans="1:8" ht="15.75" x14ac:dyDescent="0.25">
      <c r="A29" t="s">
        <v>10</v>
      </c>
      <c r="C29" s="10">
        <f>C20-C22-C24-C26</f>
        <v>62025.296000000002</v>
      </c>
      <c r="H29" s="18"/>
    </row>
    <row r="30" spans="1:8" x14ac:dyDescent="0.25">
      <c r="H30" s="3"/>
    </row>
    <row r="31" spans="1:8" x14ac:dyDescent="0.25">
      <c r="H31" s="18"/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FD22D-AD37-4B91-8039-1513A60B3DE6}">
  <dimension ref="A1:H31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386</v>
      </c>
    </row>
    <row r="3" spans="1:8" ht="21" x14ac:dyDescent="0.35">
      <c r="A3" s="2" t="s">
        <v>1</v>
      </c>
      <c r="D3" s="11">
        <v>428400</v>
      </c>
      <c r="F3" s="12" t="s">
        <v>3</v>
      </c>
      <c r="H3" s="11">
        <v>68400</v>
      </c>
    </row>
    <row r="4" spans="1:8" x14ac:dyDescent="0.25">
      <c r="A4" s="13" t="s">
        <v>29</v>
      </c>
      <c r="C4" s="28">
        <v>510</v>
      </c>
    </row>
    <row r="5" spans="1:8" ht="21" x14ac:dyDescent="0.35">
      <c r="A5" s="2" t="s">
        <v>2</v>
      </c>
    </row>
    <row r="7" spans="1:8" ht="18.75" x14ac:dyDescent="0.3">
      <c r="A7" s="5" t="s">
        <v>403</v>
      </c>
      <c r="D7" s="4">
        <v>194792</v>
      </c>
      <c r="E7" s="27"/>
      <c r="H7" s="4">
        <v>31532</v>
      </c>
    </row>
    <row r="8" spans="1:8" ht="18.75" x14ac:dyDescent="0.3">
      <c r="A8" s="5"/>
      <c r="D8" s="4"/>
      <c r="E8" s="27"/>
      <c r="H8" s="4"/>
    </row>
    <row r="9" spans="1:8" ht="18.75" x14ac:dyDescent="0.3">
      <c r="A9" s="5"/>
      <c r="D9" s="4"/>
      <c r="E9" s="27"/>
      <c r="H9" s="4"/>
    </row>
    <row r="10" spans="1:8" ht="18.75" x14ac:dyDescent="0.3">
      <c r="A10" s="5"/>
      <c r="D10" s="4"/>
      <c r="E10" s="27"/>
      <c r="H10" s="4"/>
    </row>
    <row r="11" spans="1:8" ht="18.75" x14ac:dyDescent="0.3">
      <c r="A11" s="5"/>
      <c r="D11" s="30"/>
      <c r="E11" s="27"/>
      <c r="H11" s="30"/>
    </row>
    <row r="12" spans="1:8" ht="19.5" thickBot="1" x14ac:dyDescent="0.35">
      <c r="A12" s="5"/>
      <c r="D12" s="23"/>
      <c r="E12" s="27"/>
      <c r="H12" s="23"/>
    </row>
    <row r="13" spans="1:8" ht="18.75" x14ac:dyDescent="0.3">
      <c r="D13" s="4">
        <f>SUM(D7:D12)</f>
        <v>194792</v>
      </c>
      <c r="H13" s="33">
        <f>SUM(H7:H12)</f>
        <v>31532</v>
      </c>
    </row>
    <row r="14" spans="1:8" ht="18.75" x14ac:dyDescent="0.3">
      <c r="A14" s="5"/>
      <c r="C14" s="3"/>
      <c r="D14" s="4"/>
      <c r="H14" s="4"/>
    </row>
    <row r="15" spans="1:8" ht="15.75" thickBot="1" x14ac:dyDescent="0.3">
      <c r="D15" s="7"/>
      <c r="H15" s="7"/>
    </row>
    <row r="17" spans="1:8" ht="18.75" x14ac:dyDescent="0.3">
      <c r="C17" t="s">
        <v>4</v>
      </c>
      <c r="D17" s="4">
        <f>D3-D13</f>
        <v>233608</v>
      </c>
      <c r="G17" t="s">
        <v>5</v>
      </c>
      <c r="H17" s="4">
        <f>H3-H13</f>
        <v>36868</v>
      </c>
    </row>
    <row r="20" spans="1:8" ht="15.75" x14ac:dyDescent="0.25">
      <c r="A20" t="s">
        <v>6</v>
      </c>
      <c r="C20" s="8">
        <f>D17</f>
        <v>233608</v>
      </c>
      <c r="E20" t="s">
        <v>10</v>
      </c>
      <c r="H20" s="6">
        <f>C29</f>
        <v>177026.4</v>
      </c>
    </row>
    <row r="22" spans="1:8" ht="15.75" x14ac:dyDescent="0.25">
      <c r="A22" t="s">
        <v>5</v>
      </c>
      <c r="B22" s="9" t="s">
        <v>7</v>
      </c>
      <c r="C22" s="8">
        <f>H17</f>
        <v>36868</v>
      </c>
      <c r="E22" s="13" t="s">
        <v>11</v>
      </c>
      <c r="F22" s="9" t="s">
        <v>12</v>
      </c>
      <c r="G22" s="15" t="s">
        <v>17</v>
      </c>
      <c r="H22" s="3">
        <f>-(F23*0.007)</f>
        <v>-2520</v>
      </c>
    </row>
    <row r="23" spans="1:8" x14ac:dyDescent="0.25">
      <c r="F23" s="21">
        <f>D3-H3</f>
        <v>360000</v>
      </c>
    </row>
    <row r="24" spans="1:8" ht="16.5" thickBot="1" x14ac:dyDescent="0.3">
      <c r="A24" t="s">
        <v>8</v>
      </c>
      <c r="B24" s="9" t="s">
        <v>7</v>
      </c>
      <c r="C24" s="8">
        <f>D3*0.004</f>
        <v>1713.6000000000001</v>
      </c>
      <c r="F24" s="9" t="s">
        <v>13</v>
      </c>
      <c r="G24" s="16">
        <v>0.35</v>
      </c>
      <c r="H24" s="17">
        <f>-(F25*0.35)</f>
        <v>-61959.239999999991</v>
      </c>
    </row>
    <row r="25" spans="1:8" x14ac:dyDescent="0.25">
      <c r="F25" s="21">
        <f>H20</f>
        <v>177026.4</v>
      </c>
    </row>
    <row r="26" spans="1:8" ht="15.75" x14ac:dyDescent="0.25">
      <c r="A26" t="s">
        <v>9</v>
      </c>
      <c r="B26" s="9" t="s">
        <v>7</v>
      </c>
      <c r="C26" s="10">
        <v>18000</v>
      </c>
      <c r="G26" s="13" t="s">
        <v>14</v>
      </c>
      <c r="H26" s="6">
        <f>H20+H22+H24</f>
        <v>112547.16</v>
      </c>
    </row>
    <row r="27" spans="1:8" ht="15.75" thickBot="1" x14ac:dyDescent="0.3">
      <c r="A27" s="16" t="s">
        <v>404</v>
      </c>
      <c r="B27" s="14"/>
      <c r="C27" s="7"/>
    </row>
    <row r="28" spans="1:8" x14ac:dyDescent="0.25">
      <c r="E28" t="s">
        <v>100</v>
      </c>
      <c r="H28" s="20">
        <f>H26*0.4</f>
        <v>45018.864000000001</v>
      </c>
    </row>
    <row r="29" spans="1:8" ht="15.75" x14ac:dyDescent="0.25">
      <c r="A29" t="s">
        <v>10</v>
      </c>
      <c r="C29" s="10">
        <f>C20-C22-C24-C26</f>
        <v>177026.4</v>
      </c>
      <c r="H29" s="18"/>
    </row>
    <row r="30" spans="1:8" x14ac:dyDescent="0.25">
      <c r="H30" s="3"/>
    </row>
    <row r="31" spans="1:8" x14ac:dyDescent="0.25">
      <c r="H31" s="18"/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7312E-65C6-4F19-8DE7-6BA25C3C6ACA}">
  <dimension ref="A1:H31"/>
  <sheetViews>
    <sheetView workbookViewId="0">
      <selection activeCell="C4" sqref="C4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393</v>
      </c>
    </row>
    <row r="3" spans="1:8" ht="21" x14ac:dyDescent="0.35">
      <c r="A3" s="2" t="s">
        <v>1</v>
      </c>
      <c r="D3" s="11">
        <v>57120</v>
      </c>
      <c r="F3" s="12" t="s">
        <v>3</v>
      </c>
      <c r="H3" s="11">
        <v>9120</v>
      </c>
    </row>
    <row r="4" spans="1:8" x14ac:dyDescent="0.25">
      <c r="A4" s="13" t="s">
        <v>29</v>
      </c>
      <c r="C4" s="28">
        <v>513</v>
      </c>
    </row>
    <row r="5" spans="1:8" ht="21" x14ac:dyDescent="0.35">
      <c r="A5" s="2" t="s">
        <v>2</v>
      </c>
    </row>
    <row r="7" spans="1:8" ht="18.75" x14ac:dyDescent="0.3">
      <c r="A7" s="5" t="s">
        <v>310</v>
      </c>
      <c r="D7" s="4">
        <v>35950</v>
      </c>
      <c r="E7" s="27"/>
      <c r="H7" s="4">
        <v>4707</v>
      </c>
    </row>
    <row r="8" spans="1:8" ht="18.75" x14ac:dyDescent="0.3">
      <c r="A8" s="5"/>
      <c r="D8" s="4"/>
      <c r="E8" s="27"/>
      <c r="H8" s="4"/>
    </row>
    <row r="9" spans="1:8" ht="18.75" x14ac:dyDescent="0.3">
      <c r="A9" s="5"/>
      <c r="D9" s="4"/>
      <c r="E9" s="27"/>
      <c r="H9" s="4"/>
    </row>
    <row r="10" spans="1:8" ht="18.75" x14ac:dyDescent="0.3">
      <c r="A10" s="5"/>
      <c r="D10" s="4"/>
      <c r="E10" s="27"/>
      <c r="H10" s="4"/>
    </row>
    <row r="11" spans="1:8" ht="18.75" x14ac:dyDescent="0.3">
      <c r="A11" s="5"/>
      <c r="D11" s="30"/>
      <c r="E11" s="27"/>
      <c r="H11" s="30"/>
    </row>
    <row r="12" spans="1:8" ht="19.5" thickBot="1" x14ac:dyDescent="0.35">
      <c r="A12" s="5"/>
      <c r="D12" s="23"/>
      <c r="E12" s="27"/>
      <c r="H12" s="23"/>
    </row>
    <row r="13" spans="1:8" ht="18.75" x14ac:dyDescent="0.3">
      <c r="D13" s="4">
        <f>SUM(D7:D12)</f>
        <v>35950</v>
      </c>
      <c r="H13" s="33">
        <f>SUM(H7:H12)</f>
        <v>4707</v>
      </c>
    </row>
    <row r="14" spans="1:8" ht="18.75" x14ac:dyDescent="0.3">
      <c r="A14" s="5"/>
      <c r="C14" s="3"/>
      <c r="D14" s="4"/>
      <c r="H14" s="4"/>
    </row>
    <row r="15" spans="1:8" ht="15.75" thickBot="1" x14ac:dyDescent="0.3">
      <c r="D15" s="7"/>
      <c r="H15" s="7"/>
    </row>
    <row r="17" spans="1:8" ht="18.75" x14ac:dyDescent="0.3">
      <c r="C17" t="s">
        <v>4</v>
      </c>
      <c r="D17" s="4">
        <f>D3-D13</f>
        <v>21170</v>
      </c>
      <c r="G17" t="s">
        <v>5</v>
      </c>
      <c r="H17" s="4">
        <f>H3-H13</f>
        <v>4413</v>
      </c>
    </row>
    <row r="20" spans="1:8" ht="15.75" x14ac:dyDescent="0.25">
      <c r="A20" t="s">
        <v>6</v>
      </c>
      <c r="C20" s="8">
        <f>D17</f>
        <v>21170</v>
      </c>
      <c r="E20" t="s">
        <v>10</v>
      </c>
      <c r="H20" s="6">
        <f>C29</f>
        <v>16528.52</v>
      </c>
    </row>
    <row r="22" spans="1:8" ht="15.75" x14ac:dyDescent="0.25">
      <c r="A22" t="s">
        <v>5</v>
      </c>
      <c r="B22" s="9" t="s">
        <v>7</v>
      </c>
      <c r="C22" s="8">
        <f>H17</f>
        <v>4413</v>
      </c>
      <c r="E22" s="13" t="s">
        <v>11</v>
      </c>
      <c r="F22" s="9" t="s">
        <v>12</v>
      </c>
      <c r="G22" s="15" t="s">
        <v>17</v>
      </c>
      <c r="H22" s="3">
        <f>-(F23*0.007)</f>
        <v>-336</v>
      </c>
    </row>
    <row r="23" spans="1:8" x14ac:dyDescent="0.25">
      <c r="F23" s="21">
        <f>D3-H3</f>
        <v>48000</v>
      </c>
    </row>
    <row r="24" spans="1:8" ht="16.5" thickBot="1" x14ac:dyDescent="0.3">
      <c r="A24" t="s">
        <v>8</v>
      </c>
      <c r="B24" s="9" t="s">
        <v>7</v>
      </c>
      <c r="C24" s="8">
        <f>D3*0.004</f>
        <v>228.48000000000002</v>
      </c>
      <c r="F24" s="9" t="s">
        <v>13</v>
      </c>
      <c r="G24" s="16">
        <v>0.35</v>
      </c>
      <c r="H24" s="17">
        <f>-(F25*0.35)</f>
        <v>-5784.982</v>
      </c>
    </row>
    <row r="25" spans="1:8" x14ac:dyDescent="0.25">
      <c r="F25" s="21">
        <f>H20</f>
        <v>16528.52</v>
      </c>
    </row>
    <row r="26" spans="1:8" ht="15.75" x14ac:dyDescent="0.25">
      <c r="A26" t="s">
        <v>9</v>
      </c>
      <c r="B26" s="9" t="s">
        <v>7</v>
      </c>
      <c r="C26" s="10"/>
      <c r="G26" s="13" t="s">
        <v>14</v>
      </c>
      <c r="H26" s="6">
        <f>H20+H22+H24</f>
        <v>10407.538</v>
      </c>
    </row>
    <row r="27" spans="1:8" ht="15.75" thickBot="1" x14ac:dyDescent="0.3">
      <c r="A27" s="16"/>
      <c r="B27" s="14"/>
      <c r="C27" s="7"/>
    </row>
    <row r="28" spans="1:8" x14ac:dyDescent="0.25">
      <c r="E28" t="s">
        <v>100</v>
      </c>
      <c r="H28" s="20">
        <f>H26*0.4</f>
        <v>4163.0152000000007</v>
      </c>
    </row>
    <row r="29" spans="1:8" ht="15.75" x14ac:dyDescent="0.25">
      <c r="A29" t="s">
        <v>10</v>
      </c>
      <c r="C29" s="10">
        <f>C20-C22-C24-C26</f>
        <v>16528.52</v>
      </c>
      <c r="H29" s="18"/>
    </row>
    <row r="30" spans="1:8" x14ac:dyDescent="0.25">
      <c r="H30" s="3"/>
    </row>
    <row r="31" spans="1:8" x14ac:dyDescent="0.25">
      <c r="H31" s="18"/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97FDE-9D30-4483-ABB3-6220C9645B3C}">
  <dimension ref="A1:H31"/>
  <sheetViews>
    <sheetView workbookViewId="0">
      <selection activeCell="C4" sqref="C4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405</v>
      </c>
    </row>
    <row r="3" spans="1:8" ht="21" x14ac:dyDescent="0.35">
      <c r="A3" s="2" t="s">
        <v>1</v>
      </c>
      <c r="D3" s="11">
        <v>1180000</v>
      </c>
      <c r="F3" s="12" t="s">
        <v>3</v>
      </c>
      <c r="H3" s="11">
        <v>0</v>
      </c>
    </row>
    <row r="4" spans="1:8" x14ac:dyDescent="0.25">
      <c r="A4" s="13" t="s">
        <v>29</v>
      </c>
      <c r="C4" s="28">
        <v>514</v>
      </c>
    </row>
    <row r="5" spans="1:8" ht="21" x14ac:dyDescent="0.35">
      <c r="A5" s="2" t="s">
        <v>2</v>
      </c>
    </row>
    <row r="7" spans="1:8" ht="18.75" x14ac:dyDescent="0.3">
      <c r="A7" s="5" t="s">
        <v>406</v>
      </c>
      <c r="D7" s="4">
        <v>804250</v>
      </c>
      <c r="E7" s="27"/>
      <c r="H7" s="4">
        <v>128410</v>
      </c>
    </row>
    <row r="8" spans="1:8" ht="18.75" x14ac:dyDescent="0.3">
      <c r="A8" s="5"/>
      <c r="D8" s="4">
        <v>268100</v>
      </c>
      <c r="E8" s="27"/>
      <c r="H8" s="4">
        <v>42805</v>
      </c>
    </row>
    <row r="9" spans="1:8" ht="18.75" x14ac:dyDescent="0.3">
      <c r="A9" s="5"/>
      <c r="D9" s="4"/>
      <c r="E9" s="27"/>
      <c r="H9" s="4"/>
    </row>
    <row r="10" spans="1:8" ht="18.75" x14ac:dyDescent="0.3">
      <c r="A10" s="5"/>
      <c r="D10" s="4"/>
      <c r="E10" s="27"/>
      <c r="H10" s="4"/>
    </row>
    <row r="11" spans="1:8" ht="18.75" x14ac:dyDescent="0.3">
      <c r="A11" s="5"/>
      <c r="D11" s="30"/>
      <c r="E11" s="27"/>
      <c r="H11" s="30"/>
    </row>
    <row r="12" spans="1:8" ht="19.5" thickBot="1" x14ac:dyDescent="0.35">
      <c r="A12" s="5"/>
      <c r="D12" s="23"/>
      <c r="E12" s="27"/>
      <c r="H12" s="23"/>
    </row>
    <row r="13" spans="1:8" ht="18.75" x14ac:dyDescent="0.3">
      <c r="D13" s="4">
        <f>SUM(D7:D12)</f>
        <v>1072350</v>
      </c>
      <c r="H13" s="33">
        <f>SUM(H7:H12)</f>
        <v>171215</v>
      </c>
    </row>
    <row r="14" spans="1:8" ht="18.75" x14ac:dyDescent="0.3">
      <c r="A14" s="5"/>
      <c r="C14" s="3"/>
      <c r="D14" s="4"/>
      <c r="H14" s="4"/>
    </row>
    <row r="15" spans="1:8" ht="15.75" thickBot="1" x14ac:dyDescent="0.3">
      <c r="D15" s="7"/>
      <c r="H15" s="7"/>
    </row>
    <row r="17" spans="1:8" ht="18.75" x14ac:dyDescent="0.3">
      <c r="C17" t="s">
        <v>4</v>
      </c>
      <c r="D17" s="4">
        <f>D3-D13</f>
        <v>107650</v>
      </c>
      <c r="G17" t="s">
        <v>5</v>
      </c>
      <c r="H17" s="4">
        <f>H3-H13</f>
        <v>-171215</v>
      </c>
    </row>
    <row r="20" spans="1:8" ht="15.75" x14ac:dyDescent="0.25">
      <c r="A20" t="s">
        <v>6</v>
      </c>
      <c r="C20" s="8">
        <f>D17</f>
        <v>107650</v>
      </c>
      <c r="E20" t="s">
        <v>10</v>
      </c>
      <c r="H20" s="6">
        <f>C29</f>
        <v>274145</v>
      </c>
    </row>
    <row r="22" spans="1:8" ht="15.75" x14ac:dyDescent="0.25">
      <c r="A22" t="s">
        <v>5</v>
      </c>
      <c r="B22" s="9" t="s">
        <v>7</v>
      </c>
      <c r="C22" s="8">
        <f>H17</f>
        <v>-171215</v>
      </c>
      <c r="E22" s="13" t="s">
        <v>11</v>
      </c>
      <c r="F22" s="9" t="s">
        <v>12</v>
      </c>
      <c r="G22" s="15" t="s">
        <v>17</v>
      </c>
      <c r="H22" s="3">
        <f>-(F23*0.007)</f>
        <v>-8260</v>
      </c>
    </row>
    <row r="23" spans="1:8" x14ac:dyDescent="0.25">
      <c r="F23" s="21">
        <f>D3-H3</f>
        <v>1180000</v>
      </c>
    </row>
    <row r="24" spans="1:8" ht="16.5" thickBot="1" x14ac:dyDescent="0.3">
      <c r="A24" t="s">
        <v>8</v>
      </c>
      <c r="B24" s="9" t="s">
        <v>7</v>
      </c>
      <c r="C24" s="8">
        <f>D3*0.004</f>
        <v>4720</v>
      </c>
      <c r="F24" s="9" t="s">
        <v>13</v>
      </c>
      <c r="G24" s="16">
        <v>0.35</v>
      </c>
      <c r="H24" s="17">
        <f>-(F25*0.35)</f>
        <v>-95950.75</v>
      </c>
    </row>
    <row r="25" spans="1:8" x14ac:dyDescent="0.25">
      <c r="F25" s="21">
        <f>H20</f>
        <v>274145</v>
      </c>
    </row>
    <row r="26" spans="1:8" ht="15.75" x14ac:dyDescent="0.25">
      <c r="A26" t="s">
        <v>9</v>
      </c>
      <c r="B26" s="9" t="s">
        <v>7</v>
      </c>
      <c r="C26" s="10"/>
      <c r="G26" s="13" t="s">
        <v>14</v>
      </c>
      <c r="H26" s="6">
        <f>H20+H22+H24</f>
        <v>169934.25</v>
      </c>
    </row>
    <row r="27" spans="1:8" ht="15.75" thickBot="1" x14ac:dyDescent="0.3">
      <c r="A27" s="16"/>
      <c r="B27" s="14"/>
      <c r="C27" s="7"/>
    </row>
    <row r="28" spans="1:8" x14ac:dyDescent="0.25">
      <c r="E28" t="s">
        <v>100</v>
      </c>
      <c r="H28" s="20">
        <f>H26*0.4</f>
        <v>67973.7</v>
      </c>
    </row>
    <row r="29" spans="1:8" ht="15.75" x14ac:dyDescent="0.25">
      <c r="A29" t="s">
        <v>10</v>
      </c>
      <c r="C29" s="10">
        <f>C20-C22-C24-C26</f>
        <v>274145</v>
      </c>
      <c r="H29" s="18"/>
    </row>
    <row r="30" spans="1:8" x14ac:dyDescent="0.25">
      <c r="H30" s="3"/>
    </row>
    <row r="31" spans="1:8" x14ac:dyDescent="0.25">
      <c r="H31" s="18"/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B8ABE-ADDB-4585-B4D6-E94F008B8EA3}">
  <dimension ref="A1:H31"/>
  <sheetViews>
    <sheetView workbookViewId="0">
      <selection activeCell="C8" sqref="C8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407</v>
      </c>
    </row>
    <row r="3" spans="1:8" ht="21" x14ac:dyDescent="0.35">
      <c r="A3" s="2" t="s">
        <v>1</v>
      </c>
      <c r="D3" s="11">
        <v>2410715</v>
      </c>
      <c r="F3" s="12" t="s">
        <v>3</v>
      </c>
      <c r="H3" s="11">
        <v>393164</v>
      </c>
    </row>
    <row r="4" spans="1:8" x14ac:dyDescent="0.25">
      <c r="A4" s="13" t="s">
        <v>29</v>
      </c>
      <c r="C4" s="28">
        <v>515</v>
      </c>
    </row>
    <row r="5" spans="1:8" ht="21" x14ac:dyDescent="0.35">
      <c r="A5" s="2" t="s">
        <v>2</v>
      </c>
    </row>
    <row r="7" spans="1:8" ht="18.75" x14ac:dyDescent="0.3">
      <c r="A7" s="5" t="s">
        <v>408</v>
      </c>
      <c r="D7" s="4">
        <v>190900</v>
      </c>
      <c r="E7" s="27"/>
      <c r="H7" s="4">
        <v>0</v>
      </c>
    </row>
    <row r="8" spans="1:8" ht="18.75" x14ac:dyDescent="0.3">
      <c r="A8" s="5" t="s">
        <v>409</v>
      </c>
      <c r="D8" s="4">
        <v>487900</v>
      </c>
      <c r="E8" s="27"/>
      <c r="H8" s="4">
        <v>77900</v>
      </c>
    </row>
    <row r="9" spans="1:8" ht="18.75" x14ac:dyDescent="0.3">
      <c r="A9" s="5" t="s">
        <v>397</v>
      </c>
      <c r="D9" s="4">
        <v>33320</v>
      </c>
      <c r="E9" s="27"/>
      <c r="H9" s="4">
        <v>5320</v>
      </c>
    </row>
    <row r="10" spans="1:8" ht="18.75" x14ac:dyDescent="0.3">
      <c r="A10" s="5" t="s">
        <v>410</v>
      </c>
      <c r="D10" s="4">
        <v>1115823</v>
      </c>
      <c r="E10" s="27"/>
      <c r="H10" s="4">
        <v>178157</v>
      </c>
    </row>
    <row r="11" spans="1:8" ht="18.75" x14ac:dyDescent="0.3">
      <c r="A11" s="5" t="s">
        <v>411</v>
      </c>
      <c r="D11" s="30">
        <v>25000</v>
      </c>
      <c r="E11" s="27"/>
      <c r="H11" s="30" t="s">
        <v>232</v>
      </c>
    </row>
    <row r="12" spans="1:8" ht="19.5" thickBot="1" x14ac:dyDescent="0.35">
      <c r="A12" s="5"/>
      <c r="D12" s="23"/>
      <c r="E12" s="27"/>
      <c r="H12" s="23"/>
    </row>
    <row r="13" spans="1:8" ht="18.75" x14ac:dyDescent="0.3">
      <c r="D13" s="4">
        <f>SUM(D7:D12)</f>
        <v>1852943</v>
      </c>
      <c r="H13" s="33">
        <f>SUM(H7:H12)</f>
        <v>261377</v>
      </c>
    </row>
    <row r="14" spans="1:8" ht="18.75" x14ac:dyDescent="0.3">
      <c r="A14" s="5"/>
      <c r="C14" s="3"/>
      <c r="D14" s="4"/>
      <c r="H14" s="4"/>
    </row>
    <row r="15" spans="1:8" ht="15.75" thickBot="1" x14ac:dyDescent="0.3">
      <c r="D15" s="7"/>
      <c r="H15" s="7"/>
    </row>
    <row r="17" spans="1:8" ht="18.75" x14ac:dyDescent="0.3">
      <c r="C17" t="s">
        <v>4</v>
      </c>
      <c r="D17" s="4">
        <f>D3-D13</f>
        <v>557772</v>
      </c>
      <c r="G17" t="s">
        <v>5</v>
      </c>
      <c r="H17" s="4">
        <f>H3-H13</f>
        <v>131787</v>
      </c>
    </row>
    <row r="20" spans="1:8" ht="15.75" x14ac:dyDescent="0.25">
      <c r="A20" t="s">
        <v>6</v>
      </c>
      <c r="C20" s="8">
        <f>D17</f>
        <v>557772</v>
      </c>
      <c r="E20" t="s">
        <v>10</v>
      </c>
      <c r="H20" s="6">
        <f>C29</f>
        <v>416342.14</v>
      </c>
    </row>
    <row r="22" spans="1:8" ht="15.75" x14ac:dyDescent="0.25">
      <c r="A22" t="s">
        <v>5</v>
      </c>
      <c r="B22" s="9" t="s">
        <v>7</v>
      </c>
      <c r="C22" s="8">
        <f>H17</f>
        <v>131787</v>
      </c>
      <c r="E22" s="13" t="s">
        <v>11</v>
      </c>
      <c r="F22" s="9" t="s">
        <v>12</v>
      </c>
      <c r="G22" s="15" t="s">
        <v>17</v>
      </c>
      <c r="H22" s="3">
        <f>-(F23*0.007)</f>
        <v>-14484.981</v>
      </c>
    </row>
    <row r="23" spans="1:8" x14ac:dyDescent="0.25">
      <c r="F23" s="21">
        <v>2069283</v>
      </c>
    </row>
    <row r="24" spans="1:8" ht="16.5" thickBot="1" x14ac:dyDescent="0.3">
      <c r="A24" t="s">
        <v>8</v>
      </c>
      <c r="B24" s="9" t="s">
        <v>7</v>
      </c>
      <c r="C24" s="8">
        <f>D3*0.004</f>
        <v>9642.86</v>
      </c>
      <c r="F24" s="9" t="s">
        <v>13</v>
      </c>
      <c r="G24" s="16">
        <v>0.35</v>
      </c>
      <c r="H24" s="17">
        <f>-(F25*0.35)</f>
        <v>-145719.74899999998</v>
      </c>
    </row>
    <row r="25" spans="1:8" x14ac:dyDescent="0.25">
      <c r="F25" s="21">
        <f>H20</f>
        <v>416342.14</v>
      </c>
    </row>
    <row r="26" spans="1:8" ht="15.75" x14ac:dyDescent="0.25">
      <c r="A26" t="s">
        <v>9</v>
      </c>
      <c r="B26" s="9" t="s">
        <v>7</v>
      </c>
      <c r="C26" s="10"/>
      <c r="G26" s="13" t="s">
        <v>14</v>
      </c>
      <c r="H26" s="6">
        <f>H20+H22+H24</f>
        <v>256137.41</v>
      </c>
    </row>
    <row r="27" spans="1:8" ht="15.75" thickBot="1" x14ac:dyDescent="0.3">
      <c r="A27" s="16"/>
      <c r="B27" s="14"/>
      <c r="C27" s="7"/>
    </row>
    <row r="28" spans="1:8" x14ac:dyDescent="0.25">
      <c r="E28" t="s">
        <v>100</v>
      </c>
      <c r="H28" s="20">
        <f>H26*0.4</f>
        <v>102454.96400000001</v>
      </c>
    </row>
    <row r="29" spans="1:8" ht="15.75" x14ac:dyDescent="0.25">
      <c r="A29" t="s">
        <v>10</v>
      </c>
      <c r="C29" s="10">
        <f>C20-C22-C24-C26</f>
        <v>416342.14</v>
      </c>
      <c r="H29" s="18"/>
    </row>
    <row r="30" spans="1:8" x14ac:dyDescent="0.25">
      <c r="H30" s="3"/>
    </row>
    <row r="31" spans="1:8" x14ac:dyDescent="0.25">
      <c r="H31" s="18"/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F1A11-188D-4542-A0B5-1A771A19DD32}">
  <dimension ref="A1:H31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412</v>
      </c>
    </row>
    <row r="3" spans="1:8" ht="21" x14ac:dyDescent="0.35">
      <c r="A3" s="2" t="s">
        <v>1</v>
      </c>
      <c r="D3" s="11">
        <v>92820</v>
      </c>
      <c r="F3" s="12" t="s">
        <v>3</v>
      </c>
      <c r="H3" s="11">
        <v>14820</v>
      </c>
    </row>
    <row r="4" spans="1:8" x14ac:dyDescent="0.25">
      <c r="A4" s="13" t="s">
        <v>29</v>
      </c>
      <c r="C4" s="28">
        <v>516</v>
      </c>
    </row>
    <row r="5" spans="1:8" ht="21" x14ac:dyDescent="0.35">
      <c r="A5" s="2" t="s">
        <v>2</v>
      </c>
    </row>
    <row r="7" spans="1:8" ht="18.75" x14ac:dyDescent="0.3">
      <c r="A7" s="5" t="s">
        <v>310</v>
      </c>
      <c r="D7" s="4">
        <v>34292</v>
      </c>
      <c r="E7" s="27"/>
      <c r="H7" s="4">
        <v>5476</v>
      </c>
    </row>
    <row r="8" spans="1:8" ht="18.75" x14ac:dyDescent="0.3">
      <c r="A8" s="5"/>
      <c r="D8" s="4"/>
      <c r="E8" s="27"/>
      <c r="H8" s="4"/>
    </row>
    <row r="9" spans="1:8" ht="18.75" x14ac:dyDescent="0.3">
      <c r="A9" s="5"/>
      <c r="D9" s="4"/>
      <c r="E9" s="27"/>
      <c r="H9" s="4"/>
    </row>
    <row r="10" spans="1:8" ht="18.75" x14ac:dyDescent="0.3">
      <c r="A10" s="5"/>
      <c r="D10" s="4"/>
      <c r="E10" s="27"/>
      <c r="H10" s="4"/>
    </row>
    <row r="11" spans="1:8" ht="18.75" x14ac:dyDescent="0.3">
      <c r="A11" s="5"/>
      <c r="D11" s="30"/>
      <c r="E11" s="27"/>
      <c r="H11" s="30"/>
    </row>
    <row r="12" spans="1:8" ht="19.5" thickBot="1" x14ac:dyDescent="0.35">
      <c r="A12" s="5"/>
      <c r="D12" s="23"/>
      <c r="E12" s="27"/>
      <c r="H12" s="23"/>
    </row>
    <row r="13" spans="1:8" ht="18.75" x14ac:dyDescent="0.3">
      <c r="D13" s="4">
        <f>SUM(D7:D12)</f>
        <v>34292</v>
      </c>
      <c r="H13" s="33">
        <f>SUM(H7:H12)</f>
        <v>5476</v>
      </c>
    </row>
    <row r="14" spans="1:8" ht="18.75" x14ac:dyDescent="0.3">
      <c r="A14" s="5"/>
      <c r="C14" s="3"/>
      <c r="D14" s="4"/>
      <c r="H14" s="4"/>
    </row>
    <row r="15" spans="1:8" ht="15.75" thickBot="1" x14ac:dyDescent="0.3">
      <c r="D15" s="7"/>
      <c r="H15" s="7"/>
    </row>
    <row r="17" spans="1:8" ht="18.75" x14ac:dyDescent="0.3">
      <c r="C17" t="s">
        <v>4</v>
      </c>
      <c r="D17" s="4">
        <f>D3-D13</f>
        <v>58528</v>
      </c>
      <c r="G17" t="s">
        <v>5</v>
      </c>
      <c r="H17" s="4">
        <f>H3-H13</f>
        <v>9344</v>
      </c>
    </row>
    <row r="20" spans="1:8" ht="15.75" x14ac:dyDescent="0.25">
      <c r="A20" t="s">
        <v>6</v>
      </c>
      <c r="C20" s="8">
        <f>D17</f>
        <v>58528</v>
      </c>
      <c r="E20" t="s">
        <v>10</v>
      </c>
      <c r="H20" s="6">
        <f>C29</f>
        <v>48812.72</v>
      </c>
    </row>
    <row r="22" spans="1:8" ht="15.75" x14ac:dyDescent="0.25">
      <c r="A22" t="s">
        <v>5</v>
      </c>
      <c r="B22" s="9" t="s">
        <v>7</v>
      </c>
      <c r="C22" s="8">
        <f>H17</f>
        <v>9344</v>
      </c>
      <c r="E22" s="13" t="s">
        <v>11</v>
      </c>
      <c r="F22" s="9" t="s">
        <v>12</v>
      </c>
      <c r="G22" s="15" t="s">
        <v>17</v>
      </c>
      <c r="H22" s="3">
        <f>-(F23*0.007)</f>
        <v>-546</v>
      </c>
    </row>
    <row r="23" spans="1:8" x14ac:dyDescent="0.25">
      <c r="F23" s="21">
        <f>D3-H3</f>
        <v>78000</v>
      </c>
    </row>
    <row r="24" spans="1:8" ht="16.5" thickBot="1" x14ac:dyDescent="0.3">
      <c r="A24" t="s">
        <v>8</v>
      </c>
      <c r="B24" s="9" t="s">
        <v>7</v>
      </c>
      <c r="C24" s="8">
        <f>D3*0.004</f>
        <v>371.28000000000003</v>
      </c>
      <c r="F24" s="9" t="s">
        <v>13</v>
      </c>
      <c r="G24" s="16">
        <v>0.35</v>
      </c>
      <c r="H24" s="17">
        <f>-(F25*0.35)</f>
        <v>-17084.452000000001</v>
      </c>
    </row>
    <row r="25" spans="1:8" x14ac:dyDescent="0.25">
      <c r="F25" s="21">
        <f>H20</f>
        <v>48812.72</v>
      </c>
    </row>
    <row r="26" spans="1:8" ht="15.75" x14ac:dyDescent="0.25">
      <c r="A26" t="s">
        <v>9</v>
      </c>
      <c r="B26" s="9" t="s">
        <v>7</v>
      </c>
      <c r="C26" s="10"/>
      <c r="G26" s="13" t="s">
        <v>14</v>
      </c>
      <c r="H26" s="6">
        <f>H20+H22+H24</f>
        <v>31182.268</v>
      </c>
    </row>
    <row r="27" spans="1:8" ht="15.75" thickBot="1" x14ac:dyDescent="0.3">
      <c r="A27" s="16"/>
      <c r="B27" s="14"/>
      <c r="C27" s="7"/>
    </row>
    <row r="28" spans="1:8" x14ac:dyDescent="0.25">
      <c r="E28" t="s">
        <v>100</v>
      </c>
      <c r="H28" s="20">
        <f>H26*0.4</f>
        <v>12472.907200000001</v>
      </c>
    </row>
    <row r="29" spans="1:8" ht="15.75" x14ac:dyDescent="0.25">
      <c r="A29" t="s">
        <v>10</v>
      </c>
      <c r="C29" s="10">
        <f>C20-C22-C24-C26</f>
        <v>48812.72</v>
      </c>
      <c r="H29" s="18"/>
    </row>
    <row r="30" spans="1:8" x14ac:dyDescent="0.25">
      <c r="H30" s="3"/>
    </row>
    <row r="31" spans="1:8" x14ac:dyDescent="0.25">
      <c r="H31" s="18"/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C50D7-1B95-49F6-BE29-378BF169D915}">
  <dimension ref="A1:H31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413</v>
      </c>
    </row>
    <row r="3" spans="1:8" ht="21" x14ac:dyDescent="0.35">
      <c r="A3" s="2" t="s">
        <v>1</v>
      </c>
      <c r="D3" s="11">
        <v>431256</v>
      </c>
      <c r="F3" s="12" t="s">
        <v>3</v>
      </c>
      <c r="H3" s="11">
        <v>68856</v>
      </c>
    </row>
    <row r="4" spans="1:8" x14ac:dyDescent="0.25">
      <c r="A4" s="13" t="s">
        <v>29</v>
      </c>
      <c r="C4" s="28">
        <v>520</v>
      </c>
    </row>
    <row r="5" spans="1:8" ht="21" x14ac:dyDescent="0.35">
      <c r="A5" s="2" t="s">
        <v>2</v>
      </c>
    </row>
    <row r="7" spans="1:8" ht="18.75" x14ac:dyDescent="0.3">
      <c r="A7" s="5" t="s">
        <v>310</v>
      </c>
      <c r="D7" s="4">
        <v>349860</v>
      </c>
      <c r="E7" s="27"/>
      <c r="H7" s="4">
        <v>55860</v>
      </c>
    </row>
    <row r="8" spans="1:8" ht="18.75" x14ac:dyDescent="0.3">
      <c r="A8" s="5"/>
      <c r="D8" s="4"/>
      <c r="E8" s="27"/>
      <c r="H8" s="4"/>
    </row>
    <row r="9" spans="1:8" ht="18.75" x14ac:dyDescent="0.3">
      <c r="A9" s="5"/>
      <c r="D9" s="4"/>
      <c r="E9" s="27"/>
      <c r="H9" s="4"/>
    </row>
    <row r="10" spans="1:8" ht="18.75" x14ac:dyDescent="0.3">
      <c r="A10" s="5"/>
      <c r="D10" s="4"/>
      <c r="E10" s="27"/>
      <c r="H10" s="4"/>
    </row>
    <row r="11" spans="1:8" ht="18.75" x14ac:dyDescent="0.3">
      <c r="A11" s="5"/>
      <c r="D11" s="30"/>
      <c r="E11" s="27"/>
      <c r="H11" s="30"/>
    </row>
    <row r="12" spans="1:8" ht="19.5" thickBot="1" x14ac:dyDescent="0.35">
      <c r="A12" s="5"/>
      <c r="D12" s="23"/>
      <c r="E12" s="27"/>
      <c r="H12" s="23"/>
    </row>
    <row r="13" spans="1:8" ht="18.75" x14ac:dyDescent="0.3">
      <c r="D13" s="4">
        <f>SUM(D7:D12)</f>
        <v>349860</v>
      </c>
      <c r="H13" s="33">
        <f>SUM(H7:H12)</f>
        <v>55860</v>
      </c>
    </row>
    <row r="14" spans="1:8" ht="18.75" x14ac:dyDescent="0.3">
      <c r="A14" s="5"/>
      <c r="C14" s="3"/>
      <c r="D14" s="4"/>
      <c r="H14" s="4"/>
    </row>
    <row r="15" spans="1:8" ht="15.75" thickBot="1" x14ac:dyDescent="0.3">
      <c r="D15" s="7"/>
      <c r="H15" s="7"/>
    </row>
    <row r="17" spans="1:8" ht="18.75" x14ac:dyDescent="0.3">
      <c r="C17" t="s">
        <v>4</v>
      </c>
      <c r="D17" s="4">
        <f>D3-D13</f>
        <v>81396</v>
      </c>
      <c r="G17" t="s">
        <v>5</v>
      </c>
      <c r="H17" s="4">
        <f>H3-H13</f>
        <v>12996</v>
      </c>
    </row>
    <row r="20" spans="1:8" ht="15.75" x14ac:dyDescent="0.25">
      <c r="A20" t="s">
        <v>6</v>
      </c>
      <c r="C20" s="8">
        <f>D17</f>
        <v>81396</v>
      </c>
      <c r="E20" t="s">
        <v>10</v>
      </c>
      <c r="H20" s="6">
        <f>C29</f>
        <v>66674.975999999995</v>
      </c>
    </row>
    <row r="22" spans="1:8" ht="15.75" x14ac:dyDescent="0.25">
      <c r="A22" t="s">
        <v>5</v>
      </c>
      <c r="B22" s="9" t="s">
        <v>7</v>
      </c>
      <c r="C22" s="8">
        <f>H17</f>
        <v>12996</v>
      </c>
      <c r="E22" s="13" t="s">
        <v>11</v>
      </c>
      <c r="F22" s="9" t="s">
        <v>12</v>
      </c>
      <c r="G22" s="15" t="s">
        <v>17</v>
      </c>
      <c r="H22" s="3">
        <f>-(F23*0.007)</f>
        <v>-2536.8000000000002</v>
      </c>
    </row>
    <row r="23" spans="1:8" x14ac:dyDescent="0.25">
      <c r="F23" s="21">
        <f>D3-H3</f>
        <v>362400</v>
      </c>
    </row>
    <row r="24" spans="1:8" ht="16.5" thickBot="1" x14ac:dyDescent="0.3">
      <c r="A24" t="s">
        <v>8</v>
      </c>
      <c r="B24" s="9" t="s">
        <v>7</v>
      </c>
      <c r="C24" s="8">
        <f>D3*0.004</f>
        <v>1725.0240000000001</v>
      </c>
      <c r="F24" s="9" t="s">
        <v>13</v>
      </c>
      <c r="G24" s="16">
        <v>0.35</v>
      </c>
      <c r="H24" s="17">
        <f>-(F25*0.35)</f>
        <v>-23336.241599999998</v>
      </c>
    </row>
    <row r="25" spans="1:8" x14ac:dyDescent="0.25">
      <c r="F25" s="21">
        <f>H20</f>
        <v>66674.975999999995</v>
      </c>
    </row>
    <row r="26" spans="1:8" ht="15.75" x14ac:dyDescent="0.25">
      <c r="A26" t="s">
        <v>9</v>
      </c>
      <c r="B26" s="9" t="s">
        <v>7</v>
      </c>
      <c r="C26" s="10"/>
      <c r="G26" s="13" t="s">
        <v>14</v>
      </c>
      <c r="H26" s="6">
        <f>H20+H22+H24</f>
        <v>40801.934399999998</v>
      </c>
    </row>
    <row r="27" spans="1:8" ht="15.75" thickBot="1" x14ac:dyDescent="0.3">
      <c r="A27" s="16"/>
      <c r="B27" s="14"/>
      <c r="C27" s="7"/>
    </row>
    <row r="28" spans="1:8" x14ac:dyDescent="0.25">
      <c r="E28" t="s">
        <v>100</v>
      </c>
      <c r="H28" s="20">
        <f>H26*0.4</f>
        <v>16320.77376</v>
      </c>
    </row>
    <row r="29" spans="1:8" ht="15.75" x14ac:dyDescent="0.25">
      <c r="A29" t="s">
        <v>10</v>
      </c>
      <c r="C29" s="10">
        <f>C20-C22-C24-C26</f>
        <v>66674.975999999995</v>
      </c>
      <c r="H29" s="18"/>
    </row>
    <row r="30" spans="1:8" x14ac:dyDescent="0.25">
      <c r="H30" s="3"/>
    </row>
    <row r="31" spans="1:8" x14ac:dyDescent="0.25">
      <c r="H31" s="18"/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BC92E-7560-44E4-B09D-44F2B17AC4F5}">
  <dimension ref="A1:H31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388</v>
      </c>
    </row>
    <row r="3" spans="1:8" ht="21" x14ac:dyDescent="0.35">
      <c r="A3" s="2" t="s">
        <v>1</v>
      </c>
      <c r="D3" s="11">
        <v>1880613</v>
      </c>
      <c r="F3" s="12" t="s">
        <v>3</v>
      </c>
      <c r="H3" s="11">
        <v>306709</v>
      </c>
    </row>
    <row r="4" spans="1:8" x14ac:dyDescent="0.25">
      <c r="A4" s="13" t="s">
        <v>29</v>
      </c>
      <c r="C4" s="28">
        <v>522</v>
      </c>
    </row>
    <row r="5" spans="1:8" ht="21" x14ac:dyDescent="0.35">
      <c r="A5" s="2" t="s">
        <v>2</v>
      </c>
    </row>
    <row r="7" spans="1:8" ht="18.75" x14ac:dyDescent="0.3">
      <c r="A7" s="5" t="s">
        <v>208</v>
      </c>
      <c r="D7" s="4">
        <v>48635</v>
      </c>
      <c r="E7" s="27"/>
      <c r="H7" s="4">
        <v>7765</v>
      </c>
    </row>
    <row r="8" spans="1:8" ht="18.75" x14ac:dyDescent="0.3">
      <c r="A8" s="5" t="s">
        <v>208</v>
      </c>
      <c r="D8" s="4">
        <v>121171</v>
      </c>
      <c r="E8" s="27"/>
      <c r="H8" s="4">
        <v>19347</v>
      </c>
    </row>
    <row r="9" spans="1:8" ht="18.75" x14ac:dyDescent="0.3">
      <c r="A9" s="5" t="s">
        <v>414</v>
      </c>
      <c r="D9" s="4">
        <v>1306982</v>
      </c>
      <c r="E9" s="27"/>
      <c r="H9" s="4">
        <v>208678</v>
      </c>
    </row>
    <row r="10" spans="1:8" ht="18.75" x14ac:dyDescent="0.3">
      <c r="A10" s="5" t="s">
        <v>415</v>
      </c>
      <c r="D10" s="4">
        <v>25000</v>
      </c>
      <c r="E10" s="27"/>
      <c r="H10" s="4"/>
    </row>
    <row r="11" spans="1:8" ht="18.75" x14ac:dyDescent="0.3">
      <c r="A11" s="5"/>
      <c r="D11" s="30"/>
      <c r="E11" s="27"/>
      <c r="H11" s="30"/>
    </row>
    <row r="12" spans="1:8" ht="19.5" thickBot="1" x14ac:dyDescent="0.35">
      <c r="A12" s="5"/>
      <c r="D12" s="23"/>
      <c r="E12" s="27"/>
      <c r="H12" s="23"/>
    </row>
    <row r="13" spans="1:8" ht="18.75" x14ac:dyDescent="0.3">
      <c r="D13" s="4">
        <f>SUM(D7:D12)</f>
        <v>1501788</v>
      </c>
      <c r="H13" s="33">
        <f>SUM(H7:H12)</f>
        <v>235790</v>
      </c>
    </row>
    <row r="14" spans="1:8" ht="18.75" x14ac:dyDescent="0.3">
      <c r="A14" s="5"/>
      <c r="C14" s="3"/>
      <c r="D14" s="4"/>
      <c r="H14" s="4"/>
    </row>
    <row r="15" spans="1:8" ht="15.75" thickBot="1" x14ac:dyDescent="0.3">
      <c r="D15" s="7"/>
      <c r="H15" s="7"/>
    </row>
    <row r="17" spans="1:8" ht="18.75" x14ac:dyDescent="0.3">
      <c r="C17" t="s">
        <v>4</v>
      </c>
      <c r="D17" s="4">
        <f>D3-D13</f>
        <v>378825</v>
      </c>
      <c r="G17" t="s">
        <v>5</v>
      </c>
      <c r="H17" s="4">
        <f>H3-H13</f>
        <v>70919</v>
      </c>
    </row>
    <row r="20" spans="1:8" ht="15.75" x14ac:dyDescent="0.25">
      <c r="A20" t="s">
        <v>6</v>
      </c>
      <c r="C20" s="8">
        <f>D17</f>
        <v>378825</v>
      </c>
      <c r="E20" t="s">
        <v>10</v>
      </c>
      <c r="H20" s="6">
        <f>C29</f>
        <v>300383.54800000001</v>
      </c>
    </row>
    <row r="22" spans="1:8" ht="15.75" x14ac:dyDescent="0.25">
      <c r="A22" t="s">
        <v>5</v>
      </c>
      <c r="B22" s="9" t="s">
        <v>7</v>
      </c>
      <c r="C22" s="8">
        <f>H17</f>
        <v>70919</v>
      </c>
      <c r="E22" s="13" t="s">
        <v>11</v>
      </c>
      <c r="F22" s="9" t="s">
        <v>12</v>
      </c>
      <c r="G22" s="15" t="s">
        <v>17</v>
      </c>
      <c r="H22" s="3">
        <f>-(F23*0.007)</f>
        <v>-11299.82</v>
      </c>
    </row>
    <row r="23" spans="1:8" x14ac:dyDescent="0.25">
      <c r="F23" s="21">
        <v>1614260</v>
      </c>
    </row>
    <row r="24" spans="1:8" ht="16.5" thickBot="1" x14ac:dyDescent="0.3">
      <c r="A24" t="s">
        <v>8</v>
      </c>
      <c r="B24" s="9" t="s">
        <v>7</v>
      </c>
      <c r="C24" s="8">
        <f>D3*0.004</f>
        <v>7522.4520000000002</v>
      </c>
      <c r="F24" s="9" t="s">
        <v>13</v>
      </c>
      <c r="G24" s="16">
        <v>0.35</v>
      </c>
      <c r="H24" s="17">
        <f>-(F25*0.35)</f>
        <v>-105134.2418</v>
      </c>
    </row>
    <row r="25" spans="1:8" x14ac:dyDescent="0.25">
      <c r="F25" s="21">
        <f>H20</f>
        <v>300383.54800000001</v>
      </c>
    </row>
    <row r="26" spans="1:8" ht="15.75" x14ac:dyDescent="0.25">
      <c r="A26" t="s">
        <v>9</v>
      </c>
      <c r="B26" s="9" t="s">
        <v>7</v>
      </c>
      <c r="C26" s="10"/>
      <c r="G26" s="13" t="s">
        <v>14</v>
      </c>
      <c r="H26" s="6">
        <f>H20+H22+H24</f>
        <v>183949.48619999998</v>
      </c>
    </row>
    <row r="27" spans="1:8" ht="15.75" thickBot="1" x14ac:dyDescent="0.3">
      <c r="A27" s="16"/>
      <c r="B27" s="14"/>
      <c r="C27" s="7"/>
    </row>
    <row r="28" spans="1:8" x14ac:dyDescent="0.25">
      <c r="E28" t="s">
        <v>100</v>
      </c>
      <c r="H28" s="20">
        <f>H26*0.4</f>
        <v>73579.794479999997</v>
      </c>
    </row>
    <row r="29" spans="1:8" ht="15.75" x14ac:dyDescent="0.25">
      <c r="A29" t="s">
        <v>10</v>
      </c>
      <c r="C29" s="10">
        <f>C20-C22-C24-C26</f>
        <v>300383.54800000001</v>
      </c>
      <c r="H29" s="18"/>
    </row>
    <row r="30" spans="1:8" x14ac:dyDescent="0.25">
      <c r="H30" s="3"/>
    </row>
    <row r="31" spans="1:8" x14ac:dyDescent="0.25">
      <c r="H31" s="18"/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55946-79FB-446C-B1B5-A48B10D424B4}">
  <dimension ref="A1:H31"/>
  <sheetViews>
    <sheetView topLeftCell="A13" workbookViewId="0">
      <selection activeCell="C5" sqref="C5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416</v>
      </c>
    </row>
    <row r="3" spans="1:8" ht="21" x14ac:dyDescent="0.35">
      <c r="A3" s="2" t="s">
        <v>1</v>
      </c>
      <c r="D3" s="11">
        <v>3643638</v>
      </c>
      <c r="F3" s="12" t="s">
        <v>3</v>
      </c>
      <c r="H3" s="11">
        <v>564885</v>
      </c>
    </row>
    <row r="4" spans="1:8" x14ac:dyDescent="0.25">
      <c r="A4" s="13" t="s">
        <v>29</v>
      </c>
      <c r="C4" s="28">
        <v>524</v>
      </c>
    </row>
    <row r="5" spans="1:8" ht="21" x14ac:dyDescent="0.35">
      <c r="A5" s="2" t="s">
        <v>2</v>
      </c>
    </row>
    <row r="7" spans="1:8" ht="18.75" x14ac:dyDescent="0.3">
      <c r="A7" s="5" t="s">
        <v>417</v>
      </c>
      <c r="D7" s="4">
        <v>2721079</v>
      </c>
      <c r="E7" s="27"/>
      <c r="H7" s="4">
        <v>434458</v>
      </c>
    </row>
    <row r="8" spans="1:8" ht="18.75" x14ac:dyDescent="0.3">
      <c r="A8" s="5"/>
      <c r="D8" s="4"/>
      <c r="E8" s="27"/>
      <c r="H8" s="4"/>
    </row>
    <row r="9" spans="1:8" ht="18.75" x14ac:dyDescent="0.3">
      <c r="A9" s="5"/>
      <c r="D9" s="4"/>
      <c r="E9" s="27"/>
      <c r="H9" s="4"/>
    </row>
    <row r="10" spans="1:8" ht="18.75" x14ac:dyDescent="0.3">
      <c r="A10" s="5"/>
      <c r="D10" s="4"/>
      <c r="E10" s="27"/>
      <c r="H10" s="4"/>
    </row>
    <row r="11" spans="1:8" ht="18.75" x14ac:dyDescent="0.3">
      <c r="A11" s="5"/>
      <c r="D11" s="30"/>
      <c r="E11" s="27"/>
      <c r="H11" s="30"/>
    </row>
    <row r="12" spans="1:8" ht="19.5" thickBot="1" x14ac:dyDescent="0.35">
      <c r="A12" s="5"/>
      <c r="D12" s="23"/>
      <c r="E12" s="27"/>
      <c r="H12" s="23"/>
    </row>
    <row r="13" spans="1:8" ht="18.75" x14ac:dyDescent="0.3">
      <c r="D13" s="4">
        <f>SUM(D7:D12)</f>
        <v>2721079</v>
      </c>
      <c r="H13" s="33">
        <f>SUM(H7:H12)</f>
        <v>434458</v>
      </c>
    </row>
    <row r="14" spans="1:8" ht="18.75" x14ac:dyDescent="0.3">
      <c r="A14" s="5"/>
      <c r="C14" s="3"/>
      <c r="D14" s="4"/>
      <c r="H14" s="4"/>
    </row>
    <row r="15" spans="1:8" ht="15.75" thickBot="1" x14ac:dyDescent="0.3">
      <c r="D15" s="7"/>
      <c r="H15" s="7"/>
    </row>
    <row r="17" spans="1:8" ht="18.75" x14ac:dyDescent="0.3">
      <c r="C17" t="s">
        <v>4</v>
      </c>
      <c r="D17" s="4">
        <f>D3-D13</f>
        <v>922559</v>
      </c>
      <c r="G17" t="s">
        <v>5</v>
      </c>
      <c r="H17" s="4">
        <f>H3-H13</f>
        <v>130427</v>
      </c>
    </row>
    <row r="20" spans="1:8" ht="15.75" x14ac:dyDescent="0.25">
      <c r="A20" t="s">
        <v>6</v>
      </c>
      <c r="C20" s="8">
        <f>D17</f>
        <v>922559</v>
      </c>
      <c r="E20" t="s">
        <v>10</v>
      </c>
      <c r="H20" s="6">
        <f>C29</f>
        <v>777557.44799999997</v>
      </c>
    </row>
    <row r="22" spans="1:8" ht="15.75" x14ac:dyDescent="0.25">
      <c r="A22" t="s">
        <v>5</v>
      </c>
      <c r="B22" s="9" t="s">
        <v>7</v>
      </c>
      <c r="C22" s="8">
        <f>H17</f>
        <v>130427</v>
      </c>
      <c r="E22" s="13" t="s">
        <v>11</v>
      </c>
      <c r="F22" s="9" t="s">
        <v>12</v>
      </c>
      <c r="G22" s="15" t="s">
        <v>17</v>
      </c>
      <c r="H22" s="3">
        <f>-(F23*0.007)</f>
        <v>-20811.560000000001</v>
      </c>
    </row>
    <row r="23" spans="1:8" x14ac:dyDescent="0.25">
      <c r="F23" s="21">
        <v>2973080</v>
      </c>
    </row>
    <row r="24" spans="1:8" ht="16.5" thickBot="1" x14ac:dyDescent="0.3">
      <c r="A24" t="s">
        <v>8</v>
      </c>
      <c r="B24" s="9" t="s">
        <v>7</v>
      </c>
      <c r="C24" s="8">
        <f>D3*0.004</f>
        <v>14574.552</v>
      </c>
      <c r="F24" s="9" t="s">
        <v>13</v>
      </c>
      <c r="G24" s="16">
        <v>0.35</v>
      </c>
      <c r="H24" s="17">
        <f>-(F25*0.35)</f>
        <v>-272145.10679999995</v>
      </c>
    </row>
    <row r="25" spans="1:8" x14ac:dyDescent="0.25">
      <c r="F25" s="21">
        <f>H20</f>
        <v>777557.44799999997</v>
      </c>
    </row>
    <row r="26" spans="1:8" ht="15.75" x14ac:dyDescent="0.25">
      <c r="A26" t="s">
        <v>9</v>
      </c>
      <c r="B26" s="9" t="s">
        <v>7</v>
      </c>
      <c r="C26" s="10"/>
      <c r="G26" s="13" t="s">
        <v>14</v>
      </c>
      <c r="H26" s="6">
        <f>H20+H22+H24</f>
        <v>484600.78119999997</v>
      </c>
    </row>
    <row r="27" spans="1:8" ht="15.75" thickBot="1" x14ac:dyDescent="0.3">
      <c r="A27" s="16"/>
      <c r="B27" s="14"/>
      <c r="C27" s="7"/>
    </row>
    <row r="28" spans="1:8" x14ac:dyDescent="0.25">
      <c r="E28" t="s">
        <v>100</v>
      </c>
      <c r="H28" s="20">
        <f>H26*0.4</f>
        <v>193840.31247999999</v>
      </c>
    </row>
    <row r="29" spans="1:8" ht="15.75" x14ac:dyDescent="0.25">
      <c r="A29" t="s">
        <v>10</v>
      </c>
      <c r="C29" s="10">
        <f>C20-C22-C24-C26</f>
        <v>777557.44799999997</v>
      </c>
      <c r="H29" s="18"/>
    </row>
    <row r="30" spans="1:8" x14ac:dyDescent="0.25">
      <c r="H30" s="3"/>
    </row>
    <row r="31" spans="1:8" x14ac:dyDescent="0.25">
      <c r="H31" s="18"/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506EF-3501-432C-9AD0-3897DBA4A075}">
  <dimension ref="A1:H31"/>
  <sheetViews>
    <sheetView workbookViewId="0">
      <selection activeCell="B11" sqref="B11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418</v>
      </c>
    </row>
    <row r="3" spans="1:8" ht="21" x14ac:dyDescent="0.35">
      <c r="A3" s="2" t="s">
        <v>1</v>
      </c>
      <c r="D3" s="11">
        <v>777070</v>
      </c>
      <c r="F3" s="12" t="s">
        <v>3</v>
      </c>
      <c r="H3" s="11">
        <v>124070</v>
      </c>
    </row>
    <row r="4" spans="1:8" x14ac:dyDescent="0.25">
      <c r="A4" s="13" t="s">
        <v>29</v>
      </c>
      <c r="C4" s="28">
        <v>525</v>
      </c>
    </row>
    <row r="5" spans="1:8" ht="21" x14ac:dyDescent="0.35">
      <c r="A5" s="2" t="s">
        <v>2</v>
      </c>
    </row>
    <row r="7" spans="1:8" ht="18.75" x14ac:dyDescent="0.3">
      <c r="A7" s="5" t="s">
        <v>419</v>
      </c>
      <c r="D7" s="4">
        <v>384821</v>
      </c>
      <c r="E7" s="27"/>
      <c r="H7" s="4">
        <v>61442</v>
      </c>
    </row>
    <row r="8" spans="1:8" ht="18.75" x14ac:dyDescent="0.3">
      <c r="A8" s="5" t="s">
        <v>420</v>
      </c>
      <c r="D8" s="4">
        <v>160888</v>
      </c>
      <c r="E8" s="27"/>
      <c r="H8" s="4">
        <v>25688</v>
      </c>
    </row>
    <row r="9" spans="1:8" ht="18.75" x14ac:dyDescent="0.3">
      <c r="A9" s="5"/>
      <c r="D9" s="4"/>
      <c r="E9" s="27"/>
      <c r="H9" s="4"/>
    </row>
    <row r="10" spans="1:8" ht="18.75" x14ac:dyDescent="0.3">
      <c r="A10" s="5"/>
      <c r="D10" s="4"/>
      <c r="E10" s="27"/>
      <c r="H10" s="4"/>
    </row>
    <row r="11" spans="1:8" ht="18.75" x14ac:dyDescent="0.3">
      <c r="A11" s="5"/>
      <c r="D11" s="30"/>
      <c r="E11" s="27"/>
      <c r="H11" s="30"/>
    </row>
    <row r="12" spans="1:8" ht="19.5" thickBot="1" x14ac:dyDescent="0.35">
      <c r="A12" s="5"/>
      <c r="D12" s="23"/>
      <c r="E12" s="27"/>
      <c r="H12" s="23"/>
    </row>
    <row r="13" spans="1:8" ht="18.75" x14ac:dyDescent="0.3">
      <c r="D13" s="4">
        <f>SUM(D7:D12)</f>
        <v>545709</v>
      </c>
      <c r="H13" s="33">
        <f>SUM(H7:H12)</f>
        <v>87130</v>
      </c>
    </row>
    <row r="14" spans="1:8" ht="18.75" x14ac:dyDescent="0.3">
      <c r="A14" s="5"/>
      <c r="C14" s="3"/>
      <c r="D14" s="4"/>
      <c r="H14" s="4"/>
    </row>
    <row r="15" spans="1:8" ht="15.75" thickBot="1" x14ac:dyDescent="0.3">
      <c r="D15" s="7"/>
      <c r="H15" s="7"/>
    </row>
    <row r="17" spans="1:8" ht="18.75" x14ac:dyDescent="0.3">
      <c r="C17" t="s">
        <v>4</v>
      </c>
      <c r="D17" s="4">
        <f>D3-D13</f>
        <v>231361</v>
      </c>
      <c r="G17" t="s">
        <v>5</v>
      </c>
      <c r="H17" s="4">
        <f>H3-H13</f>
        <v>36940</v>
      </c>
    </row>
    <row r="20" spans="1:8" ht="15.75" x14ac:dyDescent="0.25">
      <c r="A20" t="s">
        <v>6</v>
      </c>
      <c r="C20" s="8">
        <f>D17</f>
        <v>231361</v>
      </c>
      <c r="E20" t="s">
        <v>10</v>
      </c>
      <c r="H20" s="6">
        <f>C29</f>
        <v>191312.72</v>
      </c>
    </row>
    <row r="22" spans="1:8" ht="15.75" x14ac:dyDescent="0.25">
      <c r="A22" t="s">
        <v>5</v>
      </c>
      <c r="B22" s="9" t="s">
        <v>7</v>
      </c>
      <c r="C22" s="8">
        <f>H17</f>
        <v>36940</v>
      </c>
      <c r="E22" s="13" t="s">
        <v>11</v>
      </c>
      <c r="F22" s="9" t="s">
        <v>12</v>
      </c>
      <c r="G22" s="15" t="s">
        <v>17</v>
      </c>
      <c r="H22" s="3">
        <f>-(F23*0.007)</f>
        <v>-4571</v>
      </c>
    </row>
    <row r="23" spans="1:8" x14ac:dyDescent="0.25">
      <c r="F23" s="21">
        <f>D3-H3</f>
        <v>653000</v>
      </c>
    </row>
    <row r="24" spans="1:8" ht="16.5" thickBot="1" x14ac:dyDescent="0.3">
      <c r="A24" t="s">
        <v>8</v>
      </c>
      <c r="B24" s="9" t="s">
        <v>7</v>
      </c>
      <c r="C24" s="8">
        <f>D3*0.004</f>
        <v>3108.28</v>
      </c>
      <c r="F24" s="9" t="s">
        <v>13</v>
      </c>
      <c r="G24" s="16">
        <v>0.35</v>
      </c>
      <c r="H24" s="17">
        <f>-(F25*0.35)</f>
        <v>-66959.45199999999</v>
      </c>
    </row>
    <row r="25" spans="1:8" x14ac:dyDescent="0.25">
      <c r="F25" s="21">
        <f>H20</f>
        <v>191312.72</v>
      </c>
    </row>
    <row r="26" spans="1:8" ht="15.75" x14ac:dyDescent="0.25">
      <c r="A26" t="s">
        <v>9</v>
      </c>
      <c r="B26" s="9" t="s">
        <v>7</v>
      </c>
      <c r="C26" s="10"/>
      <c r="G26" s="13" t="s">
        <v>14</v>
      </c>
      <c r="H26" s="6">
        <f>H20+H22+H24</f>
        <v>119782.26800000001</v>
      </c>
    </row>
    <row r="27" spans="1:8" ht="15.75" thickBot="1" x14ac:dyDescent="0.3">
      <c r="A27" s="16"/>
      <c r="B27" s="14"/>
      <c r="C27" s="7"/>
    </row>
    <row r="28" spans="1:8" x14ac:dyDescent="0.25">
      <c r="E28" t="s">
        <v>100</v>
      </c>
      <c r="H28" s="20">
        <f>H26*0.4</f>
        <v>47912.907200000009</v>
      </c>
    </row>
    <row r="29" spans="1:8" ht="15.75" x14ac:dyDescent="0.25">
      <c r="A29" t="s">
        <v>10</v>
      </c>
      <c r="C29" s="10">
        <f>C20-C22-C24-C26</f>
        <v>191312.72</v>
      </c>
      <c r="H29" s="18"/>
    </row>
    <row r="30" spans="1:8" x14ac:dyDescent="0.25">
      <c r="H30" s="3"/>
    </row>
    <row r="31" spans="1:8" x14ac:dyDescent="0.25">
      <c r="H31" s="18"/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4473F-470E-4F55-A023-C0AB123FD5B8}">
  <dimension ref="A1:H31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421</v>
      </c>
    </row>
    <row r="3" spans="1:8" ht="21" x14ac:dyDescent="0.35">
      <c r="A3" s="2" t="s">
        <v>1</v>
      </c>
      <c r="D3" s="11">
        <v>547186</v>
      </c>
      <c r="F3" s="12" t="s">
        <v>3</v>
      </c>
      <c r="H3" s="11">
        <v>87366</v>
      </c>
    </row>
    <row r="4" spans="1:8" x14ac:dyDescent="0.25">
      <c r="A4" s="13" t="s">
        <v>29</v>
      </c>
      <c r="C4" s="28">
        <v>526</v>
      </c>
    </row>
    <row r="5" spans="1:8" ht="21" x14ac:dyDescent="0.35">
      <c r="A5" s="2" t="s">
        <v>2</v>
      </c>
    </row>
    <row r="7" spans="1:8" ht="18.75" x14ac:dyDescent="0.3">
      <c r="A7" s="5" t="s">
        <v>422</v>
      </c>
      <c r="D7" s="4">
        <v>420869</v>
      </c>
      <c r="E7" s="27"/>
      <c r="H7" s="4">
        <v>67198</v>
      </c>
    </row>
    <row r="8" spans="1:8" ht="18.75" x14ac:dyDescent="0.3">
      <c r="A8" s="5"/>
      <c r="D8" s="4"/>
      <c r="E8" s="27"/>
      <c r="H8" s="4"/>
    </row>
    <row r="9" spans="1:8" ht="18.75" x14ac:dyDescent="0.3">
      <c r="A9" s="5"/>
      <c r="D9" s="4"/>
      <c r="E9" s="27"/>
      <c r="H9" s="4"/>
    </row>
    <row r="10" spans="1:8" ht="18.75" x14ac:dyDescent="0.3">
      <c r="A10" s="5"/>
      <c r="D10" s="4"/>
      <c r="E10" s="27"/>
      <c r="H10" s="4"/>
    </row>
    <row r="11" spans="1:8" ht="18.75" x14ac:dyDescent="0.3">
      <c r="A11" s="5"/>
      <c r="D11" s="30"/>
      <c r="E11" s="27"/>
      <c r="H11" s="30"/>
    </row>
    <row r="12" spans="1:8" ht="19.5" thickBot="1" x14ac:dyDescent="0.35">
      <c r="A12" s="5"/>
      <c r="D12" s="23"/>
      <c r="E12" s="27"/>
      <c r="H12" s="23"/>
    </row>
    <row r="13" spans="1:8" ht="18.75" x14ac:dyDescent="0.3">
      <c r="D13" s="4">
        <f>SUM(D7:D12)</f>
        <v>420869</v>
      </c>
      <c r="H13" s="33">
        <f>SUM(H7:H12)</f>
        <v>67198</v>
      </c>
    </row>
    <row r="14" spans="1:8" ht="18.75" x14ac:dyDescent="0.3">
      <c r="A14" s="5"/>
      <c r="C14" s="3"/>
      <c r="D14" s="4"/>
      <c r="H14" s="4"/>
    </row>
    <row r="15" spans="1:8" ht="15.75" thickBot="1" x14ac:dyDescent="0.3">
      <c r="D15" s="7"/>
      <c r="H15" s="7"/>
    </row>
    <row r="17" spans="1:8" ht="18.75" x14ac:dyDescent="0.3">
      <c r="C17" t="s">
        <v>4</v>
      </c>
      <c r="D17" s="4">
        <f>D3-D13</f>
        <v>126317</v>
      </c>
      <c r="G17" t="s">
        <v>5</v>
      </c>
      <c r="H17" s="4">
        <f>H3-H13</f>
        <v>20168</v>
      </c>
    </row>
    <row r="20" spans="1:8" ht="15.75" x14ac:dyDescent="0.25">
      <c r="A20" t="s">
        <v>6</v>
      </c>
      <c r="C20" s="8">
        <f>D17</f>
        <v>126317</v>
      </c>
      <c r="E20" t="s">
        <v>10</v>
      </c>
      <c r="H20" s="6">
        <f>C29</f>
        <v>103960.25599999999</v>
      </c>
    </row>
    <row r="22" spans="1:8" ht="15.75" x14ac:dyDescent="0.25">
      <c r="A22" t="s">
        <v>5</v>
      </c>
      <c r="B22" s="9" t="s">
        <v>7</v>
      </c>
      <c r="C22" s="8">
        <f>H17</f>
        <v>20168</v>
      </c>
      <c r="E22" s="13" t="s">
        <v>11</v>
      </c>
      <c r="F22" s="9" t="s">
        <v>12</v>
      </c>
      <c r="G22" s="15" t="s">
        <v>17</v>
      </c>
      <c r="H22" s="3">
        <f>-(F23*0.007)</f>
        <v>-3218.7400000000002</v>
      </c>
    </row>
    <row r="23" spans="1:8" x14ac:dyDescent="0.25">
      <c r="F23" s="21">
        <f>D3-H3</f>
        <v>459820</v>
      </c>
    </row>
    <row r="24" spans="1:8" ht="16.5" thickBot="1" x14ac:dyDescent="0.3">
      <c r="A24" t="s">
        <v>8</v>
      </c>
      <c r="B24" s="9" t="s">
        <v>7</v>
      </c>
      <c r="C24" s="8">
        <f>D3*0.004</f>
        <v>2188.7440000000001</v>
      </c>
      <c r="F24" s="9" t="s">
        <v>13</v>
      </c>
      <c r="G24" s="16">
        <v>0.35</v>
      </c>
      <c r="H24" s="17">
        <f>-(F25*0.35)</f>
        <v>-36386.089599999992</v>
      </c>
    </row>
    <row r="25" spans="1:8" x14ac:dyDescent="0.25">
      <c r="F25" s="21">
        <f>H20</f>
        <v>103960.25599999999</v>
      </c>
    </row>
    <row r="26" spans="1:8" ht="15.75" x14ac:dyDescent="0.25">
      <c r="A26" t="s">
        <v>9</v>
      </c>
      <c r="B26" s="9" t="s">
        <v>7</v>
      </c>
      <c r="C26" s="10"/>
      <c r="G26" s="13" t="s">
        <v>14</v>
      </c>
      <c r="H26" s="6">
        <f>H20+H22+H24</f>
        <v>64355.426399999997</v>
      </c>
    </row>
    <row r="27" spans="1:8" ht="15.75" thickBot="1" x14ac:dyDescent="0.3">
      <c r="A27" s="16"/>
      <c r="B27" s="14"/>
      <c r="C27" s="7"/>
    </row>
    <row r="28" spans="1:8" x14ac:dyDescent="0.25">
      <c r="E28" t="s">
        <v>100</v>
      </c>
      <c r="H28" s="20">
        <f>H26*0.4</f>
        <v>25742.170559999999</v>
      </c>
    </row>
    <row r="29" spans="1:8" ht="15.75" x14ac:dyDescent="0.25">
      <c r="A29" t="s">
        <v>10</v>
      </c>
      <c r="C29" s="10">
        <f>C20-C22-C24-C26</f>
        <v>103960.25599999999</v>
      </c>
      <c r="H29" s="18"/>
    </row>
    <row r="30" spans="1:8" x14ac:dyDescent="0.25">
      <c r="H30" s="3"/>
    </row>
    <row r="31" spans="1:8" x14ac:dyDescent="0.25">
      <c r="H31" s="18"/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8C1B0-2599-4B9A-B95B-FF3D567562F4}">
  <dimension ref="A1:H31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421</v>
      </c>
    </row>
    <row r="3" spans="1:8" ht="21" x14ac:dyDescent="0.35">
      <c r="A3" s="2" t="s">
        <v>1</v>
      </c>
      <c r="D3" s="11">
        <v>415560</v>
      </c>
      <c r="F3" s="12" t="s">
        <v>3</v>
      </c>
      <c r="H3" s="11">
        <v>66350</v>
      </c>
    </row>
    <row r="4" spans="1:8" x14ac:dyDescent="0.25">
      <c r="A4" s="13" t="s">
        <v>29</v>
      </c>
      <c r="C4" s="28">
        <v>527</v>
      </c>
    </row>
    <row r="5" spans="1:8" ht="21" x14ac:dyDescent="0.35">
      <c r="A5" s="2" t="s">
        <v>2</v>
      </c>
    </row>
    <row r="7" spans="1:8" ht="18.75" x14ac:dyDescent="0.3">
      <c r="A7" s="5" t="s">
        <v>423</v>
      </c>
      <c r="D7" s="4">
        <v>174930</v>
      </c>
      <c r="E7" s="27"/>
      <c r="H7" s="4">
        <v>27930</v>
      </c>
    </row>
    <row r="8" spans="1:8" ht="18.75" x14ac:dyDescent="0.3">
      <c r="A8" s="5" t="s">
        <v>310</v>
      </c>
      <c r="D8" s="4">
        <v>12433</v>
      </c>
      <c r="E8" s="27"/>
      <c r="H8" s="4">
        <v>1985</v>
      </c>
    </row>
    <row r="9" spans="1:8" ht="18.75" x14ac:dyDescent="0.3">
      <c r="A9" s="5" t="s">
        <v>289</v>
      </c>
      <c r="D9" s="4">
        <v>25000</v>
      </c>
      <c r="E9" s="27"/>
      <c r="H9" s="4"/>
    </row>
    <row r="10" spans="1:8" ht="18.75" x14ac:dyDescent="0.3">
      <c r="A10" s="5"/>
      <c r="D10" s="4"/>
      <c r="E10" s="27"/>
      <c r="H10" s="4"/>
    </row>
    <row r="11" spans="1:8" ht="18.75" x14ac:dyDescent="0.3">
      <c r="A11" s="5"/>
      <c r="D11" s="30"/>
      <c r="E11" s="27"/>
      <c r="H11" s="30"/>
    </row>
    <row r="12" spans="1:8" ht="19.5" thickBot="1" x14ac:dyDescent="0.35">
      <c r="A12" s="5"/>
      <c r="D12" s="23"/>
      <c r="E12" s="27"/>
      <c r="H12" s="23"/>
    </row>
    <row r="13" spans="1:8" ht="18.75" x14ac:dyDescent="0.3">
      <c r="D13" s="4">
        <f>SUM(D7:D12)</f>
        <v>212363</v>
      </c>
      <c r="H13" s="33">
        <f>SUM(H7:H12)</f>
        <v>29915</v>
      </c>
    </row>
    <row r="14" spans="1:8" ht="18.75" x14ac:dyDescent="0.3">
      <c r="A14" s="5"/>
      <c r="C14" s="3"/>
      <c r="D14" s="4"/>
      <c r="H14" s="4"/>
    </row>
    <row r="15" spans="1:8" ht="15.75" thickBot="1" x14ac:dyDescent="0.3">
      <c r="D15" s="7"/>
      <c r="H15" s="7"/>
    </row>
    <row r="17" spans="1:8" ht="18.75" x14ac:dyDescent="0.3">
      <c r="C17" t="s">
        <v>4</v>
      </c>
      <c r="D17" s="4">
        <f>D3-D13</f>
        <v>203197</v>
      </c>
      <c r="G17" t="s">
        <v>5</v>
      </c>
      <c r="H17" s="4">
        <f>H3-H13</f>
        <v>36435</v>
      </c>
    </row>
    <row r="20" spans="1:8" ht="15.75" x14ac:dyDescent="0.25">
      <c r="A20" t="s">
        <v>6</v>
      </c>
      <c r="C20" s="8">
        <f>D17</f>
        <v>203197</v>
      </c>
      <c r="E20" t="s">
        <v>10</v>
      </c>
      <c r="H20" s="6">
        <f>C29</f>
        <v>165099.76</v>
      </c>
    </row>
    <row r="22" spans="1:8" ht="15.75" x14ac:dyDescent="0.25">
      <c r="A22" t="s">
        <v>5</v>
      </c>
      <c r="B22" s="9" t="s">
        <v>7</v>
      </c>
      <c r="C22" s="8">
        <f>H17</f>
        <v>36435</v>
      </c>
      <c r="E22" s="13" t="s">
        <v>11</v>
      </c>
      <c r="F22" s="9" t="s">
        <v>12</v>
      </c>
      <c r="G22" s="15" t="s">
        <v>17</v>
      </c>
      <c r="H22" s="3">
        <f>-(F23*0.007)</f>
        <v>-2444.4700000000003</v>
      </c>
    </row>
    <row r="23" spans="1:8" x14ac:dyDescent="0.25">
      <c r="F23" s="21">
        <f>D3-H3</f>
        <v>349210</v>
      </c>
    </row>
    <row r="24" spans="1:8" ht="16.5" thickBot="1" x14ac:dyDescent="0.3">
      <c r="A24" t="s">
        <v>8</v>
      </c>
      <c r="B24" s="9" t="s">
        <v>7</v>
      </c>
      <c r="C24" s="8">
        <f>D3*0.004</f>
        <v>1662.24</v>
      </c>
      <c r="F24" s="9" t="s">
        <v>13</v>
      </c>
      <c r="G24" s="16">
        <v>0.35</v>
      </c>
      <c r="H24" s="17">
        <f>-(F25*0.35)</f>
        <v>-57784.915999999997</v>
      </c>
    </row>
    <row r="25" spans="1:8" x14ac:dyDescent="0.25">
      <c r="F25" s="21">
        <f>H20</f>
        <v>165099.76</v>
      </c>
    </row>
    <row r="26" spans="1:8" ht="15.75" x14ac:dyDescent="0.25">
      <c r="A26" t="s">
        <v>9</v>
      </c>
      <c r="B26" s="9" t="s">
        <v>7</v>
      </c>
      <c r="C26" s="10"/>
      <c r="G26" s="13" t="s">
        <v>14</v>
      </c>
      <c r="H26" s="6">
        <f>H20+H22+H24</f>
        <v>104870.37400000001</v>
      </c>
    </row>
    <row r="27" spans="1:8" ht="15.75" thickBot="1" x14ac:dyDescent="0.3">
      <c r="A27" s="16"/>
      <c r="B27" s="14"/>
      <c r="C27" s="7"/>
    </row>
    <row r="28" spans="1:8" x14ac:dyDescent="0.25">
      <c r="E28" t="s">
        <v>100</v>
      </c>
      <c r="H28" s="20">
        <f>H26*0.4</f>
        <v>41948.149600000004</v>
      </c>
    </row>
    <row r="29" spans="1:8" ht="15.75" x14ac:dyDescent="0.25">
      <c r="A29" t="s">
        <v>10</v>
      </c>
      <c r="C29" s="10">
        <f>C20-C22-C24-C26</f>
        <v>165099.76</v>
      </c>
      <c r="H29" s="18"/>
    </row>
    <row r="30" spans="1:8" x14ac:dyDescent="0.25">
      <c r="H30" s="3"/>
    </row>
    <row r="31" spans="1:8" x14ac:dyDescent="0.25">
      <c r="H31" s="18"/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2E24E-8AC8-4DFB-83E1-E8AF9B35AF40}">
  <dimension ref="A1:H31"/>
  <sheetViews>
    <sheetView workbookViewId="0">
      <selection activeCell="C4" sqref="C4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424</v>
      </c>
    </row>
    <row r="3" spans="1:8" ht="21" x14ac:dyDescent="0.35">
      <c r="A3" s="2" t="s">
        <v>1</v>
      </c>
      <c r="D3" s="11">
        <v>32130</v>
      </c>
      <c r="F3" s="12" t="s">
        <v>3</v>
      </c>
      <c r="H3" s="11">
        <v>5130</v>
      </c>
    </row>
    <row r="4" spans="1:8" x14ac:dyDescent="0.25">
      <c r="A4" s="13" t="s">
        <v>29</v>
      </c>
      <c r="C4" s="28">
        <v>529</v>
      </c>
    </row>
    <row r="5" spans="1:8" ht="21" x14ac:dyDescent="0.35">
      <c r="A5" s="2" t="s">
        <v>2</v>
      </c>
    </row>
    <row r="7" spans="1:8" ht="18.75" x14ac:dyDescent="0.3">
      <c r="A7" s="5" t="s">
        <v>426</v>
      </c>
      <c r="D7" s="4">
        <v>12495</v>
      </c>
      <c r="E7" s="27"/>
      <c r="H7" s="4">
        <v>1995</v>
      </c>
    </row>
    <row r="8" spans="1:8" ht="18.75" x14ac:dyDescent="0.3">
      <c r="A8" s="5" t="s">
        <v>425</v>
      </c>
      <c r="D8" s="4">
        <v>1338</v>
      </c>
      <c r="E8" s="27"/>
      <c r="H8" s="4">
        <v>214</v>
      </c>
    </row>
    <row r="9" spans="1:8" ht="18.75" x14ac:dyDescent="0.3">
      <c r="A9" s="5"/>
      <c r="D9" s="4"/>
      <c r="E9" s="27"/>
      <c r="H9" s="4"/>
    </row>
    <row r="10" spans="1:8" ht="18.75" x14ac:dyDescent="0.3">
      <c r="A10" s="5"/>
      <c r="D10" s="4"/>
      <c r="E10" s="27"/>
      <c r="H10" s="4"/>
    </row>
    <row r="11" spans="1:8" ht="18.75" x14ac:dyDescent="0.3">
      <c r="A11" s="5"/>
      <c r="D11" s="30"/>
      <c r="E11" s="27"/>
      <c r="H11" s="30"/>
    </row>
    <row r="12" spans="1:8" ht="19.5" thickBot="1" x14ac:dyDescent="0.35">
      <c r="A12" s="5"/>
      <c r="D12" s="23"/>
      <c r="E12" s="27"/>
      <c r="H12" s="23"/>
    </row>
    <row r="13" spans="1:8" ht="18.75" x14ac:dyDescent="0.3">
      <c r="D13" s="4">
        <f>SUM(D7:D12)</f>
        <v>13833</v>
      </c>
      <c r="H13" s="33">
        <f>SUM(H7:H12)</f>
        <v>2209</v>
      </c>
    </row>
    <row r="14" spans="1:8" ht="18.75" x14ac:dyDescent="0.3">
      <c r="A14" s="5"/>
      <c r="C14" s="3"/>
      <c r="D14" s="4"/>
      <c r="H14" s="4"/>
    </row>
    <row r="15" spans="1:8" ht="15.75" thickBot="1" x14ac:dyDescent="0.3">
      <c r="D15" s="7"/>
      <c r="H15" s="7"/>
    </row>
    <row r="17" spans="1:8" ht="18.75" x14ac:dyDescent="0.3">
      <c r="C17" t="s">
        <v>4</v>
      </c>
      <c r="D17" s="4">
        <f>D3-D13</f>
        <v>18297</v>
      </c>
      <c r="G17" t="s">
        <v>5</v>
      </c>
      <c r="H17" s="4">
        <f>H3-H13</f>
        <v>2921</v>
      </c>
    </row>
    <row r="20" spans="1:8" ht="15.75" x14ac:dyDescent="0.25">
      <c r="A20" t="s">
        <v>6</v>
      </c>
      <c r="C20" s="8">
        <f>D17</f>
        <v>18297</v>
      </c>
      <c r="E20" t="s">
        <v>10</v>
      </c>
      <c r="H20" s="6">
        <f>C29</f>
        <v>15247.48</v>
      </c>
    </row>
    <row r="22" spans="1:8" ht="15.75" x14ac:dyDescent="0.25">
      <c r="A22" t="s">
        <v>5</v>
      </c>
      <c r="B22" s="9" t="s">
        <v>7</v>
      </c>
      <c r="C22" s="8">
        <f>H17</f>
        <v>2921</v>
      </c>
      <c r="E22" s="13" t="s">
        <v>11</v>
      </c>
      <c r="F22" s="9" t="s">
        <v>12</v>
      </c>
      <c r="G22" s="15" t="s">
        <v>17</v>
      </c>
      <c r="H22" s="3">
        <f>-(F23*0.007)</f>
        <v>-189</v>
      </c>
    </row>
    <row r="23" spans="1:8" x14ac:dyDescent="0.25">
      <c r="F23" s="21">
        <f>D3-H3</f>
        <v>27000</v>
      </c>
    </row>
    <row r="24" spans="1:8" ht="16.5" thickBot="1" x14ac:dyDescent="0.3">
      <c r="A24" t="s">
        <v>8</v>
      </c>
      <c r="B24" s="9" t="s">
        <v>7</v>
      </c>
      <c r="C24" s="8">
        <f>D3*0.004</f>
        <v>128.52000000000001</v>
      </c>
      <c r="F24" s="9" t="s">
        <v>13</v>
      </c>
      <c r="G24" s="16">
        <v>0.35</v>
      </c>
      <c r="H24" s="17">
        <f>-(F25*0.35)</f>
        <v>-5336.6179999999995</v>
      </c>
    </row>
    <row r="25" spans="1:8" x14ac:dyDescent="0.25">
      <c r="F25" s="21">
        <f>H20</f>
        <v>15247.48</v>
      </c>
    </row>
    <row r="26" spans="1:8" ht="15.75" x14ac:dyDescent="0.25">
      <c r="A26" t="s">
        <v>9</v>
      </c>
      <c r="B26" s="9" t="s">
        <v>7</v>
      </c>
      <c r="C26" s="10"/>
      <c r="G26" s="13" t="s">
        <v>14</v>
      </c>
      <c r="H26" s="6">
        <f>H20+H22+H24</f>
        <v>9721.862000000001</v>
      </c>
    </row>
    <row r="27" spans="1:8" ht="15.75" thickBot="1" x14ac:dyDescent="0.3">
      <c r="A27" s="16"/>
      <c r="B27" s="14"/>
      <c r="C27" s="7"/>
    </row>
    <row r="28" spans="1:8" x14ac:dyDescent="0.25">
      <c r="E28" t="s">
        <v>100</v>
      </c>
      <c r="H28" s="20">
        <f>H26*0.4</f>
        <v>3888.7448000000004</v>
      </c>
    </row>
    <row r="29" spans="1:8" ht="15.75" x14ac:dyDescent="0.25">
      <c r="A29" t="s">
        <v>10</v>
      </c>
      <c r="C29" s="10">
        <f>C20-C22-C24-C26</f>
        <v>15247.48</v>
      </c>
      <c r="H29" s="18"/>
    </row>
    <row r="30" spans="1:8" x14ac:dyDescent="0.25">
      <c r="H30" s="3"/>
    </row>
    <row r="31" spans="1:8" x14ac:dyDescent="0.25">
      <c r="H31" s="18"/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34697-5E35-46B0-B044-DB5F5CAB18D2}">
  <dimension ref="A1:H31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416</v>
      </c>
    </row>
    <row r="3" spans="1:8" ht="21" x14ac:dyDescent="0.35">
      <c r="A3" s="2" t="s">
        <v>1</v>
      </c>
      <c r="D3" s="11">
        <v>997339</v>
      </c>
      <c r="F3" s="12" t="s">
        <v>3</v>
      </c>
      <c r="H3" s="11">
        <v>159239</v>
      </c>
    </row>
    <row r="4" spans="1:8" x14ac:dyDescent="0.25">
      <c r="A4" s="13" t="s">
        <v>29</v>
      </c>
      <c r="C4" s="28">
        <v>530</v>
      </c>
    </row>
    <row r="5" spans="1:8" ht="21" x14ac:dyDescent="0.35">
      <c r="A5" s="2" t="s">
        <v>2</v>
      </c>
    </row>
    <row r="7" spans="1:8" ht="18.75" x14ac:dyDescent="0.3">
      <c r="A7" s="5" t="s">
        <v>427</v>
      </c>
      <c r="D7" s="4">
        <v>582070</v>
      </c>
      <c r="E7" s="27"/>
      <c r="H7" s="4">
        <v>92936</v>
      </c>
    </row>
    <row r="8" spans="1:8" ht="18.75" x14ac:dyDescent="0.3">
      <c r="A8" s="5" t="s">
        <v>425</v>
      </c>
      <c r="D8" s="4">
        <v>1338</v>
      </c>
      <c r="E8" s="27"/>
      <c r="H8" s="4">
        <v>214</v>
      </c>
    </row>
    <row r="9" spans="1:8" ht="18.75" x14ac:dyDescent="0.3">
      <c r="A9" s="5"/>
      <c r="D9" s="4"/>
      <c r="E9" s="27"/>
      <c r="H9" s="4"/>
    </row>
    <row r="10" spans="1:8" ht="18.75" x14ac:dyDescent="0.3">
      <c r="A10" s="5"/>
      <c r="D10" s="4"/>
      <c r="E10" s="27"/>
      <c r="H10" s="4"/>
    </row>
    <row r="11" spans="1:8" ht="18.75" x14ac:dyDescent="0.3">
      <c r="A11" s="5"/>
      <c r="D11" s="30"/>
      <c r="E11" s="27"/>
      <c r="H11" s="30"/>
    </row>
    <row r="12" spans="1:8" ht="19.5" thickBot="1" x14ac:dyDescent="0.35">
      <c r="A12" s="5"/>
      <c r="D12" s="23"/>
      <c r="E12" s="27"/>
      <c r="H12" s="23"/>
    </row>
    <row r="13" spans="1:8" ht="18.75" x14ac:dyDescent="0.3">
      <c r="D13" s="4">
        <f>SUM(D7:D12)</f>
        <v>583408</v>
      </c>
      <c r="H13" s="33">
        <f>SUM(H7:H12)</f>
        <v>93150</v>
      </c>
    </row>
    <row r="14" spans="1:8" ht="18.75" x14ac:dyDescent="0.3">
      <c r="A14" s="5"/>
      <c r="C14" s="3"/>
      <c r="D14" s="4"/>
      <c r="H14" s="4"/>
    </row>
    <row r="15" spans="1:8" ht="15.75" thickBot="1" x14ac:dyDescent="0.3">
      <c r="D15" s="7"/>
      <c r="H15" s="7"/>
    </row>
    <row r="17" spans="1:8" ht="18.75" x14ac:dyDescent="0.3">
      <c r="C17" t="s">
        <v>4</v>
      </c>
      <c r="D17" s="4">
        <f>D3-D13</f>
        <v>413931</v>
      </c>
      <c r="G17" t="s">
        <v>5</v>
      </c>
      <c r="H17" s="4">
        <f>H3-H13</f>
        <v>66089</v>
      </c>
    </row>
    <row r="20" spans="1:8" ht="15.75" x14ac:dyDescent="0.25">
      <c r="A20" t="s">
        <v>6</v>
      </c>
      <c r="C20" s="8">
        <f>D17</f>
        <v>413931</v>
      </c>
      <c r="E20" t="s">
        <v>10</v>
      </c>
      <c r="H20" s="6">
        <f>C29</f>
        <v>343852.64399999997</v>
      </c>
    </row>
    <row r="22" spans="1:8" ht="15.75" x14ac:dyDescent="0.25">
      <c r="A22" t="s">
        <v>5</v>
      </c>
      <c r="B22" s="9" t="s">
        <v>7</v>
      </c>
      <c r="C22" s="8">
        <f>H17</f>
        <v>66089</v>
      </c>
      <c r="E22" s="13" t="s">
        <v>11</v>
      </c>
      <c r="F22" s="9" t="s">
        <v>12</v>
      </c>
      <c r="G22" s="15" t="s">
        <v>17</v>
      </c>
      <c r="H22" s="3">
        <f>-(F23*0.007)</f>
        <v>-5866.7</v>
      </c>
    </row>
    <row r="23" spans="1:8" x14ac:dyDescent="0.25">
      <c r="F23" s="21">
        <f>D3-H3</f>
        <v>838100</v>
      </c>
    </row>
    <row r="24" spans="1:8" ht="16.5" thickBot="1" x14ac:dyDescent="0.3">
      <c r="A24" t="s">
        <v>8</v>
      </c>
      <c r="B24" s="9" t="s">
        <v>7</v>
      </c>
      <c r="C24" s="8">
        <f>D3*0.004</f>
        <v>3989.3560000000002</v>
      </c>
      <c r="F24" s="9" t="s">
        <v>13</v>
      </c>
      <c r="G24" s="16">
        <v>0.35</v>
      </c>
      <c r="H24" s="17">
        <f>-(F25*0.35)</f>
        <v>-120348.42539999998</v>
      </c>
    </row>
    <row r="25" spans="1:8" x14ac:dyDescent="0.25">
      <c r="F25" s="21">
        <f>H20</f>
        <v>343852.64399999997</v>
      </c>
    </row>
    <row r="26" spans="1:8" ht="15.75" x14ac:dyDescent="0.25">
      <c r="A26" t="s">
        <v>9</v>
      </c>
      <c r="B26" s="9" t="s">
        <v>7</v>
      </c>
      <c r="C26" s="10"/>
      <c r="G26" s="13" t="s">
        <v>14</v>
      </c>
      <c r="H26" s="6">
        <f>H20+H22+H24</f>
        <v>217637.51859999998</v>
      </c>
    </row>
    <row r="27" spans="1:8" ht="15.75" thickBot="1" x14ac:dyDescent="0.3">
      <c r="A27" s="16"/>
      <c r="B27" s="14"/>
      <c r="C27" s="7"/>
    </row>
    <row r="28" spans="1:8" x14ac:dyDescent="0.25">
      <c r="E28" t="s">
        <v>100</v>
      </c>
      <c r="H28" s="20">
        <f>H26*0.4</f>
        <v>87055.007440000001</v>
      </c>
    </row>
    <row r="29" spans="1:8" ht="15.75" x14ac:dyDescent="0.25">
      <c r="A29" t="s">
        <v>10</v>
      </c>
      <c r="C29" s="10">
        <f>C20-C22-C24-C26</f>
        <v>343852.64399999997</v>
      </c>
      <c r="H29" s="18"/>
    </row>
    <row r="30" spans="1:8" x14ac:dyDescent="0.25">
      <c r="H30" s="3"/>
    </row>
    <row r="31" spans="1:8" x14ac:dyDescent="0.25">
      <c r="H31" s="18"/>
    </row>
  </sheetData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B279A-7EF9-4717-A8A2-501C88CDBC1E}">
  <dimension ref="A1:H31"/>
  <sheetViews>
    <sheetView workbookViewId="0">
      <selection activeCell="C9" sqref="C9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428</v>
      </c>
    </row>
    <row r="3" spans="1:8" ht="21" x14ac:dyDescent="0.35">
      <c r="A3" s="2" t="s">
        <v>1</v>
      </c>
      <c r="D3" s="11">
        <v>38556</v>
      </c>
      <c r="F3" s="12" t="s">
        <v>3</v>
      </c>
      <c r="H3" s="11">
        <v>6156</v>
      </c>
    </row>
    <row r="4" spans="1:8" x14ac:dyDescent="0.25">
      <c r="A4" s="13" t="s">
        <v>29</v>
      </c>
      <c r="C4" s="28">
        <v>532</v>
      </c>
    </row>
    <row r="5" spans="1:8" ht="21" x14ac:dyDescent="0.35">
      <c r="A5" s="2" t="s">
        <v>2</v>
      </c>
    </row>
    <row r="7" spans="1:8" ht="18.75" x14ac:dyDescent="0.3">
      <c r="A7" s="5" t="s">
        <v>310</v>
      </c>
      <c r="D7" s="4">
        <v>32898</v>
      </c>
      <c r="E7" s="27"/>
      <c r="H7" s="4">
        <v>5253</v>
      </c>
    </row>
    <row r="8" spans="1:8" ht="18.75" x14ac:dyDescent="0.3">
      <c r="A8" s="5"/>
      <c r="D8" s="4"/>
      <c r="E8" s="27"/>
      <c r="H8" s="4"/>
    </row>
    <row r="9" spans="1:8" ht="18.75" x14ac:dyDescent="0.3">
      <c r="A9" s="5"/>
      <c r="D9" s="4"/>
      <c r="E9" s="27"/>
      <c r="H9" s="4"/>
    </row>
    <row r="10" spans="1:8" ht="18.75" x14ac:dyDescent="0.3">
      <c r="A10" s="5"/>
      <c r="D10" s="4"/>
      <c r="E10" s="27"/>
      <c r="H10" s="4"/>
    </row>
    <row r="11" spans="1:8" ht="18.75" x14ac:dyDescent="0.3">
      <c r="A11" s="5"/>
      <c r="D11" s="30"/>
      <c r="E11" s="27"/>
      <c r="H11" s="30"/>
    </row>
    <row r="12" spans="1:8" ht="19.5" thickBot="1" x14ac:dyDescent="0.35">
      <c r="A12" s="5"/>
      <c r="D12" s="23"/>
      <c r="E12" s="27"/>
      <c r="H12" s="23"/>
    </row>
    <row r="13" spans="1:8" ht="18.75" x14ac:dyDescent="0.3">
      <c r="D13" s="4">
        <f>SUM(D7:D12)</f>
        <v>32898</v>
      </c>
      <c r="H13" s="33">
        <f>SUM(H7:H12)</f>
        <v>5253</v>
      </c>
    </row>
    <row r="14" spans="1:8" ht="18.75" x14ac:dyDescent="0.3">
      <c r="A14" s="5"/>
      <c r="C14" s="3"/>
      <c r="D14" s="4"/>
      <c r="H14" s="4"/>
    </row>
    <row r="15" spans="1:8" ht="15.75" thickBot="1" x14ac:dyDescent="0.3">
      <c r="D15" s="7"/>
      <c r="H15" s="7"/>
    </row>
    <row r="17" spans="1:8" ht="18.75" x14ac:dyDescent="0.3">
      <c r="C17" t="s">
        <v>4</v>
      </c>
      <c r="D17" s="4">
        <f>D3-D13</f>
        <v>5658</v>
      </c>
      <c r="G17" t="s">
        <v>5</v>
      </c>
      <c r="H17" s="4">
        <f>H3-H13</f>
        <v>903</v>
      </c>
    </row>
    <row r="20" spans="1:8" ht="15.75" x14ac:dyDescent="0.25">
      <c r="A20" t="s">
        <v>6</v>
      </c>
      <c r="C20" s="8">
        <f>D17</f>
        <v>5658</v>
      </c>
      <c r="E20" t="s">
        <v>10</v>
      </c>
      <c r="H20" s="6">
        <f>C29</f>
        <v>4600.7759999999998</v>
      </c>
    </row>
    <row r="22" spans="1:8" ht="15.75" x14ac:dyDescent="0.25">
      <c r="A22" t="s">
        <v>5</v>
      </c>
      <c r="B22" s="9" t="s">
        <v>7</v>
      </c>
      <c r="C22" s="8">
        <f>H17</f>
        <v>903</v>
      </c>
      <c r="E22" s="13" t="s">
        <v>11</v>
      </c>
      <c r="F22" s="9" t="s">
        <v>12</v>
      </c>
      <c r="G22" s="15" t="s">
        <v>17</v>
      </c>
      <c r="H22" s="3">
        <f>-(F23*0.007)</f>
        <v>-226.8</v>
      </c>
    </row>
    <row r="23" spans="1:8" x14ac:dyDescent="0.25">
      <c r="F23" s="21">
        <f>D3-H3</f>
        <v>32400</v>
      </c>
    </row>
    <row r="24" spans="1:8" ht="16.5" thickBot="1" x14ac:dyDescent="0.3">
      <c r="A24" t="s">
        <v>8</v>
      </c>
      <c r="B24" s="9" t="s">
        <v>7</v>
      </c>
      <c r="C24" s="8">
        <f>D3*0.004</f>
        <v>154.22399999999999</v>
      </c>
      <c r="F24" s="9" t="s">
        <v>13</v>
      </c>
      <c r="G24" s="16">
        <v>0.35</v>
      </c>
      <c r="H24" s="17">
        <f>-(F25*0.35)</f>
        <v>-1610.2715999999998</v>
      </c>
    </row>
    <row r="25" spans="1:8" x14ac:dyDescent="0.25">
      <c r="F25" s="21">
        <f>H20</f>
        <v>4600.7759999999998</v>
      </c>
    </row>
    <row r="26" spans="1:8" ht="15.75" x14ac:dyDescent="0.25">
      <c r="A26" t="s">
        <v>9</v>
      </c>
      <c r="B26" s="9" t="s">
        <v>7</v>
      </c>
      <c r="C26" s="10"/>
      <c r="G26" s="13" t="s">
        <v>14</v>
      </c>
      <c r="H26" s="6">
        <f>H20+H22+H24</f>
        <v>2763.7043999999996</v>
      </c>
    </row>
    <row r="27" spans="1:8" ht="15.75" thickBot="1" x14ac:dyDescent="0.3">
      <c r="A27" s="16"/>
      <c r="B27" s="14"/>
      <c r="C27" s="7"/>
    </row>
    <row r="28" spans="1:8" x14ac:dyDescent="0.25">
      <c r="E28" t="s">
        <v>100</v>
      </c>
      <c r="H28" s="20">
        <f>H26*0.4</f>
        <v>1105.4817599999999</v>
      </c>
    </row>
    <row r="29" spans="1:8" ht="15.75" x14ac:dyDescent="0.25">
      <c r="A29" t="s">
        <v>10</v>
      </c>
      <c r="C29" s="10">
        <f>C20-C22-C24-C26</f>
        <v>4600.7759999999998</v>
      </c>
      <c r="H29" s="18"/>
    </row>
    <row r="30" spans="1:8" x14ac:dyDescent="0.25">
      <c r="H30" s="3"/>
    </row>
    <row r="31" spans="1:8" x14ac:dyDescent="0.25">
      <c r="H31" s="18"/>
    </row>
  </sheetData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04E07-96DD-498A-B98B-C2FAA9F8CC38}">
  <dimension ref="A1:H31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429</v>
      </c>
    </row>
    <row r="3" spans="1:8" ht="21" x14ac:dyDescent="0.35">
      <c r="A3" s="2" t="s">
        <v>1</v>
      </c>
      <c r="D3" s="11">
        <v>105672</v>
      </c>
      <c r="F3" s="12" t="s">
        <v>3</v>
      </c>
      <c r="H3" s="11">
        <v>16872</v>
      </c>
    </row>
    <row r="4" spans="1:8" x14ac:dyDescent="0.25">
      <c r="A4" s="13" t="s">
        <v>29</v>
      </c>
      <c r="C4" s="28">
        <v>533</v>
      </c>
    </row>
    <row r="5" spans="1:8" ht="21" x14ac:dyDescent="0.35">
      <c r="A5" s="2" t="s">
        <v>2</v>
      </c>
    </row>
    <row r="7" spans="1:8" ht="18.75" x14ac:dyDescent="0.3">
      <c r="A7" s="5" t="s">
        <v>310</v>
      </c>
      <c r="D7" s="4">
        <v>16065</v>
      </c>
      <c r="E7" s="27"/>
      <c r="H7" s="4">
        <v>2565</v>
      </c>
    </row>
    <row r="8" spans="1:8" ht="18.75" x14ac:dyDescent="0.3">
      <c r="A8" s="5" t="s">
        <v>430</v>
      </c>
      <c r="D8" s="4">
        <v>60319</v>
      </c>
      <c r="E8" s="27"/>
      <c r="H8" s="4">
        <v>9631</v>
      </c>
    </row>
    <row r="9" spans="1:8" ht="18.75" x14ac:dyDescent="0.3">
      <c r="A9" s="5"/>
      <c r="D9" s="4"/>
      <c r="E9" s="27"/>
      <c r="H9" s="4"/>
    </row>
    <row r="10" spans="1:8" ht="18.75" x14ac:dyDescent="0.3">
      <c r="A10" s="5"/>
      <c r="D10" s="4"/>
      <c r="E10" s="27"/>
      <c r="H10" s="4"/>
    </row>
    <row r="11" spans="1:8" ht="18.75" x14ac:dyDescent="0.3">
      <c r="A11" s="5"/>
      <c r="D11" s="30"/>
      <c r="E11" s="27"/>
      <c r="H11" s="30"/>
    </row>
    <row r="12" spans="1:8" ht="19.5" thickBot="1" x14ac:dyDescent="0.35">
      <c r="A12" s="5"/>
      <c r="D12" s="23"/>
      <c r="E12" s="27"/>
      <c r="H12" s="23"/>
    </row>
    <row r="13" spans="1:8" ht="18.75" x14ac:dyDescent="0.3">
      <c r="D13" s="4">
        <f>SUM(D7:D12)</f>
        <v>76384</v>
      </c>
      <c r="H13" s="33">
        <f>SUM(H7:H12)</f>
        <v>12196</v>
      </c>
    </row>
    <row r="14" spans="1:8" ht="18.75" x14ac:dyDescent="0.3">
      <c r="A14" s="5"/>
      <c r="C14" s="3"/>
      <c r="D14" s="4"/>
      <c r="H14" s="4"/>
    </row>
    <row r="15" spans="1:8" ht="15.75" thickBot="1" x14ac:dyDescent="0.3">
      <c r="D15" s="7"/>
      <c r="H15" s="7"/>
    </row>
    <row r="17" spans="1:8" ht="18.75" x14ac:dyDescent="0.3">
      <c r="C17" t="s">
        <v>4</v>
      </c>
      <c r="D17" s="4">
        <f>D3-D13</f>
        <v>29288</v>
      </c>
      <c r="G17" t="s">
        <v>5</v>
      </c>
      <c r="H17" s="4">
        <f>H3-H13</f>
        <v>4676</v>
      </c>
    </row>
    <row r="20" spans="1:8" ht="15.75" x14ac:dyDescent="0.25">
      <c r="A20" t="s">
        <v>6</v>
      </c>
      <c r="C20" s="8">
        <f>D17</f>
        <v>29288</v>
      </c>
      <c r="E20" t="s">
        <v>10</v>
      </c>
      <c r="H20" s="6">
        <f>C29</f>
        <v>24189.312000000002</v>
      </c>
    </row>
    <row r="22" spans="1:8" ht="15.75" x14ac:dyDescent="0.25">
      <c r="A22" t="s">
        <v>5</v>
      </c>
      <c r="B22" s="9" t="s">
        <v>7</v>
      </c>
      <c r="C22" s="8">
        <f>H17</f>
        <v>4676</v>
      </c>
      <c r="E22" s="13" t="s">
        <v>11</v>
      </c>
      <c r="F22" s="9" t="s">
        <v>12</v>
      </c>
      <c r="G22" s="15" t="s">
        <v>17</v>
      </c>
      <c r="H22" s="3">
        <f>-(F23*0.007)</f>
        <v>-621.6</v>
      </c>
    </row>
    <row r="23" spans="1:8" x14ac:dyDescent="0.25">
      <c r="F23" s="21">
        <f>D3-H3</f>
        <v>88800</v>
      </c>
    </row>
    <row r="24" spans="1:8" ht="16.5" thickBot="1" x14ac:dyDescent="0.3">
      <c r="A24" t="s">
        <v>8</v>
      </c>
      <c r="B24" s="9" t="s">
        <v>7</v>
      </c>
      <c r="C24" s="8">
        <f>D3*0.004</f>
        <v>422.68799999999999</v>
      </c>
      <c r="F24" s="9" t="s">
        <v>13</v>
      </c>
      <c r="G24" s="16">
        <v>0.35</v>
      </c>
      <c r="H24" s="17">
        <f>-(F25*0.35)</f>
        <v>-8466.2592000000004</v>
      </c>
    </row>
    <row r="25" spans="1:8" x14ac:dyDescent="0.25">
      <c r="F25" s="21">
        <f>H20</f>
        <v>24189.312000000002</v>
      </c>
    </row>
    <row r="26" spans="1:8" ht="15.75" x14ac:dyDescent="0.25">
      <c r="A26" t="s">
        <v>9</v>
      </c>
      <c r="B26" s="9" t="s">
        <v>7</v>
      </c>
      <c r="C26" s="10"/>
      <c r="G26" s="13" t="s">
        <v>14</v>
      </c>
      <c r="H26" s="6">
        <f>H20+H22+H24</f>
        <v>15101.452800000003</v>
      </c>
    </row>
    <row r="27" spans="1:8" ht="15.75" thickBot="1" x14ac:dyDescent="0.3">
      <c r="A27" s="16"/>
      <c r="B27" s="14"/>
      <c r="C27" s="7"/>
    </row>
    <row r="28" spans="1:8" x14ac:dyDescent="0.25">
      <c r="E28" t="s">
        <v>100</v>
      </c>
      <c r="H28" s="20">
        <f>H26*0.4</f>
        <v>6040.5811200000016</v>
      </c>
    </row>
    <row r="29" spans="1:8" ht="15.75" x14ac:dyDescent="0.25">
      <c r="A29" t="s">
        <v>10</v>
      </c>
      <c r="C29" s="10">
        <f>C20-C22-C24-C26</f>
        <v>24189.312000000002</v>
      </c>
      <c r="H29" s="18"/>
    </row>
    <row r="30" spans="1:8" x14ac:dyDescent="0.25">
      <c r="H30" s="3"/>
    </row>
    <row r="31" spans="1:8" x14ac:dyDescent="0.25">
      <c r="H31" s="18"/>
    </row>
  </sheetData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C8EEF-FFC5-4AEB-A608-423576739EED}">
  <dimension ref="A1:H31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431</v>
      </c>
    </row>
    <row r="3" spans="1:8" ht="21" x14ac:dyDescent="0.35">
      <c r="A3" s="2" t="s">
        <v>1</v>
      </c>
      <c r="D3" s="11">
        <v>186830</v>
      </c>
      <c r="F3" s="12" t="s">
        <v>3</v>
      </c>
      <c r="H3" s="11">
        <v>29830</v>
      </c>
    </row>
    <row r="4" spans="1:8" x14ac:dyDescent="0.25">
      <c r="A4" s="13" t="s">
        <v>29</v>
      </c>
      <c r="C4" s="28">
        <v>533</v>
      </c>
    </row>
    <row r="5" spans="1:8" ht="21" x14ac:dyDescent="0.35">
      <c r="A5" s="2" t="s">
        <v>2</v>
      </c>
    </row>
    <row r="7" spans="1:8" ht="18.75" x14ac:dyDescent="0.3">
      <c r="A7" s="5" t="s">
        <v>310</v>
      </c>
      <c r="D7" s="4">
        <v>114734</v>
      </c>
      <c r="E7" s="27"/>
      <c r="H7" s="4">
        <v>18319</v>
      </c>
    </row>
    <row r="8" spans="1:8" ht="18.75" x14ac:dyDescent="0.3">
      <c r="A8" s="5"/>
      <c r="D8" s="4"/>
      <c r="E8" s="27"/>
      <c r="H8" s="4"/>
    </row>
    <row r="9" spans="1:8" ht="18.75" x14ac:dyDescent="0.3">
      <c r="A9" s="5"/>
      <c r="D9" s="4"/>
      <c r="E9" s="27"/>
      <c r="H9" s="4"/>
    </row>
    <row r="10" spans="1:8" ht="18.75" x14ac:dyDescent="0.3">
      <c r="A10" s="5"/>
      <c r="D10" s="4"/>
      <c r="E10" s="27"/>
      <c r="H10" s="4"/>
    </row>
    <row r="11" spans="1:8" ht="18.75" x14ac:dyDescent="0.3">
      <c r="A11" s="5"/>
      <c r="D11" s="30"/>
      <c r="E11" s="27"/>
      <c r="H11" s="30"/>
    </row>
    <row r="12" spans="1:8" ht="19.5" thickBot="1" x14ac:dyDescent="0.35">
      <c r="A12" s="5"/>
      <c r="D12" s="23"/>
      <c r="E12" s="27"/>
      <c r="H12" s="23"/>
    </row>
    <row r="13" spans="1:8" ht="18.75" x14ac:dyDescent="0.3">
      <c r="D13" s="4">
        <f>SUM(D7:D12)</f>
        <v>114734</v>
      </c>
      <c r="H13" s="33">
        <f>SUM(H7:H12)</f>
        <v>18319</v>
      </c>
    </row>
    <row r="14" spans="1:8" ht="18.75" x14ac:dyDescent="0.3">
      <c r="A14" s="5"/>
      <c r="C14" s="3"/>
      <c r="D14" s="4"/>
      <c r="H14" s="4"/>
    </row>
    <row r="15" spans="1:8" ht="15.75" thickBot="1" x14ac:dyDescent="0.3">
      <c r="D15" s="7"/>
      <c r="H15" s="7"/>
    </row>
    <row r="17" spans="1:8" ht="18.75" x14ac:dyDescent="0.3">
      <c r="C17" t="s">
        <v>4</v>
      </c>
      <c r="D17" s="4">
        <f>D3-D13</f>
        <v>72096</v>
      </c>
      <c r="G17" t="s">
        <v>5</v>
      </c>
      <c r="H17" s="4">
        <f>H3-H13</f>
        <v>11511</v>
      </c>
    </row>
    <row r="20" spans="1:8" ht="15.75" x14ac:dyDescent="0.25">
      <c r="A20" t="s">
        <v>6</v>
      </c>
      <c r="C20" s="8">
        <f>D17</f>
        <v>72096</v>
      </c>
      <c r="E20" t="s">
        <v>10</v>
      </c>
      <c r="H20" s="6">
        <f>C29</f>
        <v>59837.68</v>
      </c>
    </row>
    <row r="22" spans="1:8" ht="15.75" x14ac:dyDescent="0.25">
      <c r="A22" t="s">
        <v>5</v>
      </c>
      <c r="B22" s="9" t="s">
        <v>7</v>
      </c>
      <c r="C22" s="8">
        <f>H17</f>
        <v>11511</v>
      </c>
      <c r="E22" s="13" t="s">
        <v>11</v>
      </c>
      <c r="F22" s="9" t="s">
        <v>12</v>
      </c>
      <c r="G22" s="15" t="s">
        <v>17</v>
      </c>
      <c r="H22" s="3">
        <f>-(F23*0.007)</f>
        <v>-1099</v>
      </c>
    </row>
    <row r="23" spans="1:8" x14ac:dyDescent="0.25">
      <c r="F23" s="21">
        <f>D3-H3</f>
        <v>157000</v>
      </c>
    </row>
    <row r="24" spans="1:8" ht="16.5" thickBot="1" x14ac:dyDescent="0.3">
      <c r="A24" t="s">
        <v>8</v>
      </c>
      <c r="B24" s="9" t="s">
        <v>7</v>
      </c>
      <c r="C24" s="8">
        <f>D3*0.004</f>
        <v>747.32</v>
      </c>
      <c r="F24" s="9" t="s">
        <v>13</v>
      </c>
      <c r="G24" s="16">
        <v>0.35</v>
      </c>
      <c r="H24" s="17">
        <f>-(F25*0.35)</f>
        <v>-20943.187999999998</v>
      </c>
    </row>
    <row r="25" spans="1:8" x14ac:dyDescent="0.25">
      <c r="F25" s="21">
        <f>H20</f>
        <v>59837.68</v>
      </c>
    </row>
    <row r="26" spans="1:8" ht="15.75" x14ac:dyDescent="0.25">
      <c r="A26" t="s">
        <v>9</v>
      </c>
      <c r="B26" s="9" t="s">
        <v>7</v>
      </c>
      <c r="C26" s="10"/>
      <c r="G26" s="13" t="s">
        <v>14</v>
      </c>
      <c r="H26" s="6">
        <f>H20+H22+H24</f>
        <v>37795.491999999998</v>
      </c>
    </row>
    <row r="27" spans="1:8" ht="15.75" thickBot="1" x14ac:dyDescent="0.3">
      <c r="A27" s="16"/>
      <c r="B27" s="14"/>
      <c r="C27" s="7"/>
    </row>
    <row r="28" spans="1:8" x14ac:dyDescent="0.25">
      <c r="E28" t="s">
        <v>100</v>
      </c>
      <c r="H28" s="20">
        <f>H26*0.4</f>
        <v>15118.1968</v>
      </c>
    </row>
    <row r="29" spans="1:8" ht="15.75" x14ac:dyDescent="0.25">
      <c r="A29" t="s">
        <v>10</v>
      </c>
      <c r="C29" s="10">
        <f>C20-C22-C24-C26</f>
        <v>59837.68</v>
      </c>
      <c r="H29" s="18"/>
    </row>
    <row r="30" spans="1:8" x14ac:dyDescent="0.25">
      <c r="H30" s="3"/>
    </row>
    <row r="31" spans="1:8" x14ac:dyDescent="0.25">
      <c r="H31" s="18"/>
    </row>
  </sheetData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94FF2-226C-4E75-9448-081DF7A7A1DA}">
  <dimension ref="A1:H31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432</v>
      </c>
    </row>
    <row r="3" spans="1:8" ht="21" x14ac:dyDescent="0.35">
      <c r="A3" s="2" t="s">
        <v>1</v>
      </c>
      <c r="D3" s="11">
        <v>35700</v>
      </c>
      <c r="F3" s="12" t="s">
        <v>3</v>
      </c>
      <c r="H3" s="11">
        <v>5700</v>
      </c>
    </row>
    <row r="4" spans="1:8" x14ac:dyDescent="0.25">
      <c r="A4" s="13" t="s">
        <v>29</v>
      </c>
      <c r="C4" s="28">
        <v>537</v>
      </c>
    </row>
    <row r="5" spans="1:8" ht="21" x14ac:dyDescent="0.35">
      <c r="A5" s="2" t="s">
        <v>2</v>
      </c>
    </row>
    <row r="7" spans="1:8" ht="18.75" x14ac:dyDescent="0.3">
      <c r="A7" s="5" t="s">
        <v>433</v>
      </c>
      <c r="D7" s="4">
        <v>8330</v>
      </c>
      <c r="E7" s="27"/>
      <c r="H7" s="4">
        <v>1330</v>
      </c>
    </row>
    <row r="8" spans="1:8" ht="18.75" x14ac:dyDescent="0.3">
      <c r="A8" s="5" t="s">
        <v>167</v>
      </c>
      <c r="D8" s="4">
        <v>10543</v>
      </c>
      <c r="E8" s="27"/>
      <c r="H8" s="4">
        <v>1843</v>
      </c>
    </row>
    <row r="9" spans="1:8" ht="18.75" x14ac:dyDescent="0.3">
      <c r="A9" s="5"/>
      <c r="D9" s="4"/>
      <c r="E9" s="27"/>
      <c r="H9" s="4"/>
    </row>
    <row r="10" spans="1:8" ht="18.75" x14ac:dyDescent="0.3">
      <c r="A10" s="5"/>
      <c r="D10" s="4"/>
      <c r="E10" s="27"/>
      <c r="H10" s="4"/>
    </row>
    <row r="11" spans="1:8" ht="18.75" x14ac:dyDescent="0.3">
      <c r="A11" s="5"/>
      <c r="D11" s="30"/>
      <c r="E11" s="27"/>
      <c r="H11" s="30"/>
    </row>
    <row r="12" spans="1:8" ht="19.5" thickBot="1" x14ac:dyDescent="0.35">
      <c r="A12" s="5"/>
      <c r="D12" s="23"/>
      <c r="E12" s="27"/>
      <c r="H12" s="23"/>
    </row>
    <row r="13" spans="1:8" ht="18.75" x14ac:dyDescent="0.3">
      <c r="D13" s="4">
        <f>SUM(D7:D12)</f>
        <v>18873</v>
      </c>
      <c r="H13" s="33">
        <f>SUM(H7:H12)</f>
        <v>3173</v>
      </c>
    </row>
    <row r="14" spans="1:8" ht="18.75" x14ac:dyDescent="0.3">
      <c r="A14" s="5"/>
      <c r="C14" s="3"/>
      <c r="D14" s="4"/>
      <c r="H14" s="4"/>
    </row>
    <row r="15" spans="1:8" ht="15.75" thickBot="1" x14ac:dyDescent="0.3">
      <c r="D15" s="7"/>
      <c r="H15" s="7"/>
    </row>
    <row r="17" spans="1:8" ht="18.75" x14ac:dyDescent="0.3">
      <c r="C17" t="s">
        <v>4</v>
      </c>
      <c r="D17" s="4">
        <f>D3-D13</f>
        <v>16827</v>
      </c>
      <c r="G17" t="s">
        <v>5</v>
      </c>
      <c r="H17" s="4">
        <f>H3-H13</f>
        <v>2527</v>
      </c>
    </row>
    <row r="20" spans="1:8" ht="15.75" x14ac:dyDescent="0.25">
      <c r="A20" t="s">
        <v>6</v>
      </c>
      <c r="C20" s="8">
        <f>D17</f>
        <v>16827</v>
      </c>
      <c r="E20" t="s">
        <v>10</v>
      </c>
      <c r="H20" s="6">
        <f>C29</f>
        <v>14157.2</v>
      </c>
    </row>
    <row r="22" spans="1:8" ht="15.75" x14ac:dyDescent="0.25">
      <c r="A22" t="s">
        <v>5</v>
      </c>
      <c r="B22" s="9" t="s">
        <v>7</v>
      </c>
      <c r="C22" s="8">
        <f>H17</f>
        <v>2527</v>
      </c>
      <c r="E22" s="13" t="s">
        <v>11</v>
      </c>
      <c r="F22" s="9" t="s">
        <v>12</v>
      </c>
      <c r="G22" s="15" t="s">
        <v>17</v>
      </c>
      <c r="H22" s="3">
        <f>-(F23*0.007)</f>
        <v>-210</v>
      </c>
    </row>
    <row r="23" spans="1:8" x14ac:dyDescent="0.25">
      <c r="F23" s="21">
        <f>D3-H3</f>
        <v>30000</v>
      </c>
    </row>
    <row r="24" spans="1:8" ht="16.5" thickBot="1" x14ac:dyDescent="0.3">
      <c r="A24" t="s">
        <v>8</v>
      </c>
      <c r="B24" s="9" t="s">
        <v>7</v>
      </c>
      <c r="C24" s="8">
        <f>D3*0.004</f>
        <v>142.80000000000001</v>
      </c>
      <c r="F24" s="9" t="s">
        <v>13</v>
      </c>
      <c r="G24" s="16">
        <v>0.35</v>
      </c>
      <c r="H24" s="17">
        <f>-(F25*0.35)</f>
        <v>-4955.0199999999995</v>
      </c>
    </row>
    <row r="25" spans="1:8" x14ac:dyDescent="0.25">
      <c r="F25" s="21">
        <f>H20</f>
        <v>14157.2</v>
      </c>
    </row>
    <row r="26" spans="1:8" ht="15.75" x14ac:dyDescent="0.25">
      <c r="A26" t="s">
        <v>9</v>
      </c>
      <c r="B26" s="9" t="s">
        <v>7</v>
      </c>
      <c r="C26" s="10"/>
      <c r="G26" s="13" t="s">
        <v>14</v>
      </c>
      <c r="H26" s="6">
        <f>H20+H22+H24</f>
        <v>8992.18</v>
      </c>
    </row>
    <row r="27" spans="1:8" ht="15.75" thickBot="1" x14ac:dyDescent="0.3">
      <c r="A27" s="16"/>
      <c r="B27" s="14"/>
      <c r="C27" s="7"/>
    </row>
    <row r="28" spans="1:8" x14ac:dyDescent="0.25">
      <c r="E28" t="s">
        <v>100</v>
      </c>
      <c r="H28" s="20">
        <f>H26*0.4</f>
        <v>3596.8720000000003</v>
      </c>
    </row>
    <row r="29" spans="1:8" ht="15.75" x14ac:dyDescent="0.25">
      <c r="A29" t="s">
        <v>10</v>
      </c>
      <c r="C29" s="10">
        <f>C20-C22-C24-C26</f>
        <v>14157.2</v>
      </c>
      <c r="H29" s="18"/>
    </row>
    <row r="30" spans="1:8" x14ac:dyDescent="0.25">
      <c r="H30" s="3"/>
    </row>
    <row r="31" spans="1:8" x14ac:dyDescent="0.25">
      <c r="H31" s="18"/>
    </row>
  </sheetData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AA685-31E5-4D4F-BA33-4E0F07724A08}">
  <dimension ref="A1:H31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434</v>
      </c>
    </row>
    <row r="3" spans="1:8" ht="21" x14ac:dyDescent="0.35">
      <c r="A3" s="2" t="s">
        <v>1</v>
      </c>
      <c r="D3" s="11">
        <v>345100</v>
      </c>
      <c r="F3" s="12" t="s">
        <v>3</v>
      </c>
      <c r="H3" s="11">
        <v>55100</v>
      </c>
    </row>
    <row r="4" spans="1:8" x14ac:dyDescent="0.25">
      <c r="A4" s="13" t="s">
        <v>29</v>
      </c>
      <c r="C4" s="28">
        <v>538</v>
      </c>
    </row>
    <row r="5" spans="1:8" ht="21" x14ac:dyDescent="0.35">
      <c r="A5" s="2" t="s">
        <v>2</v>
      </c>
    </row>
    <row r="7" spans="1:8" ht="18.75" x14ac:dyDescent="0.3">
      <c r="A7" s="5" t="s">
        <v>244</v>
      </c>
      <c r="D7" s="4">
        <v>248000</v>
      </c>
      <c r="E7" s="27"/>
      <c r="H7" s="4">
        <v>40000</v>
      </c>
    </row>
    <row r="8" spans="1:8" ht="18.75" x14ac:dyDescent="0.3">
      <c r="A8" s="5"/>
      <c r="D8" s="4"/>
      <c r="E8" s="27"/>
      <c r="H8" s="4"/>
    </row>
    <row r="9" spans="1:8" ht="18.75" x14ac:dyDescent="0.3">
      <c r="A9" s="5"/>
      <c r="D9" s="4"/>
      <c r="E9" s="27"/>
      <c r="H9" s="4"/>
    </row>
    <row r="10" spans="1:8" ht="18.75" x14ac:dyDescent="0.3">
      <c r="A10" s="5"/>
      <c r="D10" s="4"/>
      <c r="E10" s="27"/>
      <c r="H10" s="4"/>
    </row>
    <row r="11" spans="1:8" ht="18.75" x14ac:dyDescent="0.3">
      <c r="A11" s="5"/>
      <c r="D11" s="30"/>
      <c r="E11" s="27"/>
      <c r="H11" s="30"/>
    </row>
    <row r="12" spans="1:8" ht="19.5" thickBot="1" x14ac:dyDescent="0.35">
      <c r="A12" s="5"/>
      <c r="D12" s="23"/>
      <c r="E12" s="27"/>
      <c r="H12" s="23"/>
    </row>
    <row r="13" spans="1:8" ht="18.75" x14ac:dyDescent="0.3">
      <c r="D13" s="4">
        <f>SUM(D7:D12)</f>
        <v>248000</v>
      </c>
      <c r="H13" s="33">
        <f>SUM(H7:H12)</f>
        <v>40000</v>
      </c>
    </row>
    <row r="14" spans="1:8" ht="18.75" x14ac:dyDescent="0.3">
      <c r="A14" s="5"/>
      <c r="C14" s="3"/>
      <c r="D14" s="4"/>
      <c r="H14" s="4"/>
    </row>
    <row r="15" spans="1:8" ht="15.75" thickBot="1" x14ac:dyDescent="0.3">
      <c r="D15" s="7"/>
      <c r="H15" s="7"/>
    </row>
    <row r="17" spans="1:8" ht="18.75" x14ac:dyDescent="0.3">
      <c r="C17" t="s">
        <v>4</v>
      </c>
      <c r="D17" s="4">
        <f>D3-D13</f>
        <v>97100</v>
      </c>
      <c r="G17" t="s">
        <v>5</v>
      </c>
      <c r="H17" s="4">
        <f>H3-H13</f>
        <v>15100</v>
      </c>
    </row>
    <row r="20" spans="1:8" ht="15.75" x14ac:dyDescent="0.25">
      <c r="A20" t="s">
        <v>6</v>
      </c>
      <c r="C20" s="8">
        <f>D17</f>
        <v>97100</v>
      </c>
      <c r="E20" t="s">
        <v>10</v>
      </c>
      <c r="H20" s="6">
        <f>C29</f>
        <v>80619.600000000006</v>
      </c>
    </row>
    <row r="22" spans="1:8" ht="15.75" x14ac:dyDescent="0.25">
      <c r="A22" t="s">
        <v>5</v>
      </c>
      <c r="B22" s="9" t="s">
        <v>7</v>
      </c>
      <c r="C22" s="8">
        <f>H17</f>
        <v>15100</v>
      </c>
      <c r="E22" s="13" t="s">
        <v>11</v>
      </c>
      <c r="F22" s="9" t="s">
        <v>12</v>
      </c>
      <c r="G22" s="15" t="s">
        <v>17</v>
      </c>
      <c r="H22" s="3">
        <f>-(F23*0.007)</f>
        <v>-2030</v>
      </c>
    </row>
    <row r="23" spans="1:8" x14ac:dyDescent="0.25">
      <c r="F23" s="21">
        <f>D3-H3</f>
        <v>290000</v>
      </c>
    </row>
    <row r="24" spans="1:8" ht="16.5" thickBot="1" x14ac:dyDescent="0.3">
      <c r="A24" t="s">
        <v>8</v>
      </c>
      <c r="B24" s="9" t="s">
        <v>7</v>
      </c>
      <c r="C24" s="8">
        <f>D3*0.004</f>
        <v>1380.4</v>
      </c>
      <c r="F24" s="9" t="s">
        <v>13</v>
      </c>
      <c r="G24" s="16">
        <v>0.35</v>
      </c>
      <c r="H24" s="17">
        <f>-(F25*0.35)</f>
        <v>-28216.86</v>
      </c>
    </row>
    <row r="25" spans="1:8" x14ac:dyDescent="0.25">
      <c r="F25" s="21">
        <f>H20</f>
        <v>80619.600000000006</v>
      </c>
    </row>
    <row r="26" spans="1:8" ht="15.75" x14ac:dyDescent="0.25">
      <c r="A26" t="s">
        <v>9</v>
      </c>
      <c r="B26" s="9" t="s">
        <v>7</v>
      </c>
      <c r="C26" s="10"/>
      <c r="G26" s="13" t="s">
        <v>14</v>
      </c>
      <c r="H26" s="6">
        <f>H20+H22+H24</f>
        <v>50372.740000000005</v>
      </c>
    </row>
    <row r="27" spans="1:8" ht="15.75" thickBot="1" x14ac:dyDescent="0.3">
      <c r="A27" s="16"/>
      <c r="B27" s="14"/>
      <c r="C27" s="7"/>
    </row>
    <row r="28" spans="1:8" x14ac:dyDescent="0.25">
      <c r="E28" t="s">
        <v>100</v>
      </c>
      <c r="H28" s="20">
        <f>H26*0.4</f>
        <v>20149.096000000005</v>
      </c>
    </row>
    <row r="29" spans="1:8" ht="15.75" x14ac:dyDescent="0.25">
      <c r="A29" t="s">
        <v>10</v>
      </c>
      <c r="C29" s="10">
        <f>C20-C22-C24-C26</f>
        <v>80619.600000000006</v>
      </c>
      <c r="H29" s="18"/>
    </row>
    <row r="30" spans="1:8" x14ac:dyDescent="0.25">
      <c r="H30" s="3"/>
    </row>
    <row r="31" spans="1:8" x14ac:dyDescent="0.25">
      <c r="H31" s="18"/>
    </row>
  </sheetData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3C230-760D-4BE2-AA63-F9C1AFB95545}">
  <dimension ref="A1:H31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435</v>
      </c>
    </row>
    <row r="3" spans="1:8" ht="21" x14ac:dyDescent="0.35">
      <c r="A3" s="2" t="s">
        <v>1</v>
      </c>
      <c r="D3" s="11">
        <v>36890</v>
      </c>
      <c r="F3" s="12" t="s">
        <v>3</v>
      </c>
      <c r="H3" s="11">
        <v>5890</v>
      </c>
    </row>
    <row r="4" spans="1:8" x14ac:dyDescent="0.25">
      <c r="A4" s="13" t="s">
        <v>29</v>
      </c>
      <c r="C4" s="28">
        <v>540</v>
      </c>
    </row>
    <row r="5" spans="1:8" ht="21" x14ac:dyDescent="0.35">
      <c r="A5" s="2" t="s">
        <v>2</v>
      </c>
    </row>
    <row r="7" spans="1:8" ht="18.75" x14ac:dyDescent="0.3">
      <c r="A7" s="5" t="s">
        <v>167</v>
      </c>
      <c r="D7" s="4">
        <v>27707</v>
      </c>
      <c r="E7" s="27"/>
      <c r="H7" s="4">
        <v>4424</v>
      </c>
    </row>
    <row r="8" spans="1:8" ht="18.75" x14ac:dyDescent="0.3">
      <c r="A8" s="5"/>
      <c r="D8" s="4"/>
      <c r="E8" s="27"/>
      <c r="H8" s="4"/>
    </row>
    <row r="9" spans="1:8" ht="18.75" x14ac:dyDescent="0.3">
      <c r="A9" s="5"/>
      <c r="D9" s="4"/>
      <c r="E9" s="27"/>
      <c r="H9" s="4"/>
    </row>
    <row r="10" spans="1:8" ht="18.75" x14ac:dyDescent="0.3">
      <c r="A10" s="5"/>
      <c r="D10" s="4"/>
      <c r="E10" s="27"/>
      <c r="H10" s="4"/>
    </row>
    <row r="11" spans="1:8" ht="18.75" x14ac:dyDescent="0.3">
      <c r="A11" s="5"/>
      <c r="D11" s="30"/>
      <c r="E11" s="27"/>
      <c r="H11" s="30"/>
    </row>
    <row r="12" spans="1:8" ht="19.5" thickBot="1" x14ac:dyDescent="0.35">
      <c r="A12" s="5"/>
      <c r="D12" s="23"/>
      <c r="E12" s="27"/>
      <c r="H12" s="23"/>
    </row>
    <row r="13" spans="1:8" ht="18.75" x14ac:dyDescent="0.3">
      <c r="D13" s="4">
        <f>SUM(D7:D12)</f>
        <v>27707</v>
      </c>
      <c r="H13" s="33">
        <f>SUM(H7:H12)</f>
        <v>4424</v>
      </c>
    </row>
    <row r="14" spans="1:8" ht="18.75" x14ac:dyDescent="0.3">
      <c r="A14" s="5"/>
      <c r="C14" s="3"/>
      <c r="D14" s="4"/>
      <c r="H14" s="4"/>
    </row>
    <row r="15" spans="1:8" ht="15.75" thickBot="1" x14ac:dyDescent="0.3">
      <c r="D15" s="7"/>
      <c r="H15" s="7"/>
    </row>
    <row r="17" spans="1:8" ht="18.75" x14ac:dyDescent="0.3">
      <c r="C17" t="s">
        <v>4</v>
      </c>
      <c r="D17" s="4">
        <f>D3-D13</f>
        <v>9183</v>
      </c>
      <c r="G17" t="s">
        <v>5</v>
      </c>
      <c r="H17" s="4">
        <f>H3-H13</f>
        <v>1466</v>
      </c>
    </row>
    <row r="20" spans="1:8" ht="15.75" x14ac:dyDescent="0.25">
      <c r="A20" t="s">
        <v>6</v>
      </c>
      <c r="C20" s="8">
        <f>D17</f>
        <v>9183</v>
      </c>
      <c r="E20" t="s">
        <v>10</v>
      </c>
      <c r="H20" s="6">
        <f>C29</f>
        <v>7569.44</v>
      </c>
    </row>
    <row r="22" spans="1:8" ht="15.75" x14ac:dyDescent="0.25">
      <c r="A22" t="s">
        <v>5</v>
      </c>
      <c r="B22" s="9" t="s">
        <v>7</v>
      </c>
      <c r="C22" s="8">
        <f>H17</f>
        <v>1466</v>
      </c>
      <c r="E22" s="13" t="s">
        <v>11</v>
      </c>
      <c r="F22" s="9" t="s">
        <v>12</v>
      </c>
      <c r="G22" s="15" t="s">
        <v>17</v>
      </c>
      <c r="H22" s="3">
        <f>-(F23*0.007)</f>
        <v>-217</v>
      </c>
    </row>
    <row r="23" spans="1:8" x14ac:dyDescent="0.25">
      <c r="F23" s="21">
        <f>D3-H3</f>
        <v>31000</v>
      </c>
    </row>
    <row r="24" spans="1:8" ht="16.5" thickBot="1" x14ac:dyDescent="0.3">
      <c r="A24" t="s">
        <v>8</v>
      </c>
      <c r="B24" s="9" t="s">
        <v>7</v>
      </c>
      <c r="C24" s="8">
        <f>D3*0.004</f>
        <v>147.56</v>
      </c>
      <c r="F24" s="9" t="s">
        <v>13</v>
      </c>
      <c r="G24" s="16">
        <v>0.35</v>
      </c>
      <c r="H24" s="17">
        <f>-(F25*0.35)</f>
        <v>-2649.3039999999996</v>
      </c>
    </row>
    <row r="25" spans="1:8" x14ac:dyDescent="0.25">
      <c r="F25" s="21">
        <f>H20</f>
        <v>7569.44</v>
      </c>
    </row>
    <row r="26" spans="1:8" ht="15.75" x14ac:dyDescent="0.25">
      <c r="A26" t="s">
        <v>9</v>
      </c>
      <c r="B26" s="9" t="s">
        <v>7</v>
      </c>
      <c r="C26" s="10"/>
      <c r="G26" s="13" t="s">
        <v>14</v>
      </c>
      <c r="H26" s="6">
        <f>H20+H22+H24</f>
        <v>4703.1360000000004</v>
      </c>
    </row>
    <row r="27" spans="1:8" ht="15.75" thickBot="1" x14ac:dyDescent="0.3">
      <c r="A27" s="16"/>
      <c r="B27" s="14"/>
      <c r="C27" s="7"/>
    </row>
    <row r="28" spans="1:8" x14ac:dyDescent="0.25">
      <c r="E28" t="s">
        <v>100</v>
      </c>
      <c r="H28" s="20">
        <f>H26*0.4</f>
        <v>1881.2544000000003</v>
      </c>
    </row>
    <row r="29" spans="1:8" ht="15.75" x14ac:dyDescent="0.25">
      <c r="A29" t="s">
        <v>10</v>
      </c>
      <c r="C29" s="10">
        <f>C20-C22-C24-C26</f>
        <v>7569.44</v>
      </c>
      <c r="H29" s="18"/>
    </row>
    <row r="30" spans="1:8" x14ac:dyDescent="0.25">
      <c r="H30" s="3"/>
    </row>
    <row r="31" spans="1:8" x14ac:dyDescent="0.25">
      <c r="H31" s="18"/>
    </row>
  </sheetData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11E5D-108F-4D0E-987A-5110E01A97A3}">
  <dimension ref="A1:H31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432</v>
      </c>
    </row>
    <row r="3" spans="1:8" ht="21" x14ac:dyDescent="0.35">
      <c r="A3" s="2" t="s">
        <v>1</v>
      </c>
      <c r="D3" s="11">
        <v>571557</v>
      </c>
      <c r="F3" s="12" t="s">
        <v>3</v>
      </c>
      <c r="H3" s="11">
        <v>91257</v>
      </c>
    </row>
    <row r="4" spans="1:8" x14ac:dyDescent="0.25">
      <c r="A4" s="13" t="s">
        <v>29</v>
      </c>
      <c r="C4" s="28">
        <v>541</v>
      </c>
    </row>
    <row r="5" spans="1:8" ht="21" x14ac:dyDescent="0.35">
      <c r="A5" s="2" t="s">
        <v>2</v>
      </c>
    </row>
    <row r="7" spans="1:8" ht="18.75" x14ac:dyDescent="0.3">
      <c r="A7" s="5" t="s">
        <v>167</v>
      </c>
      <c r="D7" s="4">
        <v>417695</v>
      </c>
      <c r="E7" s="27"/>
      <c r="H7" s="4">
        <v>66691</v>
      </c>
    </row>
    <row r="8" spans="1:8" ht="18.75" x14ac:dyDescent="0.3">
      <c r="A8" s="5"/>
      <c r="D8" s="4"/>
      <c r="E8" s="27"/>
      <c r="H8" s="4"/>
    </row>
    <row r="9" spans="1:8" ht="18.75" x14ac:dyDescent="0.3">
      <c r="A9" s="5"/>
      <c r="D9" s="4"/>
      <c r="E9" s="27"/>
      <c r="H9" s="4"/>
    </row>
    <row r="10" spans="1:8" ht="18.75" x14ac:dyDescent="0.3">
      <c r="A10" s="5"/>
      <c r="D10" s="4"/>
      <c r="E10" s="27"/>
      <c r="H10" s="4"/>
    </row>
    <row r="11" spans="1:8" ht="18.75" x14ac:dyDescent="0.3">
      <c r="A11" s="5"/>
      <c r="D11" s="30"/>
      <c r="E11" s="27"/>
      <c r="H11" s="30"/>
    </row>
    <row r="12" spans="1:8" ht="19.5" thickBot="1" x14ac:dyDescent="0.35">
      <c r="A12" s="5"/>
      <c r="D12" s="23"/>
      <c r="E12" s="27"/>
      <c r="H12" s="23"/>
    </row>
    <row r="13" spans="1:8" ht="18.75" x14ac:dyDescent="0.3">
      <c r="D13" s="4">
        <f>SUM(D7:D12)</f>
        <v>417695</v>
      </c>
      <c r="H13" s="33">
        <f>SUM(H7:H12)</f>
        <v>66691</v>
      </c>
    </row>
    <row r="14" spans="1:8" ht="18.75" x14ac:dyDescent="0.3">
      <c r="A14" s="5"/>
      <c r="C14" s="3"/>
      <c r="D14" s="4"/>
      <c r="H14" s="4"/>
    </row>
    <row r="15" spans="1:8" ht="15.75" thickBot="1" x14ac:dyDescent="0.3">
      <c r="D15" s="7"/>
      <c r="H15" s="7"/>
    </row>
    <row r="17" spans="1:8" ht="18.75" x14ac:dyDescent="0.3">
      <c r="C17" t="s">
        <v>4</v>
      </c>
      <c r="D17" s="4">
        <f>D3-D13</f>
        <v>153862</v>
      </c>
      <c r="G17" t="s">
        <v>5</v>
      </c>
      <c r="H17" s="4">
        <f>H3-H13</f>
        <v>24566</v>
      </c>
    </row>
    <row r="20" spans="1:8" ht="15.75" x14ac:dyDescent="0.25">
      <c r="A20" t="s">
        <v>6</v>
      </c>
      <c r="C20" s="8">
        <f>D17</f>
        <v>153862</v>
      </c>
      <c r="E20" t="s">
        <v>10</v>
      </c>
      <c r="H20" s="6">
        <f>C29</f>
        <v>127009.772</v>
      </c>
    </row>
    <row r="22" spans="1:8" ht="15.75" x14ac:dyDescent="0.25">
      <c r="A22" t="s">
        <v>5</v>
      </c>
      <c r="B22" s="9" t="s">
        <v>7</v>
      </c>
      <c r="C22" s="8">
        <f>H17</f>
        <v>24566</v>
      </c>
      <c r="E22" s="13" t="s">
        <v>11</v>
      </c>
      <c r="F22" s="9" t="s">
        <v>12</v>
      </c>
      <c r="G22" s="15" t="s">
        <v>17</v>
      </c>
      <c r="H22" s="3">
        <f>-(F23*0.007)</f>
        <v>-3362.1</v>
      </c>
    </row>
    <row r="23" spans="1:8" x14ac:dyDescent="0.25">
      <c r="F23" s="21">
        <f>D3-H3</f>
        <v>480300</v>
      </c>
    </row>
    <row r="24" spans="1:8" ht="16.5" thickBot="1" x14ac:dyDescent="0.3">
      <c r="A24" t="s">
        <v>8</v>
      </c>
      <c r="B24" s="9" t="s">
        <v>7</v>
      </c>
      <c r="C24" s="8">
        <f>D3*0.004</f>
        <v>2286.2280000000001</v>
      </c>
      <c r="F24" s="9" t="s">
        <v>13</v>
      </c>
      <c r="G24" s="16">
        <v>0.35</v>
      </c>
      <c r="H24" s="17">
        <f>-(F25*0.35)</f>
        <v>-44453.420199999993</v>
      </c>
    </row>
    <row r="25" spans="1:8" x14ac:dyDescent="0.25">
      <c r="F25" s="21">
        <f>H20</f>
        <v>127009.772</v>
      </c>
    </row>
    <row r="26" spans="1:8" ht="15.75" x14ac:dyDescent="0.25">
      <c r="A26" t="s">
        <v>9</v>
      </c>
      <c r="B26" s="9" t="s">
        <v>7</v>
      </c>
      <c r="C26" s="10"/>
      <c r="G26" s="13" t="s">
        <v>14</v>
      </c>
      <c r="H26" s="6">
        <f>H20+H22+H24</f>
        <v>79194.251799999998</v>
      </c>
    </row>
    <row r="27" spans="1:8" ht="15.75" thickBot="1" x14ac:dyDescent="0.3">
      <c r="A27" s="16"/>
      <c r="B27" s="14"/>
      <c r="C27" s="7"/>
    </row>
    <row r="28" spans="1:8" x14ac:dyDescent="0.25">
      <c r="E28" t="s">
        <v>100</v>
      </c>
      <c r="H28" s="20">
        <f>H26*0.4</f>
        <v>31677.700720000001</v>
      </c>
    </row>
    <row r="29" spans="1:8" ht="15.75" x14ac:dyDescent="0.25">
      <c r="A29" t="s">
        <v>10</v>
      </c>
      <c r="C29" s="10">
        <f>C20-C22-C24-C26</f>
        <v>127009.772</v>
      </c>
      <c r="H29" s="18"/>
    </row>
    <row r="30" spans="1:8" x14ac:dyDescent="0.25">
      <c r="H30" s="3"/>
    </row>
    <row r="31" spans="1:8" x14ac:dyDescent="0.25">
      <c r="H31" s="18"/>
    </row>
  </sheetData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95A6A-1404-4D8F-BC84-FCCC82F96CAD}">
  <dimension ref="A1:H31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436</v>
      </c>
    </row>
    <row r="3" spans="1:8" ht="21" x14ac:dyDescent="0.35">
      <c r="A3" s="2" t="s">
        <v>1</v>
      </c>
      <c r="D3" s="11">
        <v>1499400</v>
      </c>
      <c r="F3" s="12" t="s">
        <v>3</v>
      </c>
      <c r="H3" s="11">
        <v>239400</v>
      </c>
    </row>
    <row r="4" spans="1:8" x14ac:dyDescent="0.25">
      <c r="A4" s="13" t="s">
        <v>29</v>
      </c>
      <c r="C4" s="28">
        <v>542</v>
      </c>
    </row>
    <row r="5" spans="1:8" ht="21" x14ac:dyDescent="0.35">
      <c r="A5" s="2" t="s">
        <v>2</v>
      </c>
    </row>
    <row r="7" spans="1:8" ht="18.75" x14ac:dyDescent="0.3">
      <c r="A7" s="5" t="s">
        <v>437</v>
      </c>
      <c r="D7" s="4">
        <v>1185419</v>
      </c>
      <c r="E7" s="27"/>
      <c r="H7" s="4">
        <v>189269</v>
      </c>
    </row>
    <row r="8" spans="1:8" ht="18.75" x14ac:dyDescent="0.3">
      <c r="A8" s="5" t="s">
        <v>438</v>
      </c>
      <c r="D8" s="4">
        <v>94010</v>
      </c>
      <c r="E8" s="27"/>
      <c r="H8" s="4">
        <v>15010</v>
      </c>
    </row>
    <row r="9" spans="1:8" ht="18.75" x14ac:dyDescent="0.3">
      <c r="A9" s="5" t="s">
        <v>92</v>
      </c>
      <c r="D9" s="4">
        <v>40000</v>
      </c>
      <c r="E9" s="27"/>
      <c r="H9" s="4"/>
    </row>
    <row r="10" spans="1:8" ht="18.75" x14ac:dyDescent="0.3">
      <c r="A10" s="5"/>
      <c r="D10" s="4"/>
      <c r="E10" s="27"/>
      <c r="H10" s="4"/>
    </row>
    <row r="11" spans="1:8" ht="18.75" x14ac:dyDescent="0.3">
      <c r="A11" s="5"/>
      <c r="D11" s="30"/>
      <c r="E11" s="27"/>
      <c r="H11" s="30"/>
    </row>
    <row r="12" spans="1:8" ht="19.5" thickBot="1" x14ac:dyDescent="0.35">
      <c r="A12" s="5"/>
      <c r="D12" s="23"/>
      <c r="E12" s="27"/>
      <c r="H12" s="23"/>
    </row>
    <row r="13" spans="1:8" ht="18.75" x14ac:dyDescent="0.3">
      <c r="D13" s="4">
        <f>SUM(D7:D12)</f>
        <v>1319429</v>
      </c>
      <c r="H13" s="33">
        <f>SUM(H7:H12)</f>
        <v>204279</v>
      </c>
    </row>
    <row r="14" spans="1:8" ht="18.75" x14ac:dyDescent="0.3">
      <c r="A14" s="5"/>
      <c r="C14" s="3"/>
      <c r="D14" s="4"/>
      <c r="H14" s="4"/>
    </row>
    <row r="15" spans="1:8" ht="15.75" thickBot="1" x14ac:dyDescent="0.3">
      <c r="D15" s="7"/>
      <c r="H15" s="7"/>
    </row>
    <row r="17" spans="1:8" ht="18.75" x14ac:dyDescent="0.3">
      <c r="C17" t="s">
        <v>4</v>
      </c>
      <c r="D17" s="4">
        <f>D3-D13</f>
        <v>179971</v>
      </c>
      <c r="G17" t="s">
        <v>5</v>
      </c>
      <c r="H17" s="4">
        <f>H3-H13</f>
        <v>35121</v>
      </c>
    </row>
    <row r="20" spans="1:8" ht="15.75" x14ac:dyDescent="0.25">
      <c r="A20" t="s">
        <v>6</v>
      </c>
      <c r="C20" s="8">
        <f>D17</f>
        <v>179971</v>
      </c>
      <c r="E20" t="s">
        <v>10</v>
      </c>
      <c r="H20" s="6">
        <f>C29</f>
        <v>138852.4</v>
      </c>
    </row>
    <row r="22" spans="1:8" ht="15.75" x14ac:dyDescent="0.25">
      <c r="A22" t="s">
        <v>5</v>
      </c>
      <c r="B22" s="9" t="s">
        <v>7</v>
      </c>
      <c r="C22" s="8">
        <f>H17</f>
        <v>35121</v>
      </c>
      <c r="E22" s="13" t="s">
        <v>11</v>
      </c>
      <c r="F22" s="9" t="s">
        <v>12</v>
      </c>
      <c r="G22" s="15" t="s">
        <v>17</v>
      </c>
      <c r="H22" s="3">
        <f>-(F23*0.007)</f>
        <v>-8820</v>
      </c>
    </row>
    <row r="23" spans="1:8" x14ac:dyDescent="0.25">
      <c r="F23" s="21">
        <f>D3-H3</f>
        <v>1260000</v>
      </c>
    </row>
    <row r="24" spans="1:8" ht="16.5" thickBot="1" x14ac:dyDescent="0.3">
      <c r="A24" t="s">
        <v>8</v>
      </c>
      <c r="B24" s="9" t="s">
        <v>7</v>
      </c>
      <c r="C24" s="8">
        <f>D3*0.004</f>
        <v>5997.6</v>
      </c>
      <c r="F24" s="9" t="s">
        <v>13</v>
      </c>
      <c r="G24" s="16">
        <v>0.35</v>
      </c>
      <c r="H24" s="17">
        <f>-(F25*0.35)</f>
        <v>-48598.34</v>
      </c>
    </row>
    <row r="25" spans="1:8" x14ac:dyDescent="0.25">
      <c r="F25" s="21">
        <f>H20</f>
        <v>138852.4</v>
      </c>
    </row>
    <row r="26" spans="1:8" ht="15.75" x14ac:dyDescent="0.25">
      <c r="A26" t="s">
        <v>9</v>
      </c>
      <c r="B26" s="9" t="s">
        <v>7</v>
      </c>
      <c r="C26" s="10"/>
      <c r="G26" s="13" t="s">
        <v>14</v>
      </c>
      <c r="H26" s="6">
        <f>H20+H22+H24</f>
        <v>81434.06</v>
      </c>
    </row>
    <row r="27" spans="1:8" ht="15.75" thickBot="1" x14ac:dyDescent="0.3">
      <c r="A27" s="16"/>
      <c r="B27" s="14"/>
      <c r="C27" s="7"/>
    </row>
    <row r="28" spans="1:8" x14ac:dyDescent="0.25">
      <c r="E28" t="s">
        <v>100</v>
      </c>
      <c r="H28" s="20">
        <f>H26*0.4</f>
        <v>32573.624</v>
      </c>
    </row>
    <row r="29" spans="1:8" ht="15.75" x14ac:dyDescent="0.25">
      <c r="A29" t="s">
        <v>10</v>
      </c>
      <c r="C29" s="10">
        <f>C20-C22-C24-C26</f>
        <v>138852.4</v>
      </c>
      <c r="H29" s="18"/>
    </row>
    <row r="30" spans="1:8" x14ac:dyDescent="0.25">
      <c r="H30" s="3"/>
    </row>
    <row r="31" spans="1:8" x14ac:dyDescent="0.25">
      <c r="H31" s="18"/>
    </row>
  </sheetData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59C91-8AB3-41E3-8280-AAAFD0C92A8D}">
  <dimension ref="A1:H31"/>
  <sheetViews>
    <sheetView topLeftCell="A10" workbookViewId="0">
      <selection activeCell="E25" sqref="E25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439</v>
      </c>
    </row>
    <row r="3" spans="1:8" ht="21" x14ac:dyDescent="0.35">
      <c r="A3" s="2" t="s">
        <v>1</v>
      </c>
      <c r="D3" s="11">
        <v>66473</v>
      </c>
      <c r="F3" s="12" t="s">
        <v>3</v>
      </c>
      <c r="H3" s="11">
        <v>10613</v>
      </c>
    </row>
    <row r="4" spans="1:8" x14ac:dyDescent="0.25">
      <c r="A4" s="13" t="s">
        <v>29</v>
      </c>
      <c r="C4" s="28">
        <v>544</v>
      </c>
    </row>
    <row r="5" spans="1:8" ht="21" x14ac:dyDescent="0.35">
      <c r="A5" s="2" t="s">
        <v>2</v>
      </c>
    </row>
    <row r="7" spans="1:8" ht="18.75" x14ac:dyDescent="0.3">
      <c r="A7" s="5" t="s">
        <v>440</v>
      </c>
      <c r="D7" s="4">
        <v>32500</v>
      </c>
      <c r="E7" s="27"/>
      <c r="H7" s="4"/>
    </row>
    <row r="8" spans="1:8" ht="18.75" x14ac:dyDescent="0.3">
      <c r="A8" s="5" t="s">
        <v>441</v>
      </c>
      <c r="D8" s="4">
        <v>13000</v>
      </c>
      <c r="E8" s="27"/>
      <c r="H8" s="4"/>
    </row>
    <row r="9" spans="1:8" ht="18.75" x14ac:dyDescent="0.3">
      <c r="A9" s="5"/>
      <c r="D9" s="4"/>
      <c r="E9" s="27"/>
      <c r="H9" s="4"/>
    </row>
    <row r="10" spans="1:8" ht="18.75" x14ac:dyDescent="0.3">
      <c r="A10" s="5"/>
      <c r="D10" s="4"/>
      <c r="E10" s="27"/>
      <c r="H10" s="4"/>
    </row>
    <row r="11" spans="1:8" ht="18.75" x14ac:dyDescent="0.3">
      <c r="A11" s="5"/>
      <c r="D11" s="30"/>
      <c r="E11" s="27"/>
      <c r="H11" s="30"/>
    </row>
    <row r="12" spans="1:8" ht="19.5" thickBot="1" x14ac:dyDescent="0.35">
      <c r="A12" s="5"/>
      <c r="D12" s="23"/>
      <c r="E12" s="27"/>
      <c r="H12" s="23"/>
    </row>
    <row r="13" spans="1:8" ht="18.75" x14ac:dyDescent="0.3">
      <c r="D13" s="4">
        <f>SUM(D7:D12)</f>
        <v>45500</v>
      </c>
      <c r="H13" s="33">
        <f>SUM(H7:H12)</f>
        <v>0</v>
      </c>
    </row>
    <row r="14" spans="1:8" ht="18.75" x14ac:dyDescent="0.3">
      <c r="A14" s="5"/>
      <c r="C14" s="3"/>
      <c r="D14" s="4"/>
      <c r="H14" s="4"/>
    </row>
    <row r="15" spans="1:8" ht="15.75" thickBot="1" x14ac:dyDescent="0.3">
      <c r="D15" s="7"/>
      <c r="H15" s="7"/>
    </row>
    <row r="17" spans="1:8" ht="18.75" x14ac:dyDescent="0.3">
      <c r="C17" t="s">
        <v>4</v>
      </c>
      <c r="D17" s="4">
        <f>D3-D13</f>
        <v>20973</v>
      </c>
      <c r="G17" t="s">
        <v>5</v>
      </c>
      <c r="H17" s="4">
        <f>H3-H13</f>
        <v>10613</v>
      </c>
    </row>
    <row r="20" spans="1:8" ht="15.75" x14ac:dyDescent="0.25">
      <c r="A20" t="s">
        <v>6</v>
      </c>
      <c r="C20" s="8">
        <f>D17</f>
        <v>20973</v>
      </c>
      <c r="E20" t="s">
        <v>10</v>
      </c>
      <c r="H20" s="6">
        <f>C29</f>
        <v>10094.108</v>
      </c>
    </row>
    <row r="22" spans="1:8" ht="15.75" x14ac:dyDescent="0.25">
      <c r="A22" t="s">
        <v>5</v>
      </c>
      <c r="B22" s="9" t="s">
        <v>7</v>
      </c>
      <c r="C22" s="8">
        <f>H17</f>
        <v>10613</v>
      </c>
      <c r="E22" s="13" t="s">
        <v>11</v>
      </c>
      <c r="F22" s="9" t="s">
        <v>12</v>
      </c>
      <c r="G22" s="15" t="s">
        <v>17</v>
      </c>
      <c r="H22" s="3">
        <f>-(F23*0.0077)</f>
        <v>-430.12200000000001</v>
      </c>
    </row>
    <row r="23" spans="1:8" x14ac:dyDescent="0.25">
      <c r="F23" s="21">
        <f>D3-H3</f>
        <v>55860</v>
      </c>
    </row>
    <row r="24" spans="1:8" ht="16.5" thickBot="1" x14ac:dyDescent="0.3">
      <c r="A24" t="s">
        <v>8</v>
      </c>
      <c r="B24" s="9" t="s">
        <v>7</v>
      </c>
      <c r="C24" s="8">
        <f>D3*0.004</f>
        <v>265.892</v>
      </c>
      <c r="F24" s="9" t="s">
        <v>13</v>
      </c>
      <c r="G24" s="16">
        <v>0.35</v>
      </c>
      <c r="H24" s="17">
        <f>-(F25*0.35)</f>
        <v>-3532.9377999999997</v>
      </c>
    </row>
    <row r="25" spans="1:8" x14ac:dyDescent="0.25">
      <c r="F25" s="21">
        <f>H20</f>
        <v>10094.108</v>
      </c>
    </row>
    <row r="26" spans="1:8" ht="15.75" x14ac:dyDescent="0.25">
      <c r="A26" t="s">
        <v>9</v>
      </c>
      <c r="B26" s="9" t="s">
        <v>7</v>
      </c>
      <c r="C26" s="10"/>
      <c r="G26" s="13" t="s">
        <v>14</v>
      </c>
      <c r="H26" s="6">
        <f>H20+H22+H24</f>
        <v>6131.0482000000011</v>
      </c>
    </row>
    <row r="27" spans="1:8" ht="15.75" thickBot="1" x14ac:dyDescent="0.3">
      <c r="A27" s="16"/>
      <c r="B27" s="14"/>
      <c r="C27" s="7"/>
    </row>
    <row r="28" spans="1:8" x14ac:dyDescent="0.25">
      <c r="E28" t="s">
        <v>100</v>
      </c>
      <c r="H28" s="20">
        <f>H26*0.4</f>
        <v>2452.4192800000005</v>
      </c>
    </row>
    <row r="29" spans="1:8" ht="15.75" x14ac:dyDescent="0.25">
      <c r="A29" t="s">
        <v>10</v>
      </c>
      <c r="C29" s="10">
        <f>C20-C22-C24-C26</f>
        <v>10094.108</v>
      </c>
      <c r="H29" s="18"/>
    </row>
    <row r="30" spans="1:8" x14ac:dyDescent="0.25">
      <c r="H30" s="3"/>
    </row>
    <row r="31" spans="1:8" x14ac:dyDescent="0.25">
      <c r="H31" s="18"/>
    </row>
  </sheetData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9E693-2FF0-4330-9F24-6B3E4BD22F73}">
  <dimension ref="A1:H31"/>
  <sheetViews>
    <sheetView topLeftCell="A7" workbookViewId="0">
      <selection activeCell="E24" sqref="E24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442</v>
      </c>
    </row>
    <row r="3" spans="1:8" ht="21" x14ac:dyDescent="0.35">
      <c r="A3" s="2" t="s">
        <v>1</v>
      </c>
      <c r="D3" s="11">
        <v>17136</v>
      </c>
      <c r="F3" s="12" t="s">
        <v>3</v>
      </c>
      <c r="H3" s="11">
        <v>2736</v>
      </c>
    </row>
    <row r="4" spans="1:8" x14ac:dyDescent="0.25">
      <c r="A4" s="13" t="s">
        <v>29</v>
      </c>
      <c r="C4" s="28">
        <v>545</v>
      </c>
    </row>
    <row r="5" spans="1:8" ht="21" x14ac:dyDescent="0.35">
      <c r="A5" s="2" t="s">
        <v>2</v>
      </c>
    </row>
    <row r="7" spans="1:8" ht="18.75" x14ac:dyDescent="0.3">
      <c r="A7" s="5" t="s">
        <v>310</v>
      </c>
      <c r="D7" s="4">
        <v>10602</v>
      </c>
      <c r="E7" s="27"/>
      <c r="H7" s="4">
        <v>1692</v>
      </c>
    </row>
    <row r="8" spans="1:8" ht="18.75" x14ac:dyDescent="0.3">
      <c r="A8" s="5"/>
      <c r="D8" s="4"/>
      <c r="E8" s="27"/>
      <c r="H8" s="4"/>
    </row>
    <row r="9" spans="1:8" ht="18.75" x14ac:dyDescent="0.3">
      <c r="A9" s="5"/>
      <c r="D9" s="4"/>
      <c r="E9" s="27"/>
      <c r="H9" s="4"/>
    </row>
    <row r="10" spans="1:8" ht="18.75" x14ac:dyDescent="0.3">
      <c r="A10" s="5"/>
      <c r="D10" s="4"/>
      <c r="E10" s="27"/>
      <c r="H10" s="4"/>
    </row>
    <row r="11" spans="1:8" ht="18.75" x14ac:dyDescent="0.3">
      <c r="A11" s="5"/>
      <c r="D11" s="30"/>
      <c r="E11" s="27"/>
      <c r="H11" s="30"/>
    </row>
    <row r="12" spans="1:8" ht="19.5" thickBot="1" x14ac:dyDescent="0.35">
      <c r="A12" s="5"/>
      <c r="D12" s="23"/>
      <c r="E12" s="27"/>
      <c r="H12" s="23"/>
    </row>
    <row r="13" spans="1:8" ht="18.75" x14ac:dyDescent="0.3">
      <c r="D13" s="4">
        <f>SUM(D7:D12)</f>
        <v>10602</v>
      </c>
      <c r="H13" s="33">
        <f>SUM(H7:H12)</f>
        <v>1692</v>
      </c>
    </row>
    <row r="14" spans="1:8" ht="18.75" x14ac:dyDescent="0.3">
      <c r="A14" s="5"/>
      <c r="C14" s="3"/>
      <c r="D14" s="4"/>
      <c r="H14" s="4"/>
    </row>
    <row r="15" spans="1:8" ht="15.75" thickBot="1" x14ac:dyDescent="0.3">
      <c r="D15" s="7"/>
      <c r="H15" s="7"/>
    </row>
    <row r="17" spans="1:8" ht="18.75" x14ac:dyDescent="0.3">
      <c r="C17" t="s">
        <v>4</v>
      </c>
      <c r="D17" s="4">
        <f>D3-D13</f>
        <v>6534</v>
      </c>
      <c r="G17" t="s">
        <v>5</v>
      </c>
      <c r="H17" s="4">
        <f>H3-H13</f>
        <v>1044</v>
      </c>
    </row>
    <row r="20" spans="1:8" ht="15.75" x14ac:dyDescent="0.25">
      <c r="A20" t="s">
        <v>6</v>
      </c>
      <c r="C20" s="8">
        <f>D17</f>
        <v>6534</v>
      </c>
      <c r="E20" t="s">
        <v>10</v>
      </c>
      <c r="H20" s="6">
        <f>C29</f>
        <v>5421.4560000000001</v>
      </c>
    </row>
    <row r="22" spans="1:8" ht="15.75" x14ac:dyDescent="0.25">
      <c r="A22" t="s">
        <v>5</v>
      </c>
      <c r="B22" s="9" t="s">
        <v>7</v>
      </c>
      <c r="C22" s="8">
        <f>H17</f>
        <v>1044</v>
      </c>
      <c r="E22" s="13" t="s">
        <v>11</v>
      </c>
      <c r="F22" s="9" t="s">
        <v>12</v>
      </c>
      <c r="G22" s="15" t="s">
        <v>17</v>
      </c>
      <c r="H22" s="3">
        <f>-(F23*0.0077)</f>
        <v>-110.88000000000001</v>
      </c>
    </row>
    <row r="23" spans="1:8" x14ac:dyDescent="0.25">
      <c r="F23" s="21">
        <f>D3-H3</f>
        <v>14400</v>
      </c>
    </row>
    <row r="24" spans="1:8" ht="16.5" thickBot="1" x14ac:dyDescent="0.3">
      <c r="A24" t="s">
        <v>8</v>
      </c>
      <c r="B24" s="9" t="s">
        <v>7</v>
      </c>
      <c r="C24" s="8">
        <f>D3*0.004</f>
        <v>68.543999999999997</v>
      </c>
      <c r="F24" s="9" t="s">
        <v>13</v>
      </c>
      <c r="G24" s="16">
        <v>0.35</v>
      </c>
      <c r="H24" s="17">
        <f>-(F25*0.35)</f>
        <v>-1897.5095999999999</v>
      </c>
    </row>
    <row r="25" spans="1:8" x14ac:dyDescent="0.25">
      <c r="F25" s="21">
        <f>H20</f>
        <v>5421.4560000000001</v>
      </c>
    </row>
    <row r="26" spans="1:8" ht="15.75" x14ac:dyDescent="0.25">
      <c r="A26" t="s">
        <v>9</v>
      </c>
      <c r="B26" s="9" t="s">
        <v>7</v>
      </c>
      <c r="C26" s="10"/>
      <c r="G26" s="13" t="s">
        <v>14</v>
      </c>
      <c r="H26" s="6">
        <f>H20+H22+H24</f>
        <v>3413.0664000000002</v>
      </c>
    </row>
    <row r="27" spans="1:8" ht="15.75" thickBot="1" x14ac:dyDescent="0.3">
      <c r="A27" s="16"/>
      <c r="B27" s="14"/>
      <c r="C27" s="7"/>
    </row>
    <row r="28" spans="1:8" x14ac:dyDescent="0.25">
      <c r="E28" t="s">
        <v>100</v>
      </c>
      <c r="H28" s="20">
        <f>H26*0.4</f>
        <v>1365.2265600000001</v>
      </c>
    </row>
    <row r="29" spans="1:8" ht="15.75" x14ac:dyDescent="0.25">
      <c r="A29" t="s">
        <v>10</v>
      </c>
      <c r="C29" s="10">
        <f>C20-C22-C24-C26</f>
        <v>5421.4560000000001</v>
      </c>
      <c r="H29" s="18"/>
    </row>
    <row r="30" spans="1:8" x14ac:dyDescent="0.25">
      <c r="H30" s="3"/>
    </row>
    <row r="31" spans="1:8" x14ac:dyDescent="0.25">
      <c r="H31" s="18"/>
    </row>
  </sheetData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F32C2-3DF1-4C57-A237-FF04D2575385}">
  <dimension ref="A1:H31"/>
  <sheetViews>
    <sheetView topLeftCell="A12" workbookViewId="0">
      <selection activeCell="H22" sqref="H22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421</v>
      </c>
    </row>
    <row r="3" spans="1:8" ht="21" x14ac:dyDescent="0.35">
      <c r="A3" s="2" t="s">
        <v>1</v>
      </c>
      <c r="D3" s="11">
        <v>20944</v>
      </c>
      <c r="F3" s="12" t="s">
        <v>3</v>
      </c>
      <c r="H3" s="11">
        <v>3344</v>
      </c>
    </row>
    <row r="4" spans="1:8" x14ac:dyDescent="0.25">
      <c r="A4" s="13" t="s">
        <v>29</v>
      </c>
      <c r="C4" s="28">
        <v>547</v>
      </c>
    </row>
    <row r="5" spans="1:8" ht="21" x14ac:dyDescent="0.35">
      <c r="A5" s="2" t="s">
        <v>2</v>
      </c>
    </row>
    <row r="7" spans="1:8" ht="18.75" x14ac:dyDescent="0.3">
      <c r="A7" s="5" t="s">
        <v>244</v>
      </c>
      <c r="D7" s="4">
        <v>10069</v>
      </c>
      <c r="E7" s="27"/>
      <c r="H7" s="4">
        <v>1729</v>
      </c>
    </row>
    <row r="8" spans="1:8" ht="18.75" x14ac:dyDescent="0.3">
      <c r="A8" s="5"/>
      <c r="D8" s="4"/>
      <c r="E8" s="27"/>
      <c r="H8" s="4"/>
    </row>
    <row r="9" spans="1:8" ht="18.75" x14ac:dyDescent="0.3">
      <c r="A9" s="5"/>
      <c r="D9" s="4"/>
      <c r="E9" s="27"/>
      <c r="H9" s="4"/>
    </row>
    <row r="10" spans="1:8" ht="18.75" x14ac:dyDescent="0.3">
      <c r="A10" s="5"/>
      <c r="D10" s="4"/>
      <c r="E10" s="27"/>
      <c r="H10" s="4"/>
    </row>
    <row r="11" spans="1:8" ht="18.75" x14ac:dyDescent="0.3">
      <c r="A11" s="5"/>
      <c r="D11" s="30"/>
      <c r="E11" s="27"/>
      <c r="H11" s="30"/>
    </row>
    <row r="12" spans="1:8" ht="19.5" thickBot="1" x14ac:dyDescent="0.35">
      <c r="A12" s="5"/>
      <c r="D12" s="23"/>
      <c r="E12" s="27"/>
      <c r="H12" s="23"/>
    </row>
    <row r="13" spans="1:8" ht="18.75" x14ac:dyDescent="0.3">
      <c r="D13" s="4">
        <f>SUM(D7:D12)</f>
        <v>10069</v>
      </c>
      <c r="H13" s="33">
        <f>SUM(H7:H12)</f>
        <v>1729</v>
      </c>
    </row>
    <row r="14" spans="1:8" ht="18.75" x14ac:dyDescent="0.3">
      <c r="A14" s="5"/>
      <c r="C14" s="3"/>
      <c r="D14" s="4"/>
      <c r="H14" s="4"/>
    </row>
    <row r="15" spans="1:8" ht="15.75" thickBot="1" x14ac:dyDescent="0.3">
      <c r="D15" s="7"/>
      <c r="H15" s="7"/>
    </row>
    <row r="17" spans="1:8" ht="18.75" x14ac:dyDescent="0.3">
      <c r="C17" t="s">
        <v>4</v>
      </c>
      <c r="D17" s="4">
        <f>D3-D13</f>
        <v>10875</v>
      </c>
      <c r="G17" t="s">
        <v>5</v>
      </c>
      <c r="H17" s="4">
        <f>H3-H13</f>
        <v>1615</v>
      </c>
    </row>
    <row r="20" spans="1:8" ht="15.75" x14ac:dyDescent="0.25">
      <c r="A20" t="s">
        <v>6</v>
      </c>
      <c r="C20" s="8">
        <f>D17</f>
        <v>10875</v>
      </c>
      <c r="E20" t="s">
        <v>10</v>
      </c>
      <c r="H20" s="6">
        <f>C29</f>
        <v>9176.2240000000002</v>
      </c>
    </row>
    <row r="22" spans="1:8" ht="15.75" x14ac:dyDescent="0.25">
      <c r="A22" t="s">
        <v>5</v>
      </c>
      <c r="B22" s="9" t="s">
        <v>7</v>
      </c>
      <c r="C22" s="8">
        <f>H17</f>
        <v>1615</v>
      </c>
      <c r="E22" s="13" t="s">
        <v>11</v>
      </c>
      <c r="F22" s="9" t="s">
        <v>12</v>
      </c>
      <c r="G22" s="15" t="s">
        <v>17</v>
      </c>
      <c r="H22" s="3">
        <f>-(F23*0.0077)</f>
        <v>-135.52000000000001</v>
      </c>
    </row>
    <row r="23" spans="1:8" x14ac:dyDescent="0.25">
      <c r="F23" s="21">
        <f>D3-H3</f>
        <v>17600</v>
      </c>
    </row>
    <row r="24" spans="1:8" ht="16.5" thickBot="1" x14ac:dyDescent="0.3">
      <c r="A24" t="s">
        <v>8</v>
      </c>
      <c r="B24" s="9" t="s">
        <v>7</v>
      </c>
      <c r="C24" s="8">
        <f>D3*0.004</f>
        <v>83.775999999999996</v>
      </c>
      <c r="F24" s="9" t="s">
        <v>13</v>
      </c>
      <c r="G24" s="16">
        <v>0.35</v>
      </c>
      <c r="H24" s="17">
        <f>-(F25*0.35)</f>
        <v>-3211.6783999999998</v>
      </c>
    </row>
    <row r="25" spans="1:8" x14ac:dyDescent="0.25">
      <c r="F25" s="21">
        <f>H20</f>
        <v>9176.2240000000002</v>
      </c>
    </row>
    <row r="26" spans="1:8" ht="15.75" x14ac:dyDescent="0.25">
      <c r="A26" t="s">
        <v>9</v>
      </c>
      <c r="B26" s="9" t="s">
        <v>7</v>
      </c>
      <c r="C26" s="10"/>
      <c r="G26" s="13" t="s">
        <v>14</v>
      </c>
      <c r="H26" s="6">
        <f>H20+H22+H24</f>
        <v>5829.0255999999999</v>
      </c>
    </row>
    <row r="27" spans="1:8" ht="15.75" thickBot="1" x14ac:dyDescent="0.3">
      <c r="A27" s="16"/>
      <c r="B27" s="14"/>
      <c r="C27" s="7"/>
    </row>
    <row r="28" spans="1:8" x14ac:dyDescent="0.25">
      <c r="E28" t="s">
        <v>100</v>
      </c>
      <c r="H28" s="20">
        <f>H26*0.4</f>
        <v>2331.61024</v>
      </c>
    </row>
    <row r="29" spans="1:8" ht="15.75" x14ac:dyDescent="0.25">
      <c r="A29" t="s">
        <v>10</v>
      </c>
      <c r="C29" s="10">
        <f>C20-C22-C24-C26</f>
        <v>9176.2240000000002</v>
      </c>
      <c r="H29" s="18"/>
    </row>
    <row r="30" spans="1:8" x14ac:dyDescent="0.25">
      <c r="H30" s="3"/>
    </row>
    <row r="31" spans="1:8" x14ac:dyDescent="0.25">
      <c r="H31" s="18"/>
    </row>
  </sheetData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CFAF3-9A3D-42A8-8EAC-2DF112AABE30}">
  <dimension ref="A1:H31"/>
  <sheetViews>
    <sheetView topLeftCell="A10" workbookViewId="0">
      <selection activeCell="H22" sqref="H22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443</v>
      </c>
    </row>
    <row r="3" spans="1:8" ht="21" x14ac:dyDescent="0.35">
      <c r="A3" s="2" t="s">
        <v>1</v>
      </c>
      <c r="D3" s="11">
        <v>416976</v>
      </c>
      <c r="F3" s="12" t="s">
        <v>3</v>
      </c>
      <c r="H3" s="11">
        <v>66576</v>
      </c>
    </row>
    <row r="4" spans="1:8" x14ac:dyDescent="0.25">
      <c r="A4" s="13" t="s">
        <v>29</v>
      </c>
      <c r="C4" s="28">
        <v>549</v>
      </c>
    </row>
    <row r="5" spans="1:8" ht="21" x14ac:dyDescent="0.35">
      <c r="A5" s="2" t="s">
        <v>2</v>
      </c>
    </row>
    <row r="7" spans="1:8" ht="18.75" x14ac:dyDescent="0.3">
      <c r="A7" s="5" t="s">
        <v>318</v>
      </c>
      <c r="D7" s="4">
        <v>27554</v>
      </c>
      <c r="E7" s="27"/>
      <c r="H7" s="4">
        <v>4400</v>
      </c>
    </row>
    <row r="8" spans="1:8" ht="18.75" x14ac:dyDescent="0.3">
      <c r="A8" s="5" t="s">
        <v>444</v>
      </c>
      <c r="D8" s="4">
        <v>44982</v>
      </c>
      <c r="E8" s="27"/>
      <c r="H8" s="4">
        <v>7182</v>
      </c>
    </row>
    <row r="9" spans="1:8" ht="18.75" x14ac:dyDescent="0.3">
      <c r="A9" s="5" t="s">
        <v>446</v>
      </c>
      <c r="D9" s="4">
        <v>145656</v>
      </c>
      <c r="E9" s="27"/>
      <c r="H9" s="4">
        <v>23256</v>
      </c>
    </row>
    <row r="10" spans="1:8" ht="18.75" x14ac:dyDescent="0.3">
      <c r="A10" s="5"/>
      <c r="D10" s="4"/>
      <c r="E10" s="27"/>
      <c r="H10" s="4"/>
    </row>
    <row r="11" spans="1:8" ht="18.75" x14ac:dyDescent="0.3">
      <c r="A11" s="5"/>
      <c r="D11" s="30"/>
      <c r="E11" s="27"/>
      <c r="H11" s="30"/>
    </row>
    <row r="12" spans="1:8" ht="19.5" thickBot="1" x14ac:dyDescent="0.35">
      <c r="A12" s="5"/>
      <c r="D12" s="23"/>
      <c r="E12" s="27"/>
      <c r="H12" s="23"/>
    </row>
    <row r="13" spans="1:8" ht="18.75" x14ac:dyDescent="0.3">
      <c r="D13" s="4">
        <f>SUM(D7:D12)</f>
        <v>218192</v>
      </c>
      <c r="H13" s="33">
        <f>SUM(H7:H12)</f>
        <v>34838</v>
      </c>
    </row>
    <row r="14" spans="1:8" ht="18.75" x14ac:dyDescent="0.3">
      <c r="A14" s="5"/>
      <c r="C14" s="3"/>
      <c r="D14" s="4"/>
      <c r="H14" s="4"/>
    </row>
    <row r="15" spans="1:8" ht="15.75" thickBot="1" x14ac:dyDescent="0.3">
      <c r="D15" s="7"/>
      <c r="H15" s="7"/>
    </row>
    <row r="17" spans="1:8" ht="18.75" x14ac:dyDescent="0.3">
      <c r="C17" t="s">
        <v>4</v>
      </c>
      <c r="D17" s="4">
        <f>D3-D13</f>
        <v>198784</v>
      </c>
      <c r="G17" t="s">
        <v>5</v>
      </c>
      <c r="H17" s="4">
        <f>H3-H13</f>
        <v>31738</v>
      </c>
    </row>
    <row r="20" spans="1:8" ht="15.75" x14ac:dyDescent="0.25">
      <c r="A20" t="s">
        <v>6</v>
      </c>
      <c r="C20" s="8">
        <f>D17</f>
        <v>198784</v>
      </c>
      <c r="E20" t="s">
        <v>10</v>
      </c>
      <c r="H20" s="6">
        <f>C29</f>
        <v>165378.09599999999</v>
      </c>
    </row>
    <row r="22" spans="1:8" ht="15.75" x14ac:dyDescent="0.25">
      <c r="A22" t="s">
        <v>5</v>
      </c>
      <c r="B22" s="9" t="s">
        <v>7</v>
      </c>
      <c r="C22" s="8">
        <f>H17</f>
        <v>31738</v>
      </c>
      <c r="E22" s="13" t="s">
        <v>11</v>
      </c>
      <c r="F22" s="9" t="s">
        <v>12</v>
      </c>
      <c r="G22" s="15" t="s">
        <v>17</v>
      </c>
      <c r="H22" s="3">
        <f>-(F23*0.007)</f>
        <v>-2452.8000000000002</v>
      </c>
    </row>
    <row r="23" spans="1:8" x14ac:dyDescent="0.25">
      <c r="F23" s="21">
        <f>D3-H3</f>
        <v>350400</v>
      </c>
    </row>
    <row r="24" spans="1:8" ht="16.5" thickBot="1" x14ac:dyDescent="0.3">
      <c r="A24" t="s">
        <v>8</v>
      </c>
      <c r="B24" s="9" t="s">
        <v>7</v>
      </c>
      <c r="C24" s="8">
        <f>D3*0.004</f>
        <v>1667.904</v>
      </c>
      <c r="F24" s="9" t="s">
        <v>13</v>
      </c>
      <c r="G24" s="16">
        <v>0.35</v>
      </c>
      <c r="H24" s="17">
        <f>-(F25*0.35)</f>
        <v>-57882.333599999991</v>
      </c>
    </row>
    <row r="25" spans="1:8" x14ac:dyDescent="0.25">
      <c r="F25" s="21">
        <f>H20</f>
        <v>165378.09599999999</v>
      </c>
    </row>
    <row r="26" spans="1:8" ht="15.75" x14ac:dyDescent="0.25">
      <c r="A26" t="s">
        <v>9</v>
      </c>
      <c r="B26" s="9" t="s">
        <v>7</v>
      </c>
      <c r="C26" s="10"/>
      <c r="G26" s="13" t="s">
        <v>14</v>
      </c>
      <c r="H26" s="6">
        <f>H20+H22+H24</f>
        <v>105042.96240000002</v>
      </c>
    </row>
    <row r="27" spans="1:8" ht="15.75" thickBot="1" x14ac:dyDescent="0.3">
      <c r="A27" s="16"/>
      <c r="B27" s="14"/>
      <c r="C27" s="7"/>
    </row>
    <row r="28" spans="1:8" x14ac:dyDescent="0.25">
      <c r="E28" t="s">
        <v>100</v>
      </c>
      <c r="H28" s="20">
        <f>H26*0.4</f>
        <v>42017.184960000013</v>
      </c>
    </row>
    <row r="29" spans="1:8" ht="15.75" x14ac:dyDescent="0.25">
      <c r="A29" t="s">
        <v>10</v>
      </c>
      <c r="C29" s="10">
        <f>C20-C22-C24-C26</f>
        <v>165378.09599999999</v>
      </c>
      <c r="H29" s="18"/>
    </row>
    <row r="30" spans="1:8" x14ac:dyDescent="0.25">
      <c r="H30" s="3"/>
    </row>
    <row r="31" spans="1:8" x14ac:dyDescent="0.25">
      <c r="H31" s="18"/>
    </row>
  </sheetData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EE7DD-40AA-4F7D-8B5C-1B24C41F55B6}">
  <dimension ref="A1:H31"/>
  <sheetViews>
    <sheetView topLeftCell="A16" workbookViewId="0">
      <selection activeCell="H22" sqref="H22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421</v>
      </c>
    </row>
    <row r="3" spans="1:8" ht="21" x14ac:dyDescent="0.35">
      <c r="A3" s="2" t="s">
        <v>1</v>
      </c>
      <c r="D3" s="11">
        <v>1740510</v>
      </c>
      <c r="F3" s="12" t="s">
        <v>3</v>
      </c>
      <c r="H3" s="11">
        <v>283860</v>
      </c>
    </row>
    <row r="4" spans="1:8" x14ac:dyDescent="0.25">
      <c r="A4" s="13" t="s">
        <v>29</v>
      </c>
      <c r="C4" s="28">
        <v>551</v>
      </c>
    </row>
    <row r="5" spans="1:8" ht="21" x14ac:dyDescent="0.35">
      <c r="A5" s="2" t="s">
        <v>2</v>
      </c>
    </row>
    <row r="7" spans="1:8" ht="18.75" x14ac:dyDescent="0.3">
      <c r="A7" s="5" t="s">
        <v>445</v>
      </c>
      <c r="D7" s="4">
        <v>704611</v>
      </c>
      <c r="E7" s="27"/>
      <c r="H7" s="4">
        <v>112501</v>
      </c>
    </row>
    <row r="8" spans="1:8" ht="18.75" x14ac:dyDescent="0.3">
      <c r="A8" s="5"/>
      <c r="D8" s="4"/>
      <c r="E8" s="27"/>
      <c r="H8" s="4"/>
    </row>
    <row r="9" spans="1:8" ht="18.75" x14ac:dyDescent="0.3">
      <c r="A9" s="5"/>
      <c r="D9" s="4"/>
      <c r="E9" s="27"/>
      <c r="H9" s="4"/>
    </row>
    <row r="10" spans="1:8" ht="18.75" x14ac:dyDescent="0.3">
      <c r="A10" s="5"/>
      <c r="D10" s="4"/>
      <c r="E10" s="27"/>
      <c r="H10" s="4"/>
    </row>
    <row r="11" spans="1:8" ht="18.75" x14ac:dyDescent="0.3">
      <c r="A11" s="5"/>
      <c r="D11" s="30"/>
      <c r="E11" s="27"/>
      <c r="H11" s="30"/>
    </row>
    <row r="12" spans="1:8" ht="19.5" thickBot="1" x14ac:dyDescent="0.35">
      <c r="A12" s="5"/>
      <c r="D12" s="23"/>
      <c r="E12" s="27"/>
      <c r="H12" s="23"/>
    </row>
    <row r="13" spans="1:8" ht="18.75" x14ac:dyDescent="0.3">
      <c r="D13" s="4">
        <f>SUM(D7:D12)</f>
        <v>704611</v>
      </c>
      <c r="H13" s="33">
        <f>SUM(H7:H12)</f>
        <v>112501</v>
      </c>
    </row>
    <row r="14" spans="1:8" ht="18.75" x14ac:dyDescent="0.3">
      <c r="A14" s="5"/>
      <c r="C14" s="3"/>
      <c r="D14" s="4"/>
      <c r="H14" s="4"/>
    </row>
    <row r="15" spans="1:8" ht="15.75" thickBot="1" x14ac:dyDescent="0.3">
      <c r="D15" s="7"/>
      <c r="H15" s="7"/>
    </row>
    <row r="17" spans="1:8" ht="18.75" x14ac:dyDescent="0.3">
      <c r="C17" t="s">
        <v>4</v>
      </c>
      <c r="D17" s="4">
        <f>D3-D13</f>
        <v>1035899</v>
      </c>
      <c r="G17" t="s">
        <v>5</v>
      </c>
      <c r="H17" s="4">
        <f>H3-H13</f>
        <v>171359</v>
      </c>
    </row>
    <row r="20" spans="1:8" ht="15.75" x14ac:dyDescent="0.25">
      <c r="A20" t="s">
        <v>6</v>
      </c>
      <c r="C20" s="8">
        <f>D17</f>
        <v>1035899</v>
      </c>
      <c r="E20" t="s">
        <v>10</v>
      </c>
      <c r="H20" s="6">
        <f>C29</f>
        <v>857577.96</v>
      </c>
    </row>
    <row r="22" spans="1:8" ht="15.75" x14ac:dyDescent="0.25">
      <c r="A22" t="s">
        <v>5</v>
      </c>
      <c r="B22" s="9" t="s">
        <v>7</v>
      </c>
      <c r="C22" s="8">
        <f>H17</f>
        <v>171359</v>
      </c>
      <c r="E22" s="13" t="s">
        <v>11</v>
      </c>
      <c r="F22" s="9" t="s">
        <v>12</v>
      </c>
      <c r="G22" s="15" t="s">
        <v>17</v>
      </c>
      <c r="H22" s="3">
        <f>-(F23*0.007)</f>
        <v>-10458</v>
      </c>
    </row>
    <row r="23" spans="1:8" x14ac:dyDescent="0.25">
      <c r="F23" s="21">
        <v>1494000</v>
      </c>
    </row>
    <row r="24" spans="1:8" ht="16.5" thickBot="1" x14ac:dyDescent="0.3">
      <c r="A24" t="s">
        <v>8</v>
      </c>
      <c r="B24" s="9" t="s">
        <v>7</v>
      </c>
      <c r="C24" s="8">
        <f>D3*0.004</f>
        <v>6962.04</v>
      </c>
      <c r="F24" s="9" t="s">
        <v>13</v>
      </c>
      <c r="G24" s="16">
        <v>0.35</v>
      </c>
      <c r="H24" s="17">
        <f>-(F25*0.35)</f>
        <v>-300152.28599999996</v>
      </c>
    </row>
    <row r="25" spans="1:8" x14ac:dyDescent="0.25">
      <c r="F25" s="21">
        <f>H20</f>
        <v>857577.96</v>
      </c>
    </row>
    <row r="26" spans="1:8" ht="15.75" x14ac:dyDescent="0.25">
      <c r="A26" t="s">
        <v>9</v>
      </c>
      <c r="B26" s="9" t="s">
        <v>7</v>
      </c>
      <c r="C26" s="10"/>
      <c r="G26" s="13" t="s">
        <v>14</v>
      </c>
      <c r="H26" s="6">
        <f>H20+H22+H24</f>
        <v>546967.674</v>
      </c>
    </row>
    <row r="27" spans="1:8" ht="15.75" thickBot="1" x14ac:dyDescent="0.3">
      <c r="A27" s="16"/>
      <c r="B27" s="14"/>
      <c r="C27" s="7"/>
    </row>
    <row r="28" spans="1:8" x14ac:dyDescent="0.25">
      <c r="E28" t="s">
        <v>100</v>
      </c>
      <c r="H28" s="20">
        <f>H26*0.4</f>
        <v>218787.06960000002</v>
      </c>
    </row>
    <row r="29" spans="1:8" ht="15.75" x14ac:dyDescent="0.25">
      <c r="A29" t="s">
        <v>10</v>
      </c>
      <c r="C29" s="10">
        <f>C20-C22-C24-C26</f>
        <v>857577.96</v>
      </c>
      <c r="H29" s="18"/>
    </row>
    <row r="30" spans="1:8" x14ac:dyDescent="0.25">
      <c r="H30" s="3"/>
    </row>
    <row r="31" spans="1:8" x14ac:dyDescent="0.25">
      <c r="H31" s="18"/>
    </row>
  </sheetData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F8316-0CEB-4614-A4EC-8BB2C61E4694}">
  <dimension ref="A1:H31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388</v>
      </c>
    </row>
    <row r="3" spans="1:8" ht="21" x14ac:dyDescent="0.35">
      <c r="A3" s="2" t="s">
        <v>1</v>
      </c>
      <c r="D3" s="11">
        <v>31297</v>
      </c>
      <c r="F3" s="12" t="s">
        <v>3</v>
      </c>
      <c r="H3" s="11">
        <v>4997</v>
      </c>
    </row>
    <row r="4" spans="1:8" x14ac:dyDescent="0.25">
      <c r="A4" s="13" t="s">
        <v>29</v>
      </c>
      <c r="C4" s="28">
        <v>554</v>
      </c>
    </row>
    <row r="5" spans="1:8" ht="21" x14ac:dyDescent="0.35">
      <c r="A5" s="2" t="s">
        <v>2</v>
      </c>
    </row>
    <row r="7" spans="1:8" ht="18.75" x14ac:dyDescent="0.3">
      <c r="A7" s="5" t="s">
        <v>449</v>
      </c>
      <c r="D7" s="4">
        <v>13602</v>
      </c>
      <c r="E7" s="27"/>
      <c r="H7" s="4">
        <v>2172</v>
      </c>
    </row>
    <row r="8" spans="1:8" ht="18.75" x14ac:dyDescent="0.3">
      <c r="A8" s="5" t="s">
        <v>447</v>
      </c>
      <c r="D8" s="4">
        <v>5779</v>
      </c>
      <c r="E8" s="27"/>
      <c r="H8" s="4">
        <v>923</v>
      </c>
    </row>
    <row r="9" spans="1:8" ht="18.75" x14ac:dyDescent="0.3">
      <c r="A9" s="5"/>
      <c r="D9" s="4"/>
      <c r="E9" s="27"/>
      <c r="H9" s="4"/>
    </row>
    <row r="10" spans="1:8" ht="18.75" x14ac:dyDescent="0.3">
      <c r="A10" s="5"/>
      <c r="D10" s="4"/>
      <c r="E10" s="27"/>
      <c r="H10" s="4"/>
    </row>
    <row r="11" spans="1:8" ht="18.75" x14ac:dyDescent="0.3">
      <c r="A11" s="5"/>
      <c r="D11" s="30"/>
      <c r="E11" s="27"/>
      <c r="H11" s="30"/>
    </row>
    <row r="12" spans="1:8" ht="19.5" thickBot="1" x14ac:dyDescent="0.35">
      <c r="A12" s="5"/>
      <c r="D12" s="23"/>
      <c r="E12" s="27"/>
      <c r="H12" s="23"/>
    </row>
    <row r="13" spans="1:8" ht="18.75" x14ac:dyDescent="0.3">
      <c r="D13" s="4">
        <f>SUM(D7:D12)</f>
        <v>19381</v>
      </c>
      <c r="H13" s="33">
        <f>SUM(H7:H12)</f>
        <v>3095</v>
      </c>
    </row>
    <row r="14" spans="1:8" ht="18.75" x14ac:dyDescent="0.3">
      <c r="A14" s="5"/>
      <c r="C14" s="3"/>
      <c r="D14" s="4"/>
      <c r="H14" s="4"/>
    </row>
    <row r="15" spans="1:8" ht="15.75" thickBot="1" x14ac:dyDescent="0.3">
      <c r="D15" s="7"/>
      <c r="H15" s="7"/>
    </row>
    <row r="17" spans="1:8" ht="18.75" x14ac:dyDescent="0.3">
      <c r="C17" t="s">
        <v>4</v>
      </c>
      <c r="D17" s="4">
        <f>D3-D13</f>
        <v>11916</v>
      </c>
      <c r="G17" t="s">
        <v>5</v>
      </c>
      <c r="H17" s="4">
        <f>H3-H13</f>
        <v>1902</v>
      </c>
    </row>
    <row r="20" spans="1:8" ht="15.75" x14ac:dyDescent="0.25">
      <c r="A20" t="s">
        <v>6</v>
      </c>
      <c r="C20" s="8">
        <f>D17</f>
        <v>11916</v>
      </c>
      <c r="E20" t="s">
        <v>10</v>
      </c>
      <c r="H20" s="6">
        <f>C29</f>
        <v>9888.8119999999999</v>
      </c>
    </row>
    <row r="22" spans="1:8" ht="15.75" x14ac:dyDescent="0.25">
      <c r="A22" t="s">
        <v>5</v>
      </c>
      <c r="B22" s="9" t="s">
        <v>7</v>
      </c>
      <c r="C22" s="8">
        <f>H17</f>
        <v>1902</v>
      </c>
      <c r="E22" s="13" t="s">
        <v>11</v>
      </c>
      <c r="F22" s="9" t="s">
        <v>12</v>
      </c>
      <c r="G22" s="15" t="s">
        <v>17</v>
      </c>
      <c r="H22" s="3">
        <f>-(F23*0.0077)</f>
        <v>-202.51000000000002</v>
      </c>
    </row>
    <row r="23" spans="1:8" x14ac:dyDescent="0.25">
      <c r="F23" s="21">
        <f>D3-H3</f>
        <v>26300</v>
      </c>
    </row>
    <row r="24" spans="1:8" ht="16.5" thickBot="1" x14ac:dyDescent="0.3">
      <c r="A24" t="s">
        <v>8</v>
      </c>
      <c r="B24" s="9" t="s">
        <v>7</v>
      </c>
      <c r="C24" s="8">
        <f>D3*0.004</f>
        <v>125.188</v>
      </c>
      <c r="F24" s="9" t="s">
        <v>13</v>
      </c>
      <c r="G24" s="16">
        <v>0.35</v>
      </c>
      <c r="H24" s="17">
        <f>-(F25*0.35)</f>
        <v>-3461.0841999999998</v>
      </c>
    </row>
    <row r="25" spans="1:8" x14ac:dyDescent="0.25">
      <c r="F25" s="21">
        <f>H20</f>
        <v>9888.8119999999999</v>
      </c>
    </row>
    <row r="26" spans="1:8" ht="15.75" x14ac:dyDescent="0.25">
      <c r="A26" t="s">
        <v>9</v>
      </c>
      <c r="B26" s="9" t="s">
        <v>7</v>
      </c>
      <c r="C26" s="10"/>
      <c r="G26" s="13" t="s">
        <v>14</v>
      </c>
      <c r="H26" s="6">
        <f>H20+H22+H24</f>
        <v>6225.2178000000004</v>
      </c>
    </row>
    <row r="27" spans="1:8" ht="15.75" thickBot="1" x14ac:dyDescent="0.3">
      <c r="A27" s="16"/>
      <c r="B27" s="14"/>
      <c r="C27" s="7"/>
    </row>
    <row r="28" spans="1:8" x14ac:dyDescent="0.25">
      <c r="E28" t="s">
        <v>100</v>
      </c>
      <c r="H28" s="20">
        <f>H26*0.4</f>
        <v>2490.0871200000001</v>
      </c>
    </row>
    <row r="29" spans="1:8" ht="15.75" x14ac:dyDescent="0.25">
      <c r="A29" t="s">
        <v>10</v>
      </c>
      <c r="C29" s="10">
        <f>C20-C22-C24-C26</f>
        <v>9888.8119999999999</v>
      </c>
      <c r="H29" s="18"/>
    </row>
    <row r="30" spans="1:8" x14ac:dyDescent="0.25">
      <c r="H30" s="3"/>
    </row>
    <row r="31" spans="1:8" x14ac:dyDescent="0.25">
      <c r="H31" s="18"/>
    </row>
  </sheetData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BCDCD-2488-4B9A-827B-211D4B8CE6A1}">
  <dimension ref="A1:H31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448</v>
      </c>
    </row>
    <row r="3" spans="1:8" ht="21" x14ac:dyDescent="0.35">
      <c r="A3" s="2" t="s">
        <v>1</v>
      </c>
      <c r="D3" s="11">
        <v>936382</v>
      </c>
      <c r="F3" s="12" t="s">
        <v>3</v>
      </c>
      <c r="H3" s="11">
        <v>150480</v>
      </c>
    </row>
    <row r="4" spans="1:8" x14ac:dyDescent="0.25">
      <c r="A4" s="13" t="s">
        <v>29</v>
      </c>
      <c r="C4" s="28">
        <v>558</v>
      </c>
    </row>
    <row r="5" spans="1:8" ht="21" x14ac:dyDescent="0.35">
      <c r="A5" s="2" t="s">
        <v>2</v>
      </c>
    </row>
    <row r="7" spans="1:8" ht="18.75" x14ac:dyDescent="0.3">
      <c r="A7" s="5" t="s">
        <v>231</v>
      </c>
      <c r="D7" s="4">
        <v>521506</v>
      </c>
      <c r="E7" s="27"/>
      <c r="H7" s="4">
        <v>83266</v>
      </c>
    </row>
    <row r="8" spans="1:8" ht="18.75" x14ac:dyDescent="0.3">
      <c r="A8" s="5" t="s">
        <v>289</v>
      </c>
      <c r="D8" s="4">
        <v>15000</v>
      </c>
      <c r="E8" s="27"/>
      <c r="H8" s="4"/>
    </row>
    <row r="9" spans="1:8" ht="18.75" x14ac:dyDescent="0.3">
      <c r="A9" s="5"/>
      <c r="D9" s="4"/>
      <c r="E9" s="27"/>
      <c r="H9" s="4"/>
    </row>
    <row r="10" spans="1:8" ht="18.75" x14ac:dyDescent="0.3">
      <c r="A10" s="5"/>
      <c r="D10" s="4"/>
      <c r="E10" s="27"/>
      <c r="H10" s="4"/>
    </row>
    <row r="11" spans="1:8" ht="18.75" x14ac:dyDescent="0.3">
      <c r="A11" s="5"/>
      <c r="D11" s="30"/>
      <c r="E11" s="27"/>
      <c r="H11" s="30"/>
    </row>
    <row r="12" spans="1:8" ht="19.5" thickBot="1" x14ac:dyDescent="0.35">
      <c r="A12" s="5"/>
      <c r="D12" s="23"/>
      <c r="E12" s="27"/>
      <c r="H12" s="23"/>
    </row>
    <row r="13" spans="1:8" ht="18.75" x14ac:dyDescent="0.3">
      <c r="D13" s="4">
        <f>SUM(D7:D12)</f>
        <v>536506</v>
      </c>
      <c r="H13" s="33">
        <f>SUM(H7:H12)</f>
        <v>83266</v>
      </c>
    </row>
    <row r="14" spans="1:8" ht="18.75" x14ac:dyDescent="0.3">
      <c r="A14" s="5"/>
      <c r="C14" s="3"/>
      <c r="D14" s="4"/>
      <c r="H14" s="4"/>
    </row>
    <row r="15" spans="1:8" ht="15.75" thickBot="1" x14ac:dyDescent="0.3">
      <c r="D15" s="7"/>
      <c r="H15" s="7"/>
    </row>
    <row r="17" spans="1:8" ht="18.75" x14ac:dyDescent="0.3">
      <c r="C17" t="s">
        <v>4</v>
      </c>
      <c r="D17" s="4">
        <f>D3-D13</f>
        <v>399876</v>
      </c>
      <c r="G17" t="s">
        <v>5</v>
      </c>
      <c r="H17" s="4">
        <f>H3-H13</f>
        <v>67214</v>
      </c>
    </row>
    <row r="20" spans="1:8" ht="15.75" x14ac:dyDescent="0.25">
      <c r="A20" t="s">
        <v>6</v>
      </c>
      <c r="C20" s="8">
        <f>D17</f>
        <v>399876</v>
      </c>
      <c r="E20" t="s">
        <v>10</v>
      </c>
      <c r="H20" s="6">
        <f>C29</f>
        <v>328916.47200000001</v>
      </c>
    </row>
    <row r="22" spans="1:8" ht="15.75" x14ac:dyDescent="0.25">
      <c r="A22" t="s">
        <v>5</v>
      </c>
      <c r="B22" s="9" t="s">
        <v>7</v>
      </c>
      <c r="C22" s="8">
        <f>H17</f>
        <v>67214</v>
      </c>
      <c r="E22" s="13" t="s">
        <v>11</v>
      </c>
      <c r="F22" s="9" t="s">
        <v>12</v>
      </c>
      <c r="G22" s="15" t="s">
        <v>17</v>
      </c>
      <c r="H22" s="3">
        <f>-(F23*0.0077)</f>
        <v>-6098.4000000000005</v>
      </c>
    </row>
    <row r="23" spans="1:8" x14ac:dyDescent="0.25">
      <c r="F23" s="21">
        <v>792000</v>
      </c>
    </row>
    <row r="24" spans="1:8" ht="16.5" thickBot="1" x14ac:dyDescent="0.3">
      <c r="A24" t="s">
        <v>8</v>
      </c>
      <c r="B24" s="9" t="s">
        <v>7</v>
      </c>
      <c r="C24" s="8">
        <f>D3*0.004</f>
        <v>3745.5280000000002</v>
      </c>
      <c r="F24" s="9" t="s">
        <v>13</v>
      </c>
      <c r="G24" s="16">
        <v>0.35</v>
      </c>
      <c r="H24" s="17">
        <f>-(F25*0.35)</f>
        <v>-115120.76519999999</v>
      </c>
    </row>
    <row r="25" spans="1:8" x14ac:dyDescent="0.25">
      <c r="F25" s="21">
        <f>H20</f>
        <v>328916.47200000001</v>
      </c>
    </row>
    <row r="26" spans="1:8" ht="15.75" x14ac:dyDescent="0.25">
      <c r="A26" t="s">
        <v>9</v>
      </c>
      <c r="B26" s="9" t="s">
        <v>7</v>
      </c>
      <c r="C26" s="10"/>
      <c r="G26" s="13" t="s">
        <v>14</v>
      </c>
      <c r="H26" s="6">
        <f>H20+H22+H24</f>
        <v>207697.30679999999</v>
      </c>
    </row>
    <row r="27" spans="1:8" ht="15.75" thickBot="1" x14ac:dyDescent="0.3">
      <c r="A27" s="16"/>
      <c r="B27" s="14"/>
      <c r="C27" s="7"/>
    </row>
    <row r="28" spans="1:8" x14ac:dyDescent="0.25">
      <c r="E28" t="s">
        <v>100</v>
      </c>
      <c r="H28" s="20">
        <f>H26*0.4</f>
        <v>83078.922720000002</v>
      </c>
    </row>
    <row r="29" spans="1:8" ht="15.75" x14ac:dyDescent="0.25">
      <c r="A29" t="s">
        <v>10</v>
      </c>
      <c r="C29" s="10">
        <f>C20-C22-C24-C26</f>
        <v>328916.47200000001</v>
      </c>
      <c r="H29" s="18"/>
    </row>
    <row r="30" spans="1:8" x14ac:dyDescent="0.25">
      <c r="H30" s="3"/>
    </row>
    <row r="31" spans="1:8" x14ac:dyDescent="0.25">
      <c r="H31" s="18"/>
    </row>
  </sheetData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DD80F-5041-435D-B637-47AD2A965489}">
  <dimension ref="A1:H31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450</v>
      </c>
    </row>
    <row r="3" spans="1:8" ht="21" x14ac:dyDescent="0.35">
      <c r="A3" s="2" t="s">
        <v>1</v>
      </c>
      <c r="D3" s="11">
        <v>669375</v>
      </c>
      <c r="F3" s="12" t="s">
        <v>3</v>
      </c>
      <c r="H3" s="11">
        <v>106875</v>
      </c>
    </row>
    <row r="4" spans="1:8" x14ac:dyDescent="0.25">
      <c r="A4" s="13" t="s">
        <v>29</v>
      </c>
      <c r="C4" s="28">
        <v>559</v>
      </c>
    </row>
    <row r="5" spans="1:8" ht="21" x14ac:dyDescent="0.35">
      <c r="A5" s="2" t="s">
        <v>2</v>
      </c>
    </row>
    <row r="7" spans="1:8" ht="18.75" x14ac:dyDescent="0.3">
      <c r="A7" s="5" t="s">
        <v>375</v>
      </c>
      <c r="D7" s="4">
        <v>422629</v>
      </c>
      <c r="E7" s="27"/>
      <c r="H7" s="4">
        <v>67479</v>
      </c>
    </row>
    <row r="8" spans="1:8" ht="18.75" x14ac:dyDescent="0.3">
      <c r="A8" s="5" t="s">
        <v>289</v>
      </c>
      <c r="D8" s="4">
        <v>10000</v>
      </c>
      <c r="E8" s="27"/>
      <c r="H8" s="4"/>
    </row>
    <row r="9" spans="1:8" ht="18.75" x14ac:dyDescent="0.3">
      <c r="A9" s="5"/>
      <c r="D9" s="4"/>
      <c r="E9" s="27"/>
      <c r="H9" s="4"/>
    </row>
    <row r="10" spans="1:8" ht="18.75" x14ac:dyDescent="0.3">
      <c r="A10" s="5"/>
      <c r="D10" s="4"/>
      <c r="E10" s="27"/>
      <c r="H10" s="4"/>
    </row>
    <row r="11" spans="1:8" ht="18.75" x14ac:dyDescent="0.3">
      <c r="A11" s="5"/>
      <c r="D11" s="30"/>
      <c r="E11" s="27"/>
      <c r="H11" s="30"/>
    </row>
    <row r="12" spans="1:8" ht="19.5" thickBot="1" x14ac:dyDescent="0.35">
      <c r="A12" s="5"/>
      <c r="D12" s="23"/>
      <c r="E12" s="27"/>
      <c r="H12" s="23"/>
    </row>
    <row r="13" spans="1:8" ht="18.75" x14ac:dyDescent="0.3">
      <c r="D13" s="4">
        <f>SUM(D7:D12)</f>
        <v>432629</v>
      </c>
      <c r="H13" s="33">
        <f>SUM(H7:H12)</f>
        <v>67479</v>
      </c>
    </row>
    <row r="14" spans="1:8" ht="18.75" x14ac:dyDescent="0.3">
      <c r="A14" s="5"/>
      <c r="C14" s="3"/>
      <c r="D14" s="4"/>
      <c r="H14" s="4"/>
    </row>
    <row r="15" spans="1:8" ht="15.75" thickBot="1" x14ac:dyDescent="0.3">
      <c r="D15" s="7"/>
      <c r="H15" s="7"/>
    </row>
    <row r="17" spans="1:8" ht="18.75" x14ac:dyDescent="0.3">
      <c r="C17" t="s">
        <v>4</v>
      </c>
      <c r="D17" s="4">
        <f>D3-D13</f>
        <v>236746</v>
      </c>
      <c r="G17" t="s">
        <v>5</v>
      </c>
      <c r="H17" s="4">
        <f>H3-H13</f>
        <v>39396</v>
      </c>
    </row>
    <row r="20" spans="1:8" ht="15.75" x14ac:dyDescent="0.25">
      <c r="A20" t="s">
        <v>6</v>
      </c>
      <c r="C20" s="8">
        <f>D17</f>
        <v>236746</v>
      </c>
      <c r="E20" t="s">
        <v>10</v>
      </c>
      <c r="H20" s="6">
        <f>C29</f>
        <v>194672.5</v>
      </c>
    </row>
    <row r="22" spans="1:8" ht="15.75" x14ac:dyDescent="0.25">
      <c r="A22" t="s">
        <v>5</v>
      </c>
      <c r="B22" s="9" t="s">
        <v>7</v>
      </c>
      <c r="C22" s="8">
        <f>H17</f>
        <v>39396</v>
      </c>
      <c r="E22" s="13" t="s">
        <v>11</v>
      </c>
      <c r="F22" s="9" t="s">
        <v>12</v>
      </c>
      <c r="G22" s="15" t="s">
        <v>17</v>
      </c>
      <c r="H22" s="3">
        <f>-(F23*0.0077)</f>
        <v>-4331.25</v>
      </c>
    </row>
    <row r="23" spans="1:8" x14ac:dyDescent="0.25">
      <c r="F23" s="21">
        <f>D3-H3</f>
        <v>562500</v>
      </c>
    </row>
    <row r="24" spans="1:8" ht="16.5" thickBot="1" x14ac:dyDescent="0.3">
      <c r="A24" t="s">
        <v>8</v>
      </c>
      <c r="B24" s="9" t="s">
        <v>7</v>
      </c>
      <c r="C24" s="8">
        <f>D3*0.004</f>
        <v>2677.5</v>
      </c>
      <c r="F24" s="9" t="s">
        <v>13</v>
      </c>
      <c r="G24" s="16">
        <v>0.35</v>
      </c>
      <c r="H24" s="17">
        <f>-(F25*0.35)</f>
        <v>-68135.375</v>
      </c>
    </row>
    <row r="25" spans="1:8" x14ac:dyDescent="0.25">
      <c r="F25" s="21">
        <f>H20</f>
        <v>194672.5</v>
      </c>
    </row>
    <row r="26" spans="1:8" ht="15.75" x14ac:dyDescent="0.25">
      <c r="A26" t="s">
        <v>9</v>
      </c>
      <c r="B26" s="9" t="s">
        <v>7</v>
      </c>
      <c r="C26" s="10"/>
      <c r="G26" s="13" t="s">
        <v>14</v>
      </c>
      <c r="H26" s="6">
        <f>H20+H22+H24</f>
        <v>122205.875</v>
      </c>
    </row>
    <row r="27" spans="1:8" ht="15.75" thickBot="1" x14ac:dyDescent="0.3">
      <c r="A27" s="16"/>
      <c r="B27" s="14"/>
      <c r="C27" s="7"/>
    </row>
    <row r="28" spans="1:8" x14ac:dyDescent="0.25">
      <c r="E28" t="s">
        <v>100</v>
      </c>
      <c r="H28" s="20">
        <f>H26*0.4</f>
        <v>48882.350000000006</v>
      </c>
    </row>
    <row r="29" spans="1:8" ht="15.75" x14ac:dyDescent="0.25">
      <c r="A29" t="s">
        <v>10</v>
      </c>
      <c r="C29" s="10">
        <f>C20-C22-C24-C26</f>
        <v>194672.5</v>
      </c>
      <c r="H29" s="18"/>
    </row>
    <row r="30" spans="1:8" x14ac:dyDescent="0.25">
      <c r="H30" s="3"/>
    </row>
    <row r="31" spans="1:8" x14ac:dyDescent="0.25">
      <c r="H31" s="18"/>
    </row>
  </sheetData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7A4BE-5832-4ACE-AA10-4568604E6276}">
  <dimension ref="A1:H31"/>
  <sheetViews>
    <sheetView topLeftCell="A4" workbookViewId="0">
      <selection activeCell="C4" sqref="C4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386</v>
      </c>
    </row>
    <row r="3" spans="1:8" ht="21" x14ac:dyDescent="0.35">
      <c r="A3" s="2" t="s">
        <v>1</v>
      </c>
      <c r="D3" s="11">
        <v>32130</v>
      </c>
      <c r="F3" s="12" t="s">
        <v>3</v>
      </c>
      <c r="H3" s="11">
        <v>5130</v>
      </c>
    </row>
    <row r="4" spans="1:8" x14ac:dyDescent="0.25">
      <c r="A4" s="13" t="s">
        <v>29</v>
      </c>
      <c r="C4" s="28">
        <v>561</v>
      </c>
    </row>
    <row r="5" spans="1:8" ht="21" x14ac:dyDescent="0.35">
      <c r="A5" s="2" t="s">
        <v>2</v>
      </c>
    </row>
    <row r="7" spans="1:8" ht="18.75" x14ac:dyDescent="0.3">
      <c r="A7" s="5" t="s">
        <v>451</v>
      </c>
      <c r="D7" s="4">
        <v>13780</v>
      </c>
      <c r="E7" s="27"/>
      <c r="H7" s="4">
        <v>2200</v>
      </c>
    </row>
    <row r="8" spans="1:8" ht="18.75" x14ac:dyDescent="0.3">
      <c r="A8" s="5"/>
      <c r="D8" s="4"/>
      <c r="E8" s="27"/>
      <c r="H8" s="4"/>
    </row>
    <row r="9" spans="1:8" ht="18.75" x14ac:dyDescent="0.3">
      <c r="A9" s="5"/>
      <c r="D9" s="4"/>
      <c r="E9" s="27"/>
      <c r="H9" s="4"/>
    </row>
    <row r="10" spans="1:8" ht="18.75" x14ac:dyDescent="0.3">
      <c r="A10" s="5"/>
      <c r="D10" s="4"/>
      <c r="E10" s="27"/>
      <c r="H10" s="4"/>
    </row>
    <row r="11" spans="1:8" ht="18.75" x14ac:dyDescent="0.3">
      <c r="A11" s="5"/>
      <c r="D11" s="30"/>
      <c r="E11" s="27"/>
      <c r="H11" s="30"/>
    </row>
    <row r="12" spans="1:8" ht="19.5" thickBot="1" x14ac:dyDescent="0.35">
      <c r="A12" s="5"/>
      <c r="D12" s="23"/>
      <c r="E12" s="27"/>
      <c r="H12" s="23"/>
    </row>
    <row r="13" spans="1:8" ht="18.75" x14ac:dyDescent="0.3">
      <c r="D13" s="4">
        <f>SUM(D7:D12)</f>
        <v>13780</v>
      </c>
      <c r="H13" s="33">
        <f>SUM(H7:H12)</f>
        <v>2200</v>
      </c>
    </row>
    <row r="14" spans="1:8" ht="18.75" x14ac:dyDescent="0.3">
      <c r="A14" s="5"/>
      <c r="C14" s="3"/>
      <c r="D14" s="4"/>
      <c r="H14" s="4"/>
    </row>
    <row r="15" spans="1:8" ht="15.75" thickBot="1" x14ac:dyDescent="0.3">
      <c r="D15" s="7"/>
      <c r="H15" s="7"/>
    </row>
    <row r="17" spans="1:8" ht="18.75" x14ac:dyDescent="0.3">
      <c r="C17" t="s">
        <v>4</v>
      </c>
      <c r="D17" s="4">
        <f>D3-D13</f>
        <v>18350</v>
      </c>
      <c r="G17" t="s">
        <v>5</v>
      </c>
      <c r="H17" s="4">
        <f>H3-H13</f>
        <v>2930</v>
      </c>
    </row>
    <row r="20" spans="1:8" ht="15.75" x14ac:dyDescent="0.25">
      <c r="A20" t="s">
        <v>6</v>
      </c>
      <c r="C20" s="8">
        <f>D17</f>
        <v>18350</v>
      </c>
      <c r="E20" t="s">
        <v>10</v>
      </c>
      <c r="H20" s="6">
        <f>C29</f>
        <v>15291.48</v>
      </c>
    </row>
    <row r="22" spans="1:8" ht="15.75" x14ac:dyDescent="0.25">
      <c r="A22" t="s">
        <v>5</v>
      </c>
      <c r="B22" s="9" t="s">
        <v>7</v>
      </c>
      <c r="C22" s="8">
        <f>H17</f>
        <v>2930</v>
      </c>
      <c r="E22" s="13" t="s">
        <v>11</v>
      </c>
      <c r="F22" s="9" t="s">
        <v>12</v>
      </c>
      <c r="G22" s="15" t="s">
        <v>17</v>
      </c>
      <c r="H22" s="3">
        <f>-(F23*0.0077)</f>
        <v>-207.9</v>
      </c>
    </row>
    <row r="23" spans="1:8" x14ac:dyDescent="0.25">
      <c r="F23" s="21">
        <f>D3-H3</f>
        <v>27000</v>
      </c>
    </row>
    <row r="24" spans="1:8" ht="16.5" thickBot="1" x14ac:dyDescent="0.3">
      <c r="A24" t="s">
        <v>8</v>
      </c>
      <c r="B24" s="9" t="s">
        <v>7</v>
      </c>
      <c r="C24" s="8">
        <f>D3*0.004</f>
        <v>128.52000000000001</v>
      </c>
      <c r="F24" s="9" t="s">
        <v>13</v>
      </c>
      <c r="G24" s="16">
        <v>0.35</v>
      </c>
      <c r="H24" s="17">
        <f>-(F25*0.35)</f>
        <v>-5352.0179999999991</v>
      </c>
    </row>
    <row r="25" spans="1:8" x14ac:dyDescent="0.25">
      <c r="F25" s="21">
        <f>H20</f>
        <v>15291.48</v>
      </c>
    </row>
    <row r="26" spans="1:8" ht="15.75" x14ac:dyDescent="0.25">
      <c r="A26" t="s">
        <v>9</v>
      </c>
      <c r="B26" s="9" t="s">
        <v>7</v>
      </c>
      <c r="C26" s="10"/>
      <c r="G26" s="13" t="s">
        <v>14</v>
      </c>
      <c r="H26" s="6">
        <f>H20+H22+H24</f>
        <v>9731.5620000000017</v>
      </c>
    </row>
    <row r="27" spans="1:8" ht="15.75" thickBot="1" x14ac:dyDescent="0.3">
      <c r="A27" s="16"/>
      <c r="B27" s="14"/>
      <c r="C27" s="7"/>
    </row>
    <row r="28" spans="1:8" x14ac:dyDescent="0.25">
      <c r="E28" t="s">
        <v>100</v>
      </c>
      <c r="H28" s="20">
        <f>H26*0.4</f>
        <v>3892.624800000001</v>
      </c>
    </row>
    <row r="29" spans="1:8" ht="15.75" x14ac:dyDescent="0.25">
      <c r="A29" t="s">
        <v>10</v>
      </c>
      <c r="C29" s="10">
        <f>C20-C22-C24-C26</f>
        <v>15291.48</v>
      </c>
      <c r="H29" s="18"/>
    </row>
    <row r="30" spans="1:8" x14ac:dyDescent="0.25">
      <c r="H30" s="3"/>
    </row>
    <row r="31" spans="1:8" x14ac:dyDescent="0.25">
      <c r="H31" s="18"/>
    </row>
  </sheetData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01E1B-0685-4433-AF7F-56FF0A220760}">
  <dimension ref="A1:H31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388</v>
      </c>
    </row>
    <row r="3" spans="1:8" ht="21" x14ac:dyDescent="0.35">
      <c r="A3" s="2" t="s">
        <v>1</v>
      </c>
      <c r="D3" s="11">
        <v>211225</v>
      </c>
      <c r="F3" s="12" t="s">
        <v>3</v>
      </c>
      <c r="H3" s="11">
        <v>33725</v>
      </c>
    </row>
    <row r="4" spans="1:8" x14ac:dyDescent="0.25">
      <c r="A4" s="13" t="s">
        <v>29</v>
      </c>
      <c r="C4" s="28">
        <v>564</v>
      </c>
    </row>
    <row r="5" spans="1:8" ht="21" x14ac:dyDescent="0.35">
      <c r="A5" s="2" t="s">
        <v>2</v>
      </c>
    </row>
    <row r="7" spans="1:8" ht="18.75" x14ac:dyDescent="0.3">
      <c r="A7" s="5" t="s">
        <v>167</v>
      </c>
      <c r="D7" s="4">
        <v>122303</v>
      </c>
      <c r="E7" s="27"/>
      <c r="H7" s="4">
        <v>2200</v>
      </c>
    </row>
    <row r="8" spans="1:8" ht="18.75" x14ac:dyDescent="0.3">
      <c r="A8" s="5"/>
      <c r="D8" s="4"/>
      <c r="E8" s="27"/>
      <c r="H8" s="4"/>
    </row>
    <row r="9" spans="1:8" ht="18.75" x14ac:dyDescent="0.3">
      <c r="A9" s="5"/>
      <c r="D9" s="4"/>
      <c r="E9" s="27"/>
      <c r="H9" s="4"/>
    </row>
    <row r="10" spans="1:8" ht="18.75" x14ac:dyDescent="0.3">
      <c r="A10" s="5"/>
      <c r="D10" s="4"/>
      <c r="E10" s="27"/>
      <c r="H10" s="4"/>
    </row>
    <row r="11" spans="1:8" ht="18.75" x14ac:dyDescent="0.3">
      <c r="A11" s="5"/>
      <c r="D11" s="30"/>
      <c r="E11" s="27"/>
      <c r="H11" s="30"/>
    </row>
    <row r="12" spans="1:8" ht="19.5" thickBot="1" x14ac:dyDescent="0.35">
      <c r="A12" s="5"/>
      <c r="D12" s="23"/>
      <c r="E12" s="27"/>
      <c r="H12" s="23"/>
    </row>
    <row r="13" spans="1:8" ht="18.75" x14ac:dyDescent="0.3">
      <c r="D13" s="4">
        <f>SUM(D7:D12)</f>
        <v>122303</v>
      </c>
      <c r="H13" s="33">
        <f>SUM(H7:H12)</f>
        <v>2200</v>
      </c>
    </row>
    <row r="14" spans="1:8" ht="18.75" x14ac:dyDescent="0.3">
      <c r="A14" s="5"/>
      <c r="C14" s="3"/>
      <c r="D14" s="4"/>
      <c r="H14" s="4"/>
    </row>
    <row r="15" spans="1:8" ht="15.75" thickBot="1" x14ac:dyDescent="0.3">
      <c r="D15" s="7"/>
      <c r="H15" s="7"/>
    </row>
    <row r="17" spans="1:8" ht="18.75" x14ac:dyDescent="0.3">
      <c r="C17" t="s">
        <v>4</v>
      </c>
      <c r="D17" s="4">
        <f>D3-D13</f>
        <v>88922</v>
      </c>
      <c r="G17" t="s">
        <v>5</v>
      </c>
      <c r="H17" s="4">
        <f>H3-H13</f>
        <v>31525</v>
      </c>
    </row>
    <row r="20" spans="1:8" ht="15.75" x14ac:dyDescent="0.25">
      <c r="A20" t="s">
        <v>6</v>
      </c>
      <c r="C20" s="8">
        <f>D17</f>
        <v>88922</v>
      </c>
      <c r="E20" t="s">
        <v>10</v>
      </c>
      <c r="H20" s="6">
        <f>C29</f>
        <v>56552.1</v>
      </c>
    </row>
    <row r="22" spans="1:8" ht="15.75" x14ac:dyDescent="0.25">
      <c r="A22" t="s">
        <v>5</v>
      </c>
      <c r="B22" s="9" t="s">
        <v>7</v>
      </c>
      <c r="C22" s="8">
        <f>H17</f>
        <v>31525</v>
      </c>
      <c r="E22" s="13" t="s">
        <v>11</v>
      </c>
      <c r="F22" s="9" t="s">
        <v>12</v>
      </c>
      <c r="G22" s="15" t="s">
        <v>17</v>
      </c>
      <c r="H22" s="3">
        <f>-(F23*0.0077)</f>
        <v>-1366.75</v>
      </c>
    </row>
    <row r="23" spans="1:8" x14ac:dyDescent="0.25">
      <c r="F23" s="21">
        <f>D3-H3</f>
        <v>177500</v>
      </c>
    </row>
    <row r="24" spans="1:8" ht="16.5" thickBot="1" x14ac:dyDescent="0.3">
      <c r="A24" t="s">
        <v>8</v>
      </c>
      <c r="B24" s="9" t="s">
        <v>7</v>
      </c>
      <c r="C24" s="8">
        <f>D3*0.004</f>
        <v>844.9</v>
      </c>
      <c r="F24" s="9" t="s">
        <v>13</v>
      </c>
      <c r="G24" s="16">
        <v>0.35</v>
      </c>
      <c r="H24" s="17">
        <f>-(F25*0.35)</f>
        <v>-19793.234999999997</v>
      </c>
    </row>
    <row r="25" spans="1:8" x14ac:dyDescent="0.25">
      <c r="F25" s="21">
        <f>H20</f>
        <v>56552.1</v>
      </c>
    </row>
    <row r="26" spans="1:8" ht="15.75" x14ac:dyDescent="0.25">
      <c r="A26" t="s">
        <v>9</v>
      </c>
      <c r="B26" s="9" t="s">
        <v>7</v>
      </c>
      <c r="C26" s="10"/>
      <c r="G26" s="13" t="s">
        <v>14</v>
      </c>
      <c r="H26" s="6">
        <f>H20+H22+H24</f>
        <v>35392.115000000005</v>
      </c>
    </row>
    <row r="27" spans="1:8" ht="15.75" thickBot="1" x14ac:dyDescent="0.3">
      <c r="A27" s="16"/>
      <c r="B27" s="14"/>
      <c r="C27" s="7"/>
    </row>
    <row r="28" spans="1:8" x14ac:dyDescent="0.25">
      <c r="E28" t="s">
        <v>100</v>
      </c>
      <c r="H28" s="20">
        <f>H26*0.4</f>
        <v>14156.846000000003</v>
      </c>
    </row>
    <row r="29" spans="1:8" ht="15.75" x14ac:dyDescent="0.25">
      <c r="A29" t="s">
        <v>10</v>
      </c>
      <c r="C29" s="10">
        <f>C20-C22-C24-C26</f>
        <v>56552.1</v>
      </c>
      <c r="H29" s="18"/>
    </row>
    <row r="30" spans="1:8" x14ac:dyDescent="0.25">
      <c r="H30" s="3"/>
    </row>
    <row r="31" spans="1:8" x14ac:dyDescent="0.25">
      <c r="H31" s="18"/>
    </row>
  </sheetData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A188B-371F-4FDA-9E2E-A48F4E8FC6EC}">
  <dimension ref="A1:H31"/>
  <sheetViews>
    <sheetView workbookViewId="0">
      <selection activeCell="G11" sqref="G11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453</v>
      </c>
    </row>
    <row r="3" spans="1:8" ht="21" x14ac:dyDescent="0.35">
      <c r="A3" s="2" t="s">
        <v>1</v>
      </c>
      <c r="D3" s="11">
        <v>309400</v>
      </c>
      <c r="F3" s="12" t="s">
        <v>3</v>
      </c>
      <c r="H3" s="11">
        <v>49400</v>
      </c>
    </row>
    <row r="4" spans="1:8" x14ac:dyDescent="0.25">
      <c r="A4" s="13" t="s">
        <v>29</v>
      </c>
      <c r="C4" s="28">
        <v>565</v>
      </c>
    </row>
    <row r="5" spans="1:8" ht="21" x14ac:dyDescent="0.35">
      <c r="A5" s="2" t="s">
        <v>2</v>
      </c>
    </row>
    <row r="7" spans="1:8" ht="18.75" x14ac:dyDescent="0.3">
      <c r="A7" s="5" t="s">
        <v>167</v>
      </c>
      <c r="D7" s="4">
        <v>17532</v>
      </c>
      <c r="E7" s="27"/>
      <c r="H7" s="4">
        <v>2800</v>
      </c>
    </row>
    <row r="8" spans="1:8" ht="18.75" x14ac:dyDescent="0.3">
      <c r="A8" s="5" t="s">
        <v>452</v>
      </c>
      <c r="D8" s="4">
        <v>213629</v>
      </c>
      <c r="E8" s="27"/>
      <c r="H8" s="4">
        <v>34109</v>
      </c>
    </row>
    <row r="9" spans="1:8" ht="18.75" x14ac:dyDescent="0.3">
      <c r="A9" s="5"/>
      <c r="D9" s="4"/>
      <c r="E9" s="27"/>
      <c r="H9" s="4"/>
    </row>
    <row r="10" spans="1:8" ht="18.75" x14ac:dyDescent="0.3">
      <c r="A10" s="5"/>
      <c r="D10" s="4"/>
      <c r="E10" s="27"/>
      <c r="H10" s="4"/>
    </row>
    <row r="11" spans="1:8" ht="18.75" x14ac:dyDescent="0.3">
      <c r="A11" s="5"/>
      <c r="D11" s="30"/>
      <c r="E11" s="27"/>
      <c r="H11" s="30"/>
    </row>
    <row r="12" spans="1:8" ht="19.5" thickBot="1" x14ac:dyDescent="0.35">
      <c r="A12" s="5"/>
      <c r="D12" s="23"/>
      <c r="E12" s="27"/>
      <c r="H12" s="23"/>
    </row>
    <row r="13" spans="1:8" ht="18.75" x14ac:dyDescent="0.3">
      <c r="D13" s="4">
        <f>SUM(D7:D12)</f>
        <v>231161</v>
      </c>
      <c r="H13" s="33">
        <f>SUM(H7:H12)</f>
        <v>36909</v>
      </c>
    </row>
    <row r="14" spans="1:8" ht="18.75" x14ac:dyDescent="0.3">
      <c r="A14" s="5"/>
      <c r="C14" s="3"/>
      <c r="D14" s="4"/>
      <c r="H14" s="4"/>
    </row>
    <row r="15" spans="1:8" ht="15.75" thickBot="1" x14ac:dyDescent="0.3">
      <c r="D15" s="7"/>
      <c r="H15" s="7"/>
    </row>
    <row r="17" spans="1:8" ht="18.75" x14ac:dyDescent="0.3">
      <c r="C17" t="s">
        <v>4</v>
      </c>
      <c r="D17" s="4">
        <f>D3-D13</f>
        <v>78239</v>
      </c>
      <c r="G17" t="s">
        <v>5</v>
      </c>
      <c r="H17" s="4">
        <f>H3-H13</f>
        <v>12491</v>
      </c>
    </row>
    <row r="19" spans="1:8" x14ac:dyDescent="0.25">
      <c r="G19" t="s">
        <v>454</v>
      </c>
    </row>
    <row r="20" spans="1:8" ht="15.75" x14ac:dyDescent="0.25">
      <c r="A20" t="s">
        <v>6</v>
      </c>
      <c r="C20" s="8">
        <f>D17</f>
        <v>78239</v>
      </c>
      <c r="E20" t="s">
        <v>10</v>
      </c>
      <c r="H20" s="6">
        <f>C29</f>
        <v>64510.400000000001</v>
      </c>
    </row>
    <row r="22" spans="1:8" ht="15.75" x14ac:dyDescent="0.25">
      <c r="A22" t="s">
        <v>5</v>
      </c>
      <c r="B22" s="9" t="s">
        <v>7</v>
      </c>
      <c r="C22" s="8">
        <f>H17</f>
        <v>12491</v>
      </c>
      <c r="E22" s="13" t="s">
        <v>11</v>
      </c>
      <c r="F22" s="9" t="s">
        <v>12</v>
      </c>
      <c r="G22" s="15" t="s">
        <v>17</v>
      </c>
      <c r="H22" s="3">
        <f>-(F23*0.0077)</f>
        <v>-2002</v>
      </c>
    </row>
    <row r="23" spans="1:8" x14ac:dyDescent="0.25">
      <c r="F23" s="21">
        <f>D3-H3</f>
        <v>260000</v>
      </c>
    </row>
    <row r="24" spans="1:8" ht="16.5" thickBot="1" x14ac:dyDescent="0.3">
      <c r="A24" t="s">
        <v>8</v>
      </c>
      <c r="B24" s="9" t="s">
        <v>7</v>
      </c>
      <c r="C24" s="8">
        <f>D3*0.004</f>
        <v>1237.6000000000001</v>
      </c>
      <c r="F24" s="9" t="s">
        <v>13</v>
      </c>
      <c r="G24" s="16">
        <v>0.35</v>
      </c>
      <c r="H24" s="17">
        <f>-(F25*0.35)</f>
        <v>-22578.639999999999</v>
      </c>
    </row>
    <row r="25" spans="1:8" x14ac:dyDescent="0.25">
      <c r="F25" s="21">
        <f>H20</f>
        <v>64510.400000000001</v>
      </c>
    </row>
    <row r="26" spans="1:8" ht="15.75" x14ac:dyDescent="0.25">
      <c r="A26" t="s">
        <v>9</v>
      </c>
      <c r="B26" s="9" t="s">
        <v>7</v>
      </c>
      <c r="C26" s="10"/>
      <c r="G26" s="13" t="s">
        <v>14</v>
      </c>
      <c r="H26" s="6">
        <f>H20+H22+H24</f>
        <v>39929.760000000002</v>
      </c>
    </row>
    <row r="27" spans="1:8" ht="15.75" thickBot="1" x14ac:dyDescent="0.3">
      <c r="A27" s="16"/>
      <c r="B27" s="14"/>
      <c r="C27" s="7"/>
    </row>
    <row r="28" spans="1:8" x14ac:dyDescent="0.25">
      <c r="E28" t="s">
        <v>100</v>
      </c>
      <c r="H28" s="20">
        <f>H26*0.4</f>
        <v>15971.904000000002</v>
      </c>
    </row>
    <row r="29" spans="1:8" ht="15.75" x14ac:dyDescent="0.25">
      <c r="A29" t="s">
        <v>10</v>
      </c>
      <c r="C29" s="10">
        <f>C20-C22-C24-C26</f>
        <v>64510.400000000001</v>
      </c>
      <c r="H29" s="18"/>
    </row>
    <row r="30" spans="1:8" x14ac:dyDescent="0.25">
      <c r="H30" s="3"/>
    </row>
    <row r="31" spans="1:8" x14ac:dyDescent="0.25">
      <c r="H31" s="18"/>
    </row>
  </sheetData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4E04F-A099-4076-BBDB-6D8B4FB6BAFA}">
  <dimension ref="A1:H31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388</v>
      </c>
    </row>
    <row r="3" spans="1:8" ht="21" x14ac:dyDescent="0.35">
      <c r="A3" s="2" t="s">
        <v>1</v>
      </c>
      <c r="D3" s="11">
        <v>2193532</v>
      </c>
      <c r="F3" s="12" t="s">
        <v>3</v>
      </c>
      <c r="H3" s="11">
        <v>357743</v>
      </c>
    </row>
    <row r="4" spans="1:8" x14ac:dyDescent="0.25">
      <c r="A4" s="13" t="s">
        <v>29</v>
      </c>
      <c r="C4" s="28">
        <v>567</v>
      </c>
    </row>
    <row r="5" spans="1:8" ht="21" x14ac:dyDescent="0.35">
      <c r="A5" s="2" t="s">
        <v>2</v>
      </c>
    </row>
    <row r="7" spans="1:8" ht="18.75" x14ac:dyDescent="0.3">
      <c r="A7" s="5" t="s">
        <v>310</v>
      </c>
      <c r="D7" s="4">
        <v>667611</v>
      </c>
      <c r="E7" s="27"/>
      <c r="H7" s="4">
        <v>106593</v>
      </c>
    </row>
    <row r="8" spans="1:8" ht="18.75" x14ac:dyDescent="0.3">
      <c r="A8" s="5" t="s">
        <v>455</v>
      </c>
      <c r="D8" s="4">
        <v>299080</v>
      </c>
      <c r="E8" s="27"/>
      <c r="H8" s="4">
        <v>47752</v>
      </c>
    </row>
    <row r="9" spans="1:8" ht="18.75" x14ac:dyDescent="0.3">
      <c r="A9" s="5" t="s">
        <v>456</v>
      </c>
      <c r="D9" s="4">
        <v>201348</v>
      </c>
      <c r="E9" s="27"/>
      <c r="H9" s="4">
        <v>32148</v>
      </c>
    </row>
    <row r="10" spans="1:8" ht="18.75" x14ac:dyDescent="0.3">
      <c r="A10" s="5" t="s">
        <v>457</v>
      </c>
      <c r="D10" s="4">
        <v>230000</v>
      </c>
      <c r="E10" s="27"/>
      <c r="H10" s="4"/>
    </row>
    <row r="11" spans="1:8" ht="18.75" x14ac:dyDescent="0.3">
      <c r="A11" s="5"/>
      <c r="D11" s="30"/>
      <c r="E11" s="27"/>
      <c r="H11" s="30"/>
    </row>
    <row r="12" spans="1:8" ht="19.5" thickBot="1" x14ac:dyDescent="0.35">
      <c r="A12" s="5"/>
      <c r="D12" s="23"/>
      <c r="E12" s="27"/>
      <c r="H12" s="23"/>
    </row>
    <row r="13" spans="1:8" ht="18.75" x14ac:dyDescent="0.3">
      <c r="D13" s="4">
        <f>SUM(D7:D12)</f>
        <v>1398039</v>
      </c>
      <c r="H13" s="33">
        <f>SUM(H7:H12)</f>
        <v>186493</v>
      </c>
    </row>
    <row r="14" spans="1:8" ht="18.75" x14ac:dyDescent="0.3">
      <c r="A14" s="5"/>
      <c r="C14" s="3"/>
      <c r="D14" s="4"/>
      <c r="H14" s="4"/>
    </row>
    <row r="15" spans="1:8" ht="15.75" thickBot="1" x14ac:dyDescent="0.3">
      <c r="D15" s="7"/>
      <c r="H15" s="7"/>
    </row>
    <row r="17" spans="1:8" ht="18.75" x14ac:dyDescent="0.3">
      <c r="C17" t="s">
        <v>4</v>
      </c>
      <c r="D17" s="4">
        <f>D3-D13</f>
        <v>795493</v>
      </c>
      <c r="G17" t="s">
        <v>5</v>
      </c>
      <c r="H17" s="4">
        <f>H3-H13</f>
        <v>171250</v>
      </c>
    </row>
    <row r="19" spans="1:8" x14ac:dyDescent="0.25">
      <c r="G19" t="s">
        <v>454</v>
      </c>
    </row>
    <row r="20" spans="1:8" ht="15.75" x14ac:dyDescent="0.25">
      <c r="A20" t="s">
        <v>6</v>
      </c>
      <c r="C20" s="8">
        <f>D17</f>
        <v>795493</v>
      </c>
      <c r="E20" t="s">
        <v>10</v>
      </c>
      <c r="H20" s="6">
        <f>C29</f>
        <v>615468.87199999997</v>
      </c>
    </row>
    <row r="22" spans="1:8" ht="15.75" x14ac:dyDescent="0.25">
      <c r="A22" t="s">
        <v>5</v>
      </c>
      <c r="B22" s="9" t="s">
        <v>7</v>
      </c>
      <c r="C22" s="8">
        <f>H17</f>
        <v>171250</v>
      </c>
      <c r="E22" s="13" t="s">
        <v>11</v>
      </c>
      <c r="F22" s="9" t="s">
        <v>12</v>
      </c>
      <c r="G22" s="15" t="s">
        <v>17</v>
      </c>
      <c r="H22" s="3">
        <f>-(F23*0.0077)</f>
        <v>-14498.022000000001</v>
      </c>
    </row>
    <row r="23" spans="1:8" x14ac:dyDescent="0.25">
      <c r="F23" s="21">
        <v>1882860</v>
      </c>
    </row>
    <row r="24" spans="1:8" ht="16.5" thickBot="1" x14ac:dyDescent="0.3">
      <c r="A24" t="s">
        <v>8</v>
      </c>
      <c r="B24" s="9" t="s">
        <v>7</v>
      </c>
      <c r="C24" s="8">
        <f>D3*0.004</f>
        <v>8774.1280000000006</v>
      </c>
      <c r="F24" s="9" t="s">
        <v>13</v>
      </c>
      <c r="G24" s="16">
        <v>0.35</v>
      </c>
      <c r="H24" s="17">
        <f>-(F25*0.35)</f>
        <v>-215414.10519999999</v>
      </c>
    </row>
    <row r="25" spans="1:8" x14ac:dyDescent="0.25">
      <c r="F25" s="21">
        <f>H20</f>
        <v>615468.87199999997</v>
      </c>
    </row>
    <row r="26" spans="1:8" ht="15.75" x14ac:dyDescent="0.25">
      <c r="A26" t="s">
        <v>9</v>
      </c>
      <c r="B26" s="9" t="s">
        <v>7</v>
      </c>
      <c r="C26" s="10"/>
      <c r="G26" s="13" t="s">
        <v>14</v>
      </c>
      <c r="H26" s="6">
        <f>H20+H22+H24</f>
        <v>385556.74479999999</v>
      </c>
    </row>
    <row r="27" spans="1:8" ht="15.75" thickBot="1" x14ac:dyDescent="0.3">
      <c r="A27" s="16"/>
      <c r="B27" s="14"/>
      <c r="C27" s="7"/>
    </row>
    <row r="28" spans="1:8" x14ac:dyDescent="0.25">
      <c r="E28" t="s">
        <v>100</v>
      </c>
      <c r="H28" s="20">
        <f>H26*0.4</f>
        <v>154222.69792000001</v>
      </c>
    </row>
    <row r="29" spans="1:8" ht="15.75" x14ac:dyDescent="0.25">
      <c r="A29" t="s">
        <v>10</v>
      </c>
      <c r="C29" s="10">
        <f>C20-C22-C24-C26</f>
        <v>615468.87199999997</v>
      </c>
      <c r="H29" s="18"/>
    </row>
    <row r="30" spans="1:8" x14ac:dyDescent="0.25">
      <c r="H30" s="3"/>
    </row>
    <row r="31" spans="1:8" x14ac:dyDescent="0.25">
      <c r="H31" s="18"/>
    </row>
  </sheetData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FF45D-D0FA-40F8-8497-3982838A0F5D}">
  <dimension ref="A1:H31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388</v>
      </c>
    </row>
    <row r="3" spans="1:8" ht="21" x14ac:dyDescent="0.35">
      <c r="A3" s="2" t="s">
        <v>1</v>
      </c>
      <c r="D3" s="11">
        <v>211225</v>
      </c>
      <c r="F3" s="12" t="s">
        <v>3</v>
      </c>
      <c r="H3" s="11">
        <v>33725</v>
      </c>
    </row>
    <row r="4" spans="1:8" x14ac:dyDescent="0.25">
      <c r="A4" s="13" t="s">
        <v>29</v>
      </c>
      <c r="C4" s="28">
        <v>568</v>
      </c>
    </row>
    <row r="5" spans="1:8" ht="21" x14ac:dyDescent="0.35">
      <c r="A5" s="2" t="s">
        <v>2</v>
      </c>
    </row>
    <row r="7" spans="1:8" ht="18.75" x14ac:dyDescent="0.3">
      <c r="A7" s="5" t="s">
        <v>458</v>
      </c>
      <c r="D7" s="4">
        <v>122287</v>
      </c>
      <c r="E7" s="27"/>
      <c r="H7" s="4">
        <v>19525</v>
      </c>
    </row>
    <row r="8" spans="1:8" ht="18.75" x14ac:dyDescent="0.3">
      <c r="A8" s="5"/>
      <c r="D8" s="4"/>
      <c r="E8" s="27"/>
      <c r="H8" s="4"/>
    </row>
    <row r="9" spans="1:8" ht="18.75" x14ac:dyDescent="0.3">
      <c r="A9" s="5"/>
      <c r="D9" s="4"/>
      <c r="E9" s="27"/>
      <c r="H9" s="4"/>
    </row>
    <row r="10" spans="1:8" ht="18.75" x14ac:dyDescent="0.3">
      <c r="A10" s="5"/>
      <c r="D10" s="4"/>
      <c r="E10" s="27"/>
      <c r="H10" s="4"/>
    </row>
    <row r="11" spans="1:8" ht="18.75" x14ac:dyDescent="0.3">
      <c r="A11" s="5"/>
      <c r="D11" s="30"/>
      <c r="E11" s="27"/>
      <c r="H11" s="30"/>
    </row>
    <row r="12" spans="1:8" ht="19.5" thickBot="1" x14ac:dyDescent="0.35">
      <c r="A12" s="5"/>
      <c r="D12" s="23"/>
      <c r="E12" s="27"/>
      <c r="H12" s="23"/>
    </row>
    <row r="13" spans="1:8" ht="18.75" x14ac:dyDescent="0.3">
      <c r="D13" s="4">
        <f>SUM(D7:D12)</f>
        <v>122287</v>
      </c>
      <c r="H13" s="33">
        <f>SUM(H7:H12)</f>
        <v>19525</v>
      </c>
    </row>
    <row r="14" spans="1:8" ht="18.75" x14ac:dyDescent="0.3">
      <c r="A14" s="5"/>
      <c r="C14" s="3"/>
      <c r="D14" s="4"/>
      <c r="H14" s="4"/>
    </row>
    <row r="15" spans="1:8" ht="15.75" thickBot="1" x14ac:dyDescent="0.3">
      <c r="D15" s="7"/>
      <c r="H15" s="7"/>
    </row>
    <row r="17" spans="1:8" ht="18.75" x14ac:dyDescent="0.3">
      <c r="C17" t="s">
        <v>4</v>
      </c>
      <c r="D17" s="4">
        <f>D3-D13</f>
        <v>88938</v>
      </c>
      <c r="G17" t="s">
        <v>5</v>
      </c>
      <c r="H17" s="4">
        <f>H3-H13</f>
        <v>14200</v>
      </c>
    </row>
    <row r="19" spans="1:8" x14ac:dyDescent="0.25">
      <c r="G19" t="s">
        <v>454</v>
      </c>
    </row>
    <row r="20" spans="1:8" ht="15.75" x14ac:dyDescent="0.25">
      <c r="A20" t="s">
        <v>6</v>
      </c>
      <c r="C20" s="8">
        <f>D17</f>
        <v>88938</v>
      </c>
      <c r="E20" t="s">
        <v>10</v>
      </c>
      <c r="H20" s="6">
        <f>C29</f>
        <v>73893.100000000006</v>
      </c>
    </row>
    <row r="22" spans="1:8" ht="15.75" x14ac:dyDescent="0.25">
      <c r="A22" t="s">
        <v>5</v>
      </c>
      <c r="B22" s="9" t="s">
        <v>7</v>
      </c>
      <c r="C22" s="8">
        <f>H17</f>
        <v>14200</v>
      </c>
      <c r="E22" s="13" t="s">
        <v>11</v>
      </c>
      <c r="F22" s="9" t="s">
        <v>12</v>
      </c>
      <c r="G22" s="15" t="s">
        <v>17</v>
      </c>
      <c r="H22" s="3">
        <f>-(F23*0.0077)</f>
        <v>-1366.75</v>
      </c>
    </row>
    <row r="23" spans="1:8" x14ac:dyDescent="0.25">
      <c r="F23" s="21">
        <f>D3-H3</f>
        <v>177500</v>
      </c>
    </row>
    <row r="24" spans="1:8" ht="16.5" thickBot="1" x14ac:dyDescent="0.3">
      <c r="A24" t="s">
        <v>8</v>
      </c>
      <c r="B24" s="9" t="s">
        <v>7</v>
      </c>
      <c r="C24" s="8">
        <f>D3*0.004</f>
        <v>844.9</v>
      </c>
      <c r="F24" s="9" t="s">
        <v>13</v>
      </c>
      <c r="G24" s="16">
        <v>0.35</v>
      </c>
      <c r="H24" s="17">
        <f>-(F25*0.35)</f>
        <v>-25862.584999999999</v>
      </c>
    </row>
    <row r="25" spans="1:8" x14ac:dyDescent="0.25">
      <c r="F25" s="21">
        <f>H20</f>
        <v>73893.100000000006</v>
      </c>
    </row>
    <row r="26" spans="1:8" ht="15.75" x14ac:dyDescent="0.25">
      <c r="A26" t="s">
        <v>9</v>
      </c>
      <c r="B26" s="9" t="s">
        <v>7</v>
      </c>
      <c r="C26" s="10"/>
      <c r="G26" s="13" t="s">
        <v>14</v>
      </c>
      <c r="H26" s="6">
        <f>H20+H22+H24</f>
        <v>46663.765000000007</v>
      </c>
    </row>
    <row r="27" spans="1:8" ht="15.75" thickBot="1" x14ac:dyDescent="0.3">
      <c r="A27" s="16"/>
      <c r="B27" s="14"/>
      <c r="C27" s="7"/>
    </row>
    <row r="28" spans="1:8" x14ac:dyDescent="0.25">
      <c r="E28" t="s">
        <v>100</v>
      </c>
      <c r="H28" s="20">
        <f>H26*0.4</f>
        <v>18665.506000000005</v>
      </c>
    </row>
    <row r="29" spans="1:8" ht="15.75" x14ac:dyDescent="0.25">
      <c r="A29" t="s">
        <v>10</v>
      </c>
      <c r="C29" s="10">
        <f>C20-C22-C24-C26</f>
        <v>73893.100000000006</v>
      </c>
      <c r="H29" s="18"/>
    </row>
    <row r="30" spans="1:8" x14ac:dyDescent="0.25">
      <c r="H30" s="3"/>
    </row>
    <row r="31" spans="1:8" x14ac:dyDescent="0.25">
      <c r="H31" s="18"/>
    </row>
  </sheetData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5A1FA-43D7-4B51-ADEE-D005CBE16337}">
  <dimension ref="A1:H31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459</v>
      </c>
    </row>
    <row r="3" spans="1:8" ht="21" x14ac:dyDescent="0.35">
      <c r="A3" s="2" t="s">
        <v>1</v>
      </c>
      <c r="D3" s="11">
        <v>928200</v>
      </c>
      <c r="F3" s="12" t="s">
        <v>3</v>
      </c>
      <c r="H3" s="11">
        <v>148200</v>
      </c>
    </row>
    <row r="4" spans="1:8" x14ac:dyDescent="0.25">
      <c r="A4" s="13" t="s">
        <v>29</v>
      </c>
      <c r="C4" s="28">
        <v>571</v>
      </c>
    </row>
    <row r="5" spans="1:8" ht="21" x14ac:dyDescent="0.35">
      <c r="A5" s="2" t="s">
        <v>2</v>
      </c>
    </row>
    <row r="7" spans="1:8" ht="18.75" x14ac:dyDescent="0.3">
      <c r="A7" s="5" t="s">
        <v>310</v>
      </c>
      <c r="D7" s="4">
        <v>64303</v>
      </c>
      <c r="E7" s="27"/>
      <c r="H7" s="4">
        <v>10267</v>
      </c>
    </row>
    <row r="8" spans="1:8" ht="18.75" x14ac:dyDescent="0.3">
      <c r="A8" s="5" t="s">
        <v>460</v>
      </c>
      <c r="D8" s="4">
        <v>192000</v>
      </c>
      <c r="E8" s="27"/>
      <c r="H8" s="4"/>
    </row>
    <row r="9" spans="1:8" ht="18.75" x14ac:dyDescent="0.3">
      <c r="A9" s="5" t="s">
        <v>461</v>
      </c>
      <c r="D9" s="4">
        <v>22000</v>
      </c>
      <c r="E9" s="27"/>
      <c r="H9" s="4"/>
    </row>
    <row r="10" spans="1:8" ht="18.75" x14ac:dyDescent="0.3">
      <c r="A10" s="5"/>
      <c r="D10" s="4"/>
      <c r="E10" s="27"/>
      <c r="H10" s="4"/>
    </row>
    <row r="11" spans="1:8" ht="18.75" x14ac:dyDescent="0.3">
      <c r="A11" s="5"/>
      <c r="D11" s="30"/>
      <c r="E11" s="27"/>
      <c r="H11" s="30"/>
    </row>
    <row r="12" spans="1:8" ht="19.5" thickBot="1" x14ac:dyDescent="0.35">
      <c r="A12" s="5"/>
      <c r="D12" s="23"/>
      <c r="E12" s="27"/>
      <c r="H12" s="23"/>
    </row>
    <row r="13" spans="1:8" ht="18.75" x14ac:dyDescent="0.3">
      <c r="D13" s="4">
        <f>SUM(D7:D12)</f>
        <v>278303</v>
      </c>
      <c r="H13" s="33">
        <f>SUM(H7:H12)</f>
        <v>10267</v>
      </c>
    </row>
    <row r="14" spans="1:8" ht="18.75" x14ac:dyDescent="0.3">
      <c r="A14" s="5"/>
      <c r="C14" s="3"/>
      <c r="D14" s="4"/>
      <c r="H14" s="4"/>
    </row>
    <row r="15" spans="1:8" ht="15.75" thickBot="1" x14ac:dyDescent="0.3">
      <c r="D15" s="7"/>
      <c r="H15" s="7"/>
    </row>
    <row r="17" spans="1:8" ht="18.75" x14ac:dyDescent="0.3">
      <c r="C17" t="s">
        <v>4</v>
      </c>
      <c r="D17" s="4">
        <f>D3-D13</f>
        <v>649897</v>
      </c>
      <c r="G17" t="s">
        <v>5</v>
      </c>
      <c r="H17" s="4">
        <f>H3-H13</f>
        <v>137933</v>
      </c>
    </row>
    <row r="19" spans="1:8" x14ac:dyDescent="0.25">
      <c r="G19" t="s">
        <v>454</v>
      </c>
    </row>
    <row r="20" spans="1:8" ht="15.75" x14ac:dyDescent="0.25">
      <c r="A20" t="s">
        <v>6</v>
      </c>
      <c r="C20" s="8">
        <f>D17</f>
        <v>649897</v>
      </c>
      <c r="E20" t="s">
        <v>10</v>
      </c>
      <c r="H20" s="6">
        <f>C29</f>
        <v>508251.2</v>
      </c>
    </row>
    <row r="22" spans="1:8" ht="15.75" x14ac:dyDescent="0.25">
      <c r="A22" t="s">
        <v>5</v>
      </c>
      <c r="B22" s="9" t="s">
        <v>7</v>
      </c>
      <c r="C22" s="8">
        <f>H17</f>
        <v>137933</v>
      </c>
      <c r="E22" s="13" t="s">
        <v>11</v>
      </c>
      <c r="F22" s="9" t="s">
        <v>12</v>
      </c>
      <c r="G22" s="15" t="s">
        <v>17</v>
      </c>
      <c r="H22" s="3">
        <f>-(F23*0.0077)</f>
        <v>-6006</v>
      </c>
    </row>
    <row r="23" spans="1:8" x14ac:dyDescent="0.25">
      <c r="F23" s="21">
        <f>D3-H3</f>
        <v>780000</v>
      </c>
    </row>
    <row r="24" spans="1:8" ht="16.5" thickBot="1" x14ac:dyDescent="0.3">
      <c r="A24" t="s">
        <v>8</v>
      </c>
      <c r="B24" s="9" t="s">
        <v>7</v>
      </c>
      <c r="C24" s="8">
        <f>D3*0.004</f>
        <v>3712.8</v>
      </c>
      <c r="F24" s="9" t="s">
        <v>13</v>
      </c>
      <c r="G24" s="16">
        <v>0.35</v>
      </c>
      <c r="H24" s="17">
        <f>-(F25*0.35)</f>
        <v>-177887.91999999998</v>
      </c>
    </row>
    <row r="25" spans="1:8" x14ac:dyDescent="0.25">
      <c r="F25" s="21">
        <f>H20</f>
        <v>508251.2</v>
      </c>
    </row>
    <row r="26" spans="1:8" ht="15.75" x14ac:dyDescent="0.25">
      <c r="A26" t="s">
        <v>9</v>
      </c>
      <c r="B26" s="9" t="s">
        <v>7</v>
      </c>
      <c r="C26" s="10"/>
      <c r="G26" s="13" t="s">
        <v>14</v>
      </c>
      <c r="H26" s="6">
        <f>H20+H22+H24</f>
        <v>324357.28000000003</v>
      </c>
    </row>
    <row r="27" spans="1:8" ht="15.75" thickBot="1" x14ac:dyDescent="0.3">
      <c r="A27" s="16"/>
      <c r="B27" s="14"/>
      <c r="C27" s="7"/>
    </row>
    <row r="28" spans="1:8" x14ac:dyDescent="0.25">
      <c r="E28" t="s">
        <v>100</v>
      </c>
      <c r="H28" s="20">
        <f>H26*0.4</f>
        <v>129742.91200000001</v>
      </c>
    </row>
    <row r="29" spans="1:8" ht="15.75" x14ac:dyDescent="0.25">
      <c r="A29" t="s">
        <v>10</v>
      </c>
      <c r="C29" s="10">
        <f>C20-C22-C24-C26</f>
        <v>508251.2</v>
      </c>
      <c r="H29" s="18"/>
    </row>
    <row r="30" spans="1:8" x14ac:dyDescent="0.25">
      <c r="H30" s="3"/>
    </row>
    <row r="31" spans="1:8" x14ac:dyDescent="0.25">
      <c r="H31" s="18"/>
    </row>
  </sheetData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6CE97-D3A9-40BA-9446-63083D84F7E1}">
  <dimension ref="A1:H31"/>
  <sheetViews>
    <sheetView workbookViewId="0">
      <selection activeCell="G31" sqref="G31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462</v>
      </c>
    </row>
    <row r="3" spans="1:8" ht="21" x14ac:dyDescent="0.35">
      <c r="A3" s="2" t="s">
        <v>1</v>
      </c>
      <c r="D3" s="11">
        <v>643314</v>
      </c>
      <c r="F3" s="12" t="s">
        <v>3</v>
      </c>
      <c r="H3" s="11">
        <v>102714</v>
      </c>
    </row>
    <row r="4" spans="1:8" x14ac:dyDescent="0.25">
      <c r="A4" s="13" t="s">
        <v>29</v>
      </c>
      <c r="C4" s="28">
        <v>572</v>
      </c>
    </row>
    <row r="5" spans="1:8" ht="21" x14ac:dyDescent="0.35">
      <c r="A5" s="2" t="s">
        <v>2</v>
      </c>
    </row>
    <row r="7" spans="1:8" ht="18.75" x14ac:dyDescent="0.3">
      <c r="A7" s="5" t="s">
        <v>463</v>
      </c>
      <c r="D7" s="4">
        <v>416500</v>
      </c>
      <c r="E7" s="27"/>
      <c r="H7" s="4">
        <v>66500</v>
      </c>
    </row>
    <row r="8" spans="1:8" ht="18.75" x14ac:dyDescent="0.3">
      <c r="A8" s="5"/>
      <c r="D8" s="4"/>
      <c r="E8" s="27"/>
      <c r="H8" s="4"/>
    </row>
    <row r="9" spans="1:8" ht="18.75" x14ac:dyDescent="0.3">
      <c r="A9" s="5"/>
      <c r="D9" s="4"/>
      <c r="E9" s="27"/>
      <c r="H9" s="4"/>
    </row>
    <row r="10" spans="1:8" ht="18.75" x14ac:dyDescent="0.3">
      <c r="A10" s="5"/>
      <c r="D10" s="4"/>
      <c r="E10" s="27"/>
      <c r="H10" s="4"/>
    </row>
    <row r="11" spans="1:8" ht="18.75" x14ac:dyDescent="0.3">
      <c r="A11" s="5"/>
      <c r="D11" s="30"/>
      <c r="E11" s="27"/>
      <c r="H11" s="30"/>
    </row>
    <row r="12" spans="1:8" ht="19.5" thickBot="1" x14ac:dyDescent="0.35">
      <c r="A12" s="5"/>
      <c r="D12" s="23"/>
      <c r="E12" s="27"/>
      <c r="H12" s="23"/>
    </row>
    <row r="13" spans="1:8" ht="18.75" x14ac:dyDescent="0.3">
      <c r="D13" s="4">
        <f>SUM(D7:D12)</f>
        <v>416500</v>
      </c>
      <c r="H13" s="33">
        <f>SUM(H7:H12)</f>
        <v>66500</v>
      </c>
    </row>
    <row r="14" spans="1:8" ht="18.75" x14ac:dyDescent="0.3">
      <c r="A14" s="5"/>
      <c r="C14" s="3"/>
      <c r="D14" s="4"/>
      <c r="H14" s="4"/>
    </row>
    <row r="15" spans="1:8" ht="15.75" thickBot="1" x14ac:dyDescent="0.3">
      <c r="D15" s="7"/>
      <c r="H15" s="7"/>
    </row>
    <row r="17" spans="1:8" ht="18.75" x14ac:dyDescent="0.3">
      <c r="C17" t="s">
        <v>4</v>
      </c>
      <c r="D17" s="4">
        <f>D3-D13</f>
        <v>226814</v>
      </c>
      <c r="G17" t="s">
        <v>5</v>
      </c>
      <c r="H17" s="4">
        <f>H3-H13</f>
        <v>36214</v>
      </c>
    </row>
    <row r="19" spans="1:8" x14ac:dyDescent="0.25">
      <c r="G19" t="s">
        <v>454</v>
      </c>
    </row>
    <row r="20" spans="1:8" ht="15.75" x14ac:dyDescent="0.25">
      <c r="A20" t="s">
        <v>6</v>
      </c>
      <c r="C20" s="8">
        <f>D17</f>
        <v>226814</v>
      </c>
      <c r="E20" t="s">
        <v>10</v>
      </c>
      <c r="H20" s="6">
        <f>C29</f>
        <v>188026.74400000001</v>
      </c>
    </row>
    <row r="22" spans="1:8" ht="15.75" x14ac:dyDescent="0.25">
      <c r="A22" t="s">
        <v>5</v>
      </c>
      <c r="B22" s="9" t="s">
        <v>7</v>
      </c>
      <c r="C22" s="8">
        <f>H17</f>
        <v>36214</v>
      </c>
      <c r="E22" s="13" t="s">
        <v>11</v>
      </c>
      <c r="F22" s="9" t="s">
        <v>12</v>
      </c>
      <c r="G22" s="15" t="s">
        <v>17</v>
      </c>
      <c r="H22" s="3">
        <f>-(F23*0.0077)</f>
        <v>-4162.62</v>
      </c>
    </row>
    <row r="23" spans="1:8" x14ac:dyDescent="0.25">
      <c r="F23" s="21">
        <f>D3-H3</f>
        <v>540600</v>
      </c>
    </row>
    <row r="24" spans="1:8" ht="16.5" thickBot="1" x14ac:dyDescent="0.3">
      <c r="A24" t="s">
        <v>8</v>
      </c>
      <c r="B24" s="9" t="s">
        <v>7</v>
      </c>
      <c r="C24" s="8">
        <f>D3*0.004</f>
        <v>2573.2559999999999</v>
      </c>
      <c r="F24" s="9" t="s">
        <v>13</v>
      </c>
      <c r="G24" s="16">
        <v>0.35</v>
      </c>
      <c r="H24" s="17">
        <f>-(F25*0.35)</f>
        <v>-65809.360400000005</v>
      </c>
    </row>
    <row r="25" spans="1:8" x14ac:dyDescent="0.25">
      <c r="F25" s="21">
        <f>H20</f>
        <v>188026.74400000001</v>
      </c>
    </row>
    <row r="26" spans="1:8" ht="15.75" x14ac:dyDescent="0.25">
      <c r="A26" t="s">
        <v>9</v>
      </c>
      <c r="B26" s="9" t="s">
        <v>7</v>
      </c>
      <c r="C26" s="10"/>
      <c r="G26" s="13" t="s">
        <v>14</v>
      </c>
      <c r="H26" s="6">
        <f>H20+H22+H24</f>
        <v>118054.76360000001</v>
      </c>
    </row>
    <row r="27" spans="1:8" ht="15.75" thickBot="1" x14ac:dyDescent="0.3">
      <c r="A27" s="16"/>
      <c r="B27" s="14"/>
      <c r="C27" s="7"/>
    </row>
    <row r="28" spans="1:8" x14ac:dyDescent="0.25">
      <c r="E28" t="s">
        <v>100</v>
      </c>
      <c r="H28" s="20">
        <f>H26*0.4</f>
        <v>47221.905440000002</v>
      </c>
    </row>
    <row r="29" spans="1:8" ht="15.75" x14ac:dyDescent="0.25">
      <c r="A29" t="s">
        <v>10</v>
      </c>
      <c r="C29" s="10">
        <f>C20-C22-C24-C26</f>
        <v>188026.74400000001</v>
      </c>
      <c r="H29" s="18"/>
    </row>
    <row r="30" spans="1:8" x14ac:dyDescent="0.25">
      <c r="H30" s="3"/>
    </row>
    <row r="31" spans="1:8" x14ac:dyDescent="0.25">
      <c r="H31" s="18"/>
    </row>
  </sheetData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716D6-E7E6-49D1-9EC5-6C9D1F103C52}">
  <dimension ref="A1:H32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388</v>
      </c>
    </row>
    <row r="3" spans="1:8" ht="21" x14ac:dyDescent="0.35">
      <c r="A3" s="2" t="s">
        <v>1</v>
      </c>
      <c r="D3" s="11">
        <v>16705168</v>
      </c>
      <c r="F3" s="12" t="s">
        <v>3</v>
      </c>
      <c r="H3" s="11">
        <v>2724448</v>
      </c>
    </row>
    <row r="4" spans="1:8" x14ac:dyDescent="0.25">
      <c r="A4" s="13" t="s">
        <v>29</v>
      </c>
      <c r="C4" s="28">
        <v>573</v>
      </c>
    </row>
    <row r="5" spans="1:8" ht="21" x14ac:dyDescent="0.35">
      <c r="A5" s="2" t="s">
        <v>2</v>
      </c>
    </row>
    <row r="7" spans="1:8" ht="18.75" x14ac:dyDescent="0.3">
      <c r="A7" s="5" t="s">
        <v>464</v>
      </c>
      <c r="D7" s="4">
        <v>2168431</v>
      </c>
      <c r="E7" s="27"/>
      <c r="H7" s="4">
        <v>346220</v>
      </c>
    </row>
    <row r="8" spans="1:8" ht="18.75" x14ac:dyDescent="0.3">
      <c r="A8" s="5" t="s">
        <v>465</v>
      </c>
      <c r="D8" s="4">
        <v>3974600</v>
      </c>
      <c r="E8" s="27"/>
      <c r="H8" s="4">
        <v>634600</v>
      </c>
    </row>
    <row r="9" spans="1:8" ht="18.75" x14ac:dyDescent="0.3">
      <c r="A9" s="5" t="s">
        <v>466</v>
      </c>
      <c r="D9" s="4">
        <v>315588</v>
      </c>
      <c r="E9" s="27"/>
      <c r="H9" s="4">
        <v>50388</v>
      </c>
    </row>
    <row r="10" spans="1:8" ht="18.75" x14ac:dyDescent="0.3">
      <c r="A10" s="5" t="s">
        <v>62</v>
      </c>
      <c r="D10" s="4">
        <v>2619904</v>
      </c>
      <c r="E10" s="27"/>
      <c r="H10" s="4">
        <v>418304</v>
      </c>
    </row>
    <row r="11" spans="1:8" ht="18.75" x14ac:dyDescent="0.3">
      <c r="A11" s="5" t="s">
        <v>467</v>
      </c>
      <c r="D11" s="30">
        <v>111491</v>
      </c>
      <c r="E11" s="27"/>
      <c r="H11" s="30">
        <v>17801</v>
      </c>
    </row>
    <row r="12" spans="1:8" ht="18.75" x14ac:dyDescent="0.3">
      <c r="A12" s="5" t="s">
        <v>468</v>
      </c>
      <c r="D12" s="30">
        <v>306782</v>
      </c>
      <c r="E12" s="27"/>
      <c r="H12" s="30">
        <v>48982</v>
      </c>
    </row>
    <row r="13" spans="1:8" ht="18.75" x14ac:dyDescent="0.3">
      <c r="A13" s="5" t="s">
        <v>471</v>
      </c>
      <c r="D13" s="30">
        <v>33800</v>
      </c>
      <c r="E13" s="27"/>
      <c r="H13" s="30"/>
    </row>
    <row r="14" spans="1:8" ht="18.75" x14ac:dyDescent="0.3">
      <c r="A14" s="5" t="s">
        <v>222</v>
      </c>
      <c r="D14" s="31">
        <v>4137291</v>
      </c>
      <c r="H14" s="31">
        <v>660576</v>
      </c>
    </row>
    <row r="15" spans="1:8" ht="19.5" thickBot="1" x14ac:dyDescent="0.35">
      <c r="A15" s="5" t="s">
        <v>469</v>
      </c>
      <c r="C15" s="3"/>
      <c r="D15" s="23">
        <v>1170603</v>
      </c>
      <c r="H15" s="23">
        <v>186903</v>
      </c>
    </row>
    <row r="16" spans="1:8" ht="18.75" x14ac:dyDescent="0.3">
      <c r="D16" s="4">
        <f>SUM(D7:D15)</f>
        <v>14838490</v>
      </c>
      <c r="H16" s="33">
        <f>SUM(H7:H15)</f>
        <v>2363774</v>
      </c>
    </row>
    <row r="18" spans="1:8" ht="18.75" x14ac:dyDescent="0.3">
      <c r="C18" t="s">
        <v>4</v>
      </c>
      <c r="D18" s="4">
        <f>D3-D16</f>
        <v>1866678</v>
      </c>
      <c r="G18" t="s">
        <v>5</v>
      </c>
      <c r="H18" s="4">
        <f>H3-H16</f>
        <v>360674</v>
      </c>
    </row>
    <row r="20" spans="1:8" x14ac:dyDescent="0.25">
      <c r="G20" t="s">
        <v>454</v>
      </c>
    </row>
    <row r="21" spans="1:8" ht="15.75" x14ac:dyDescent="0.25">
      <c r="A21" t="s">
        <v>6</v>
      </c>
      <c r="C21" s="8">
        <f>D18</f>
        <v>1866678</v>
      </c>
      <c r="E21" t="s">
        <v>10</v>
      </c>
      <c r="H21" s="6">
        <f>C30</f>
        <v>1439183.328</v>
      </c>
    </row>
    <row r="23" spans="1:8" ht="15.75" x14ac:dyDescent="0.25">
      <c r="A23" t="s">
        <v>5</v>
      </c>
      <c r="B23" s="9" t="s">
        <v>7</v>
      </c>
      <c r="C23" s="8">
        <f>H18</f>
        <v>360674</v>
      </c>
      <c r="E23" s="13" t="s">
        <v>11</v>
      </c>
      <c r="F23" s="9" t="s">
        <v>12</v>
      </c>
      <c r="G23" s="15" t="s">
        <v>17</v>
      </c>
      <c r="H23" s="3">
        <f>-(F24*0.0077)</f>
        <v>-110411.84</v>
      </c>
    </row>
    <row r="24" spans="1:8" x14ac:dyDescent="0.25">
      <c r="F24" s="21">
        <v>14339200</v>
      </c>
    </row>
    <row r="25" spans="1:8" ht="16.5" thickBot="1" x14ac:dyDescent="0.3">
      <c r="A25" t="s">
        <v>8</v>
      </c>
      <c r="B25" s="9" t="s">
        <v>7</v>
      </c>
      <c r="C25" s="8">
        <f>D3*0.004</f>
        <v>66820.672000000006</v>
      </c>
      <c r="F25" s="9" t="s">
        <v>13</v>
      </c>
      <c r="G25" s="16">
        <v>0.35</v>
      </c>
      <c r="H25" s="17">
        <f>-(F26*0.35)</f>
        <v>-503714.16479999997</v>
      </c>
    </row>
    <row r="26" spans="1:8" x14ac:dyDescent="0.25">
      <c r="F26" s="21">
        <f>H21</f>
        <v>1439183.328</v>
      </c>
    </row>
    <row r="27" spans="1:8" ht="15.75" x14ac:dyDescent="0.25">
      <c r="A27" t="s">
        <v>9</v>
      </c>
      <c r="B27" s="9" t="s">
        <v>7</v>
      </c>
      <c r="C27" s="10"/>
      <c r="G27" s="13" t="s">
        <v>14</v>
      </c>
      <c r="H27" s="6">
        <f>H21+H23+H25</f>
        <v>825057.32319999998</v>
      </c>
    </row>
    <row r="28" spans="1:8" ht="15.75" thickBot="1" x14ac:dyDescent="0.3">
      <c r="A28" s="16"/>
      <c r="B28" s="14"/>
      <c r="C28" s="7"/>
    </row>
    <row r="29" spans="1:8" x14ac:dyDescent="0.25">
      <c r="E29" t="s">
        <v>100</v>
      </c>
      <c r="H29" s="20">
        <f>H27*0.4</f>
        <v>330022.92928000004</v>
      </c>
    </row>
    <row r="30" spans="1:8" ht="15.75" x14ac:dyDescent="0.25">
      <c r="A30" t="s">
        <v>10</v>
      </c>
      <c r="C30" s="10">
        <f>C21-C23-C25-C27</f>
        <v>1439183.328</v>
      </c>
      <c r="H30" s="18"/>
    </row>
    <row r="31" spans="1:8" x14ac:dyDescent="0.25">
      <c r="H31" s="3"/>
    </row>
    <row r="32" spans="1:8" x14ac:dyDescent="0.25">
      <c r="H32" s="18"/>
    </row>
  </sheetData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78EDE-C8CF-40C6-898D-E927E2A37F23}">
  <dimension ref="A1:H31"/>
  <sheetViews>
    <sheetView workbookViewId="0">
      <selection activeCell="C5" sqref="C5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470</v>
      </c>
    </row>
    <row r="3" spans="1:8" ht="21" x14ac:dyDescent="0.35">
      <c r="A3" s="2" t="s">
        <v>1</v>
      </c>
      <c r="D3" s="11">
        <v>71400</v>
      </c>
      <c r="F3" s="12" t="s">
        <v>3</v>
      </c>
      <c r="H3" s="11">
        <v>11400</v>
      </c>
    </row>
    <row r="4" spans="1:8" x14ac:dyDescent="0.25">
      <c r="A4" s="13" t="s">
        <v>29</v>
      </c>
      <c r="C4" s="28">
        <v>574</v>
      </c>
    </row>
    <row r="5" spans="1:8" ht="21" x14ac:dyDescent="0.35">
      <c r="A5" s="2" t="s">
        <v>2</v>
      </c>
    </row>
    <row r="7" spans="1:8" ht="18.75" x14ac:dyDescent="0.3">
      <c r="A7" s="5" t="s">
        <v>310</v>
      </c>
      <c r="D7" s="4">
        <v>44863</v>
      </c>
      <c r="E7" s="27"/>
      <c r="H7" s="4">
        <v>7163</v>
      </c>
    </row>
    <row r="8" spans="1:8" ht="18.75" x14ac:dyDescent="0.3">
      <c r="A8" s="5"/>
      <c r="D8" s="4"/>
      <c r="E8" s="27"/>
      <c r="H8" s="4"/>
    </row>
    <row r="9" spans="1:8" ht="18.75" x14ac:dyDescent="0.3">
      <c r="A9" s="5"/>
      <c r="D9" s="4"/>
      <c r="E9" s="27"/>
      <c r="H9" s="4"/>
    </row>
    <row r="10" spans="1:8" ht="18.75" x14ac:dyDescent="0.3">
      <c r="A10" s="5"/>
      <c r="D10" s="4"/>
      <c r="E10" s="27"/>
      <c r="H10" s="4"/>
    </row>
    <row r="11" spans="1:8" ht="18.75" x14ac:dyDescent="0.3">
      <c r="A11" s="5"/>
      <c r="D11" s="30"/>
      <c r="E11" s="27"/>
      <c r="H11" s="30"/>
    </row>
    <row r="12" spans="1:8" ht="18.75" x14ac:dyDescent="0.3">
      <c r="A12" s="5"/>
      <c r="D12" s="30"/>
      <c r="E12" s="27"/>
      <c r="H12" s="30"/>
    </row>
    <row r="13" spans="1:8" ht="18.75" x14ac:dyDescent="0.3">
      <c r="A13" s="5"/>
      <c r="D13" s="31"/>
      <c r="H13" s="31"/>
    </row>
    <row r="14" spans="1:8" ht="19.5" thickBot="1" x14ac:dyDescent="0.35">
      <c r="A14" s="5"/>
      <c r="C14" s="3"/>
      <c r="D14" s="23"/>
      <c r="H14" s="23"/>
    </row>
    <row r="15" spans="1:8" ht="18.75" x14ac:dyDescent="0.3">
      <c r="D15" s="4">
        <f>SUM(D7:D14)</f>
        <v>44863</v>
      </c>
      <c r="H15" s="33">
        <f>SUM(H7:H14)</f>
        <v>7163</v>
      </c>
    </row>
    <row r="16" spans="1:8" ht="15.75" thickBot="1" x14ac:dyDescent="0.3">
      <c r="D16" s="34"/>
      <c r="H16" s="34"/>
    </row>
    <row r="17" spans="1:8" ht="19.5" thickTop="1" x14ac:dyDescent="0.3">
      <c r="C17" t="s">
        <v>4</v>
      </c>
      <c r="D17" s="4">
        <f>D3-D15</f>
        <v>26537</v>
      </c>
      <c r="G17" t="s">
        <v>5</v>
      </c>
      <c r="H17" s="4">
        <f>H3-H15</f>
        <v>4237</v>
      </c>
    </row>
    <row r="19" spans="1:8" x14ac:dyDescent="0.25">
      <c r="G19" t="s">
        <v>454</v>
      </c>
    </row>
    <row r="20" spans="1:8" ht="15.75" x14ac:dyDescent="0.25">
      <c r="A20" t="s">
        <v>6</v>
      </c>
      <c r="C20" s="8">
        <f>D17</f>
        <v>26537</v>
      </c>
      <c r="E20" t="s">
        <v>10</v>
      </c>
      <c r="H20" s="6">
        <f>C29</f>
        <v>22014.400000000001</v>
      </c>
    </row>
    <row r="22" spans="1:8" ht="15.75" x14ac:dyDescent="0.25">
      <c r="A22" t="s">
        <v>5</v>
      </c>
      <c r="B22" s="9" t="s">
        <v>7</v>
      </c>
      <c r="C22" s="8">
        <f>H17</f>
        <v>4237</v>
      </c>
      <c r="E22" s="13" t="s">
        <v>11</v>
      </c>
      <c r="F22" s="9" t="s">
        <v>12</v>
      </c>
      <c r="G22" s="15" t="s">
        <v>17</v>
      </c>
      <c r="H22" s="3">
        <f>-(F23*0.0077)</f>
        <v>-462</v>
      </c>
    </row>
    <row r="23" spans="1:8" x14ac:dyDescent="0.25">
      <c r="F23" s="21">
        <f>D3-H3</f>
        <v>60000</v>
      </c>
    </row>
    <row r="24" spans="1:8" ht="16.5" thickBot="1" x14ac:dyDescent="0.3">
      <c r="A24" t="s">
        <v>8</v>
      </c>
      <c r="B24" s="9" t="s">
        <v>7</v>
      </c>
      <c r="C24" s="8">
        <f>D3*0.004</f>
        <v>285.60000000000002</v>
      </c>
      <c r="F24" s="9" t="s">
        <v>13</v>
      </c>
      <c r="G24" s="16">
        <v>0.35</v>
      </c>
      <c r="H24" s="17">
        <f>-(F25*0.35)</f>
        <v>-7705.04</v>
      </c>
    </row>
    <row r="25" spans="1:8" x14ac:dyDescent="0.25">
      <c r="F25" s="21">
        <f>H20</f>
        <v>22014.400000000001</v>
      </c>
    </row>
    <row r="26" spans="1:8" ht="15.75" x14ac:dyDescent="0.25">
      <c r="A26" t="s">
        <v>9</v>
      </c>
      <c r="B26" s="9" t="s">
        <v>7</v>
      </c>
      <c r="C26" s="10"/>
      <c r="G26" s="13" t="s">
        <v>14</v>
      </c>
      <c r="H26" s="6">
        <f>H20+H22+H24</f>
        <v>13847.36</v>
      </c>
    </row>
    <row r="27" spans="1:8" ht="15.75" thickBot="1" x14ac:dyDescent="0.3">
      <c r="A27" s="16"/>
      <c r="B27" s="14"/>
      <c r="C27" s="7"/>
    </row>
    <row r="28" spans="1:8" x14ac:dyDescent="0.25">
      <c r="E28" t="s">
        <v>100</v>
      </c>
      <c r="H28" s="20">
        <f>H26*0.4</f>
        <v>5538.9440000000004</v>
      </c>
    </row>
    <row r="29" spans="1:8" ht="15.75" x14ac:dyDescent="0.25">
      <c r="A29" t="s">
        <v>10</v>
      </c>
      <c r="C29" s="10">
        <f>C20-C22-C24-C26</f>
        <v>22014.400000000001</v>
      </c>
      <c r="H29" s="18"/>
    </row>
    <row r="30" spans="1:8" x14ac:dyDescent="0.25">
      <c r="H30" s="3"/>
    </row>
    <row r="31" spans="1:8" x14ac:dyDescent="0.25">
      <c r="H31" s="18"/>
    </row>
  </sheetData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02552-FF7B-4080-99E5-8D03328F6D8F}">
  <dimension ref="A1:H31"/>
  <sheetViews>
    <sheetView topLeftCell="A4" workbookViewId="0">
      <selection activeCell="C6" sqref="C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472</v>
      </c>
    </row>
    <row r="3" spans="1:8" ht="21" x14ac:dyDescent="0.35">
      <c r="A3" s="2" t="s">
        <v>1</v>
      </c>
      <c r="D3" s="11">
        <v>26900</v>
      </c>
      <c r="F3" s="12" t="s">
        <v>3</v>
      </c>
      <c r="H3" s="11">
        <v>4295</v>
      </c>
    </row>
    <row r="4" spans="1:8" x14ac:dyDescent="0.25">
      <c r="A4" s="13" t="s">
        <v>29</v>
      </c>
      <c r="C4" s="28">
        <v>575</v>
      </c>
    </row>
    <row r="5" spans="1:8" ht="21" x14ac:dyDescent="0.35">
      <c r="A5" s="2" t="s">
        <v>2</v>
      </c>
    </row>
    <row r="7" spans="1:8" ht="18.75" x14ac:dyDescent="0.3">
      <c r="A7" s="5" t="s">
        <v>244</v>
      </c>
      <c r="D7" s="4">
        <v>17017</v>
      </c>
      <c r="E7" s="27"/>
      <c r="H7" s="4">
        <v>2717</v>
      </c>
    </row>
    <row r="8" spans="1:8" ht="18.75" x14ac:dyDescent="0.3">
      <c r="A8" s="5"/>
      <c r="D8" s="4"/>
      <c r="E8" s="27"/>
      <c r="H8" s="4"/>
    </row>
    <row r="9" spans="1:8" ht="18.75" x14ac:dyDescent="0.3">
      <c r="A9" s="5"/>
      <c r="D9" s="4"/>
      <c r="E9" s="27"/>
      <c r="H9" s="4"/>
    </row>
    <row r="10" spans="1:8" ht="18.75" x14ac:dyDescent="0.3">
      <c r="A10" s="5"/>
      <c r="D10" s="4"/>
      <c r="E10" s="27"/>
      <c r="H10" s="4"/>
    </row>
    <row r="11" spans="1:8" ht="18.75" x14ac:dyDescent="0.3">
      <c r="A11" s="5"/>
      <c r="D11" s="30"/>
      <c r="E11" s="27"/>
      <c r="H11" s="30"/>
    </row>
    <row r="12" spans="1:8" ht="18.75" x14ac:dyDescent="0.3">
      <c r="A12" s="5"/>
      <c r="D12" s="30"/>
      <c r="E12" s="27"/>
      <c r="H12" s="30"/>
    </row>
    <row r="13" spans="1:8" ht="18.75" x14ac:dyDescent="0.3">
      <c r="A13" s="5"/>
      <c r="D13" s="31"/>
      <c r="H13" s="31"/>
    </row>
    <row r="14" spans="1:8" ht="19.5" thickBot="1" x14ac:dyDescent="0.35">
      <c r="A14" s="5"/>
      <c r="C14" s="3"/>
      <c r="D14" s="23"/>
      <c r="H14" s="23"/>
    </row>
    <row r="15" spans="1:8" ht="18.75" x14ac:dyDescent="0.3">
      <c r="D15" s="4">
        <f>SUM(D7:D14)</f>
        <v>17017</v>
      </c>
      <c r="H15" s="33">
        <f>SUM(H7:H14)</f>
        <v>2717</v>
      </c>
    </row>
    <row r="16" spans="1:8" ht="15.75" thickBot="1" x14ac:dyDescent="0.3">
      <c r="D16" s="34"/>
      <c r="H16" s="34"/>
    </row>
    <row r="17" spans="1:8" ht="19.5" thickTop="1" x14ac:dyDescent="0.3">
      <c r="C17" t="s">
        <v>4</v>
      </c>
      <c r="D17" s="4">
        <f>D3-D15</f>
        <v>9883</v>
      </c>
      <c r="G17" t="s">
        <v>5</v>
      </c>
      <c r="H17" s="4">
        <f>H3-H15</f>
        <v>1578</v>
      </c>
    </row>
    <row r="19" spans="1:8" x14ac:dyDescent="0.25">
      <c r="G19" t="s">
        <v>454</v>
      </c>
    </row>
    <row r="20" spans="1:8" ht="15.75" x14ac:dyDescent="0.25">
      <c r="A20" t="s">
        <v>6</v>
      </c>
      <c r="C20" s="8">
        <f>D17</f>
        <v>9883</v>
      </c>
      <c r="E20" t="s">
        <v>10</v>
      </c>
      <c r="H20" s="6">
        <f>C29</f>
        <v>8197.4</v>
      </c>
    </row>
    <row r="22" spans="1:8" ht="15.75" x14ac:dyDescent="0.25">
      <c r="A22" t="s">
        <v>5</v>
      </c>
      <c r="B22" s="9" t="s">
        <v>7</v>
      </c>
      <c r="C22" s="8">
        <f>H17</f>
        <v>1578</v>
      </c>
      <c r="E22" s="13" t="s">
        <v>11</v>
      </c>
      <c r="F22" s="9" t="s">
        <v>12</v>
      </c>
      <c r="G22" s="15" t="s">
        <v>17</v>
      </c>
      <c r="H22" s="3">
        <f>-(F23*0.0077)</f>
        <v>-174.05850000000001</v>
      </c>
    </row>
    <row r="23" spans="1:8" x14ac:dyDescent="0.25">
      <c r="F23" s="21">
        <f>D3-H3</f>
        <v>22605</v>
      </c>
    </row>
    <row r="24" spans="1:8" ht="16.5" thickBot="1" x14ac:dyDescent="0.3">
      <c r="A24" t="s">
        <v>8</v>
      </c>
      <c r="B24" s="9" t="s">
        <v>7</v>
      </c>
      <c r="C24" s="8">
        <f>D3*0.004</f>
        <v>107.60000000000001</v>
      </c>
      <c r="F24" s="9" t="s">
        <v>13</v>
      </c>
      <c r="G24" s="16">
        <v>0.35</v>
      </c>
      <c r="H24" s="17">
        <f>-(F25*0.35)</f>
        <v>-2869.0899999999997</v>
      </c>
    </row>
    <row r="25" spans="1:8" x14ac:dyDescent="0.25">
      <c r="F25" s="21">
        <f>H20</f>
        <v>8197.4</v>
      </c>
    </row>
    <row r="26" spans="1:8" ht="15.75" x14ac:dyDescent="0.25">
      <c r="A26" t="s">
        <v>9</v>
      </c>
      <c r="B26" s="9" t="s">
        <v>7</v>
      </c>
      <c r="C26" s="10"/>
      <c r="G26" s="13" t="s">
        <v>14</v>
      </c>
      <c r="H26" s="6">
        <f>H20+H22+H24</f>
        <v>5154.2515000000003</v>
      </c>
    </row>
    <row r="27" spans="1:8" ht="15.75" thickBot="1" x14ac:dyDescent="0.3">
      <c r="A27" s="16"/>
      <c r="B27" s="14"/>
      <c r="C27" s="7"/>
    </row>
    <row r="28" spans="1:8" x14ac:dyDescent="0.25">
      <c r="E28" t="s">
        <v>100</v>
      </c>
      <c r="H28" s="20">
        <f>H26*0.4</f>
        <v>2061.7006000000001</v>
      </c>
    </row>
    <row r="29" spans="1:8" ht="15.75" x14ac:dyDescent="0.25">
      <c r="A29" t="s">
        <v>10</v>
      </c>
      <c r="C29" s="10">
        <f>C20-C22-C24-C26</f>
        <v>8197.4</v>
      </c>
      <c r="H29" s="18"/>
    </row>
    <row r="30" spans="1:8" x14ac:dyDescent="0.25">
      <c r="H30" s="3"/>
    </row>
    <row r="31" spans="1:8" x14ac:dyDescent="0.25">
      <c r="H31" s="18"/>
    </row>
  </sheetData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2FA30-BF8B-453B-8F84-4F14C04F379A}">
  <dimension ref="A1:H31"/>
  <sheetViews>
    <sheetView workbookViewId="0">
      <selection activeCell="C4" sqref="C4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473</v>
      </c>
    </row>
    <row r="3" spans="1:8" ht="21" x14ac:dyDescent="0.35">
      <c r="A3" s="2" t="s">
        <v>1</v>
      </c>
      <c r="D3" s="11">
        <v>4296096</v>
      </c>
      <c r="F3" s="12" t="s">
        <v>3</v>
      </c>
      <c r="H3" s="11">
        <v>700651</v>
      </c>
    </row>
    <row r="4" spans="1:8" x14ac:dyDescent="0.25">
      <c r="A4" s="13" t="s">
        <v>29</v>
      </c>
      <c r="C4" s="28">
        <v>577</v>
      </c>
    </row>
    <row r="5" spans="1:8" ht="21" x14ac:dyDescent="0.35">
      <c r="A5" s="2" t="s">
        <v>2</v>
      </c>
    </row>
    <row r="7" spans="1:8" ht="18.75" x14ac:dyDescent="0.3">
      <c r="A7" s="5" t="s">
        <v>310</v>
      </c>
      <c r="D7" s="4">
        <v>720215</v>
      </c>
      <c r="E7" s="27"/>
      <c r="H7" s="4">
        <v>114993</v>
      </c>
    </row>
    <row r="8" spans="1:8" ht="18.75" x14ac:dyDescent="0.3">
      <c r="A8" s="5" t="s">
        <v>474</v>
      </c>
      <c r="D8" s="4">
        <v>509960</v>
      </c>
      <c r="E8" s="27"/>
      <c r="H8" s="4">
        <v>81442</v>
      </c>
    </row>
    <row r="9" spans="1:8" ht="18.75" x14ac:dyDescent="0.3">
      <c r="A9" s="5" t="s">
        <v>81</v>
      </c>
      <c r="D9" s="4">
        <v>278515</v>
      </c>
      <c r="E9" s="27"/>
      <c r="H9" s="4">
        <v>44469</v>
      </c>
    </row>
    <row r="10" spans="1:8" ht="18.75" x14ac:dyDescent="0.3">
      <c r="A10" s="5" t="s">
        <v>466</v>
      </c>
      <c r="D10" s="4">
        <v>206460</v>
      </c>
      <c r="E10" s="27"/>
      <c r="H10" s="4">
        <v>32964</v>
      </c>
    </row>
    <row r="11" spans="1:8" ht="18.75" x14ac:dyDescent="0.3">
      <c r="A11" s="5" t="s">
        <v>222</v>
      </c>
      <c r="D11" s="30">
        <v>1318526</v>
      </c>
      <c r="E11" s="27"/>
      <c r="H11" s="30">
        <v>210521</v>
      </c>
    </row>
    <row r="12" spans="1:8" ht="18.75" x14ac:dyDescent="0.3">
      <c r="A12" s="5" t="s">
        <v>289</v>
      </c>
      <c r="D12" s="30">
        <v>30000</v>
      </c>
      <c r="E12" s="27"/>
      <c r="H12" s="30"/>
    </row>
    <row r="13" spans="1:8" ht="18.75" x14ac:dyDescent="0.3">
      <c r="A13" s="5" t="s">
        <v>475</v>
      </c>
      <c r="D13" s="31">
        <v>20000</v>
      </c>
      <c r="H13" s="31"/>
    </row>
    <row r="14" spans="1:8" ht="19.5" thickBot="1" x14ac:dyDescent="0.35">
      <c r="A14" s="5"/>
      <c r="C14" s="3"/>
      <c r="D14" s="23"/>
      <c r="H14" s="23"/>
    </row>
    <row r="15" spans="1:8" ht="18.75" x14ac:dyDescent="0.3">
      <c r="D15" s="4">
        <f>SUM(D7:D14)</f>
        <v>3083676</v>
      </c>
      <c r="H15" s="33">
        <f>SUM(H7:H14)</f>
        <v>484389</v>
      </c>
    </row>
    <row r="16" spans="1:8" ht="15.75" thickBot="1" x14ac:dyDescent="0.3">
      <c r="D16" s="34"/>
      <c r="H16" s="34"/>
    </row>
    <row r="17" spans="1:8" ht="19.5" thickTop="1" x14ac:dyDescent="0.3">
      <c r="C17" t="s">
        <v>4</v>
      </c>
      <c r="D17" s="4">
        <f>D3-D15</f>
        <v>1212420</v>
      </c>
      <c r="G17" t="s">
        <v>5</v>
      </c>
      <c r="H17" s="4">
        <f>H3-H15</f>
        <v>216262</v>
      </c>
    </row>
    <row r="19" spans="1:8" x14ac:dyDescent="0.25">
      <c r="G19" t="s">
        <v>454</v>
      </c>
    </row>
    <row r="20" spans="1:8" ht="15.75" x14ac:dyDescent="0.25">
      <c r="A20" t="s">
        <v>6</v>
      </c>
      <c r="C20" s="8">
        <f>D17</f>
        <v>1212420</v>
      </c>
      <c r="E20" t="s">
        <v>10</v>
      </c>
      <c r="H20" s="6">
        <f>C29</f>
        <v>978973.61600000004</v>
      </c>
    </row>
    <row r="22" spans="1:8" ht="15.75" x14ac:dyDescent="0.25">
      <c r="A22" t="s">
        <v>5</v>
      </c>
      <c r="B22" s="9" t="s">
        <v>7</v>
      </c>
      <c r="C22" s="8">
        <f>H17</f>
        <v>216262</v>
      </c>
      <c r="E22" s="13" t="s">
        <v>11</v>
      </c>
      <c r="F22" s="9" t="s">
        <v>12</v>
      </c>
      <c r="G22" s="15" t="s">
        <v>17</v>
      </c>
      <c r="H22" s="3">
        <f>-(F23*0.0077)</f>
        <v>-28394.797200000001</v>
      </c>
    </row>
    <row r="23" spans="1:8" x14ac:dyDescent="0.25">
      <c r="F23" s="21">
        <v>3687636</v>
      </c>
    </row>
    <row r="24" spans="1:8" ht="16.5" thickBot="1" x14ac:dyDescent="0.3">
      <c r="A24" t="s">
        <v>8</v>
      </c>
      <c r="B24" s="9" t="s">
        <v>7</v>
      </c>
      <c r="C24" s="8">
        <f>D3*0.004</f>
        <v>17184.384000000002</v>
      </c>
      <c r="F24" s="9" t="s">
        <v>13</v>
      </c>
      <c r="G24" s="16">
        <v>0.35</v>
      </c>
      <c r="H24" s="17">
        <f>-(F25*0.35)</f>
        <v>-342640.76559999998</v>
      </c>
    </row>
    <row r="25" spans="1:8" x14ac:dyDescent="0.25">
      <c r="F25" s="21">
        <f>H20</f>
        <v>978973.61600000004</v>
      </c>
    </row>
    <row r="26" spans="1:8" ht="15.75" x14ac:dyDescent="0.25">
      <c r="A26" t="s">
        <v>9</v>
      </c>
      <c r="B26" s="9" t="s">
        <v>7</v>
      </c>
      <c r="C26" s="10"/>
      <c r="G26" s="13" t="s">
        <v>14</v>
      </c>
      <c r="H26" s="6">
        <f>H20+H22+H24</f>
        <v>607938.05319999997</v>
      </c>
    </row>
    <row r="27" spans="1:8" ht="15.75" thickBot="1" x14ac:dyDescent="0.3">
      <c r="A27" s="16"/>
      <c r="B27" s="14"/>
      <c r="C27" s="7"/>
    </row>
    <row r="28" spans="1:8" x14ac:dyDescent="0.25">
      <c r="E28" t="s">
        <v>100</v>
      </c>
      <c r="H28" s="20">
        <f>H26*0.4</f>
        <v>243175.22128</v>
      </c>
    </row>
    <row r="29" spans="1:8" ht="15.75" x14ac:dyDescent="0.25">
      <c r="A29" t="s">
        <v>10</v>
      </c>
      <c r="C29" s="10">
        <f>C20-C22-C24-C26</f>
        <v>978973.61600000004</v>
      </c>
      <c r="H29" s="18"/>
    </row>
    <row r="30" spans="1:8" x14ac:dyDescent="0.25">
      <c r="H30" s="3"/>
    </row>
    <row r="31" spans="1:8" x14ac:dyDescent="0.25">
      <c r="H31" s="18"/>
    </row>
  </sheetData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D6B33-702D-475A-857A-D4DDA0F91636}">
  <dimension ref="A1:H26"/>
  <sheetViews>
    <sheetView workbookViewId="0">
      <selection activeCell="G29" sqref="G29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476</v>
      </c>
    </row>
    <row r="3" spans="1:8" ht="21" x14ac:dyDescent="0.35">
      <c r="A3" s="2" t="s">
        <v>1</v>
      </c>
      <c r="D3" s="11">
        <v>261800</v>
      </c>
      <c r="F3" s="12" t="s">
        <v>3</v>
      </c>
      <c r="H3" s="11">
        <v>41800</v>
      </c>
    </row>
    <row r="4" spans="1:8" x14ac:dyDescent="0.25">
      <c r="A4" s="13" t="s">
        <v>29</v>
      </c>
      <c r="C4" s="28">
        <v>579</v>
      </c>
    </row>
    <row r="5" spans="1:8" ht="21" x14ac:dyDescent="0.35">
      <c r="A5" s="2" t="s">
        <v>2</v>
      </c>
    </row>
    <row r="7" spans="1:8" ht="19.5" thickBot="1" x14ac:dyDescent="0.35">
      <c r="A7" s="5" t="s">
        <v>477</v>
      </c>
      <c r="D7" s="35">
        <v>185031</v>
      </c>
      <c r="E7" s="27"/>
      <c r="H7" s="35">
        <v>29543</v>
      </c>
    </row>
    <row r="8" spans="1:8" ht="19.5" thickTop="1" x14ac:dyDescent="0.3">
      <c r="A8" s="5"/>
      <c r="D8" s="30"/>
      <c r="E8" s="27"/>
      <c r="H8" s="30"/>
    </row>
    <row r="9" spans="1:8" ht="18.75" x14ac:dyDescent="0.3">
      <c r="A9" s="5"/>
      <c r="D9" s="30"/>
      <c r="E9" s="27"/>
      <c r="H9" s="30"/>
    </row>
    <row r="10" spans="1:8" ht="18.75" x14ac:dyDescent="0.3">
      <c r="D10" s="4">
        <f>SUM(D7:D7)</f>
        <v>185031</v>
      </c>
      <c r="H10" s="33">
        <f>SUM(H7:H7)</f>
        <v>29543</v>
      </c>
    </row>
    <row r="12" spans="1:8" ht="18.75" x14ac:dyDescent="0.3">
      <c r="C12" t="s">
        <v>4</v>
      </c>
      <c r="D12" s="4">
        <f>D3-D10</f>
        <v>76769</v>
      </c>
      <c r="G12" t="s">
        <v>5</v>
      </c>
      <c r="H12" s="4">
        <f>H3-H10</f>
        <v>12257</v>
      </c>
    </row>
    <row r="14" spans="1:8" x14ac:dyDescent="0.25">
      <c r="G14" t="s">
        <v>454</v>
      </c>
    </row>
    <row r="15" spans="1:8" ht="15.75" x14ac:dyDescent="0.25">
      <c r="A15" t="s">
        <v>6</v>
      </c>
      <c r="C15" s="8">
        <f>D12</f>
        <v>76769</v>
      </c>
      <c r="E15" t="s">
        <v>10</v>
      </c>
      <c r="H15" s="6">
        <f>C24</f>
        <v>63464.800000000003</v>
      </c>
    </row>
    <row r="17" spans="1:8" ht="15.75" x14ac:dyDescent="0.25">
      <c r="A17" t="s">
        <v>5</v>
      </c>
      <c r="B17" s="9" t="s">
        <v>7</v>
      </c>
      <c r="C17" s="8">
        <f>H12</f>
        <v>12257</v>
      </c>
      <c r="E17" s="13" t="s">
        <v>11</v>
      </c>
      <c r="F17" s="9" t="s">
        <v>12</v>
      </c>
      <c r="G17" s="15" t="s">
        <v>17</v>
      </c>
      <c r="H17" s="3">
        <f>-(F18*0.0077)</f>
        <v>-1694</v>
      </c>
    </row>
    <row r="18" spans="1:8" x14ac:dyDescent="0.25">
      <c r="F18" s="21">
        <f>D3-H3</f>
        <v>220000</v>
      </c>
    </row>
    <row r="19" spans="1:8" ht="16.5" thickBot="1" x14ac:dyDescent="0.3">
      <c r="A19" t="s">
        <v>8</v>
      </c>
      <c r="B19" s="9" t="s">
        <v>7</v>
      </c>
      <c r="C19" s="8">
        <f>D3*0.004</f>
        <v>1047.2</v>
      </c>
      <c r="F19" s="9" t="s">
        <v>13</v>
      </c>
      <c r="G19" s="16">
        <v>0.35</v>
      </c>
      <c r="H19" s="17">
        <f>-(F20*0.35)</f>
        <v>-22212.68</v>
      </c>
    </row>
    <row r="20" spans="1:8" x14ac:dyDescent="0.25">
      <c r="F20" s="21">
        <f>H15</f>
        <v>63464.800000000003</v>
      </c>
    </row>
    <row r="21" spans="1:8" ht="15.75" x14ac:dyDescent="0.25">
      <c r="A21" t="s">
        <v>9</v>
      </c>
      <c r="B21" s="9" t="s">
        <v>7</v>
      </c>
      <c r="C21" s="10"/>
      <c r="G21" s="13" t="s">
        <v>14</v>
      </c>
      <c r="H21" s="6">
        <f>H15+H17+H19</f>
        <v>39558.120000000003</v>
      </c>
    </row>
    <row r="22" spans="1:8" ht="15.75" thickBot="1" x14ac:dyDescent="0.3">
      <c r="A22" s="16"/>
      <c r="B22" s="14"/>
      <c r="C22" s="7"/>
    </row>
    <row r="23" spans="1:8" x14ac:dyDescent="0.25">
      <c r="E23" t="s">
        <v>100</v>
      </c>
      <c r="H23" s="20">
        <f>H21*0.4</f>
        <v>15823.248000000001</v>
      </c>
    </row>
    <row r="24" spans="1:8" ht="15.75" x14ac:dyDescent="0.25">
      <c r="A24" t="s">
        <v>10</v>
      </c>
      <c r="C24" s="10">
        <f>C15-C17-C19-C21</f>
        <v>63464.800000000003</v>
      </c>
      <c r="H24" s="18"/>
    </row>
    <row r="25" spans="1:8" x14ac:dyDescent="0.25">
      <c r="H25" s="3"/>
    </row>
    <row r="26" spans="1:8" x14ac:dyDescent="0.25">
      <c r="H26" s="18"/>
    </row>
  </sheetData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79D6F-46E8-4C26-A6BC-F1AEC1A8FF4B}">
  <dimension ref="A1:H26"/>
  <sheetViews>
    <sheetView workbookViewId="0">
      <selection activeCell="C8" sqref="C8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478</v>
      </c>
    </row>
    <row r="3" spans="1:8" ht="21" x14ac:dyDescent="0.35">
      <c r="A3" s="2" t="s">
        <v>1</v>
      </c>
      <c r="D3" s="11">
        <v>49980</v>
      </c>
      <c r="F3" s="12" t="s">
        <v>3</v>
      </c>
      <c r="H3" s="11">
        <v>7980</v>
      </c>
    </row>
    <row r="4" spans="1:8" x14ac:dyDescent="0.25">
      <c r="A4" s="13" t="s">
        <v>29</v>
      </c>
      <c r="C4" s="28">
        <v>580</v>
      </c>
    </row>
    <row r="5" spans="1:8" ht="21" x14ac:dyDescent="0.35">
      <c r="A5" s="2" t="s">
        <v>2</v>
      </c>
    </row>
    <row r="7" spans="1:8" ht="19.5" thickBot="1" x14ac:dyDescent="0.35">
      <c r="A7" s="5" t="s">
        <v>310</v>
      </c>
      <c r="D7" s="35">
        <v>31407</v>
      </c>
      <c r="E7" s="27"/>
      <c r="H7" s="35">
        <v>5014</v>
      </c>
    </row>
    <row r="8" spans="1:8" ht="19.5" thickTop="1" x14ac:dyDescent="0.3">
      <c r="A8" s="5"/>
      <c r="D8" s="30"/>
      <c r="E8" s="27"/>
      <c r="H8" s="30"/>
    </row>
    <row r="9" spans="1:8" ht="18.75" x14ac:dyDescent="0.3">
      <c r="A9" s="5"/>
      <c r="D9" s="30"/>
      <c r="E9" s="27"/>
      <c r="H9" s="30"/>
    </row>
    <row r="10" spans="1:8" ht="18.75" x14ac:dyDescent="0.3">
      <c r="D10" s="4">
        <f>SUM(D7:D7)</f>
        <v>31407</v>
      </c>
      <c r="H10" s="33">
        <f>SUM(H7:H7)</f>
        <v>5014</v>
      </c>
    </row>
    <row r="12" spans="1:8" ht="18.75" x14ac:dyDescent="0.3">
      <c r="C12" t="s">
        <v>4</v>
      </c>
      <c r="D12" s="4">
        <f>D3-D10</f>
        <v>18573</v>
      </c>
      <c r="G12" t="s">
        <v>5</v>
      </c>
      <c r="H12" s="4">
        <f>H3-H10</f>
        <v>2966</v>
      </c>
    </row>
    <row r="14" spans="1:8" x14ac:dyDescent="0.25">
      <c r="G14" t="s">
        <v>454</v>
      </c>
    </row>
    <row r="15" spans="1:8" ht="15.75" x14ac:dyDescent="0.25">
      <c r="A15" t="s">
        <v>6</v>
      </c>
      <c r="C15" s="8">
        <f>D12</f>
        <v>18573</v>
      </c>
      <c r="E15" t="s">
        <v>10</v>
      </c>
      <c r="H15" s="6">
        <f>C24</f>
        <v>15407.08</v>
      </c>
    </row>
    <row r="17" spans="1:8" ht="15.75" x14ac:dyDescent="0.25">
      <c r="A17" t="s">
        <v>5</v>
      </c>
      <c r="B17" s="9" t="s">
        <v>7</v>
      </c>
      <c r="C17" s="8">
        <f>H12</f>
        <v>2966</v>
      </c>
      <c r="E17" s="13" t="s">
        <v>11</v>
      </c>
      <c r="F17" s="9" t="s">
        <v>12</v>
      </c>
      <c r="G17" s="15" t="s">
        <v>17</v>
      </c>
      <c r="H17" s="3">
        <f>-(F18*0.0077)</f>
        <v>-323.40000000000003</v>
      </c>
    </row>
    <row r="18" spans="1:8" x14ac:dyDescent="0.25">
      <c r="F18" s="21">
        <f>D3-H3</f>
        <v>42000</v>
      </c>
    </row>
    <row r="19" spans="1:8" ht="16.5" thickBot="1" x14ac:dyDescent="0.3">
      <c r="A19" t="s">
        <v>8</v>
      </c>
      <c r="B19" s="9" t="s">
        <v>7</v>
      </c>
      <c r="C19" s="8">
        <f>D3*0.004</f>
        <v>199.92000000000002</v>
      </c>
      <c r="F19" s="9" t="s">
        <v>13</v>
      </c>
      <c r="G19" s="16">
        <v>0.35</v>
      </c>
      <c r="H19" s="17">
        <f>-(F20*0.35)</f>
        <v>-5392.4780000000001</v>
      </c>
    </row>
    <row r="20" spans="1:8" x14ac:dyDescent="0.25">
      <c r="F20" s="21">
        <f>H15</f>
        <v>15407.08</v>
      </c>
    </row>
    <row r="21" spans="1:8" ht="15.75" x14ac:dyDescent="0.25">
      <c r="A21" t="s">
        <v>9</v>
      </c>
      <c r="B21" s="9" t="s">
        <v>7</v>
      </c>
      <c r="C21" s="10"/>
      <c r="G21" s="13" t="s">
        <v>14</v>
      </c>
      <c r="H21" s="6">
        <f>H15+H17+H19</f>
        <v>9691.2020000000011</v>
      </c>
    </row>
    <row r="22" spans="1:8" ht="15.75" thickBot="1" x14ac:dyDescent="0.3">
      <c r="A22" s="16"/>
      <c r="B22" s="14"/>
      <c r="C22" s="7"/>
    </row>
    <row r="23" spans="1:8" x14ac:dyDescent="0.25">
      <c r="E23" t="s">
        <v>100</v>
      </c>
      <c r="H23" s="20">
        <f>H21*0.4</f>
        <v>3876.4808000000007</v>
      </c>
    </row>
    <row r="24" spans="1:8" ht="15.75" x14ac:dyDescent="0.25">
      <c r="A24" t="s">
        <v>10</v>
      </c>
      <c r="C24" s="10">
        <f>C15-C17-C19-C21</f>
        <v>15407.08</v>
      </c>
      <c r="H24" s="18"/>
    </row>
    <row r="25" spans="1:8" x14ac:dyDescent="0.25">
      <c r="H25" s="3"/>
    </row>
    <row r="26" spans="1:8" x14ac:dyDescent="0.25">
      <c r="H26" s="18"/>
    </row>
  </sheetData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C3440-D3A6-4702-837F-AA0A4773113C}">
  <dimension ref="A1:H26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388</v>
      </c>
    </row>
    <row r="3" spans="1:8" ht="21" x14ac:dyDescent="0.35">
      <c r="A3" s="2" t="s">
        <v>1</v>
      </c>
      <c r="D3" s="11">
        <v>248710</v>
      </c>
      <c r="F3" s="12" t="s">
        <v>3</v>
      </c>
      <c r="H3" s="11">
        <v>39710</v>
      </c>
    </row>
    <row r="4" spans="1:8" x14ac:dyDescent="0.25">
      <c r="A4" s="13" t="s">
        <v>29</v>
      </c>
      <c r="C4" s="28">
        <v>582</v>
      </c>
    </row>
    <row r="5" spans="1:8" ht="21" x14ac:dyDescent="0.35">
      <c r="A5" s="2" t="s">
        <v>2</v>
      </c>
    </row>
    <row r="7" spans="1:8" ht="19.5" thickBot="1" x14ac:dyDescent="0.35">
      <c r="A7" s="5" t="s">
        <v>479</v>
      </c>
      <c r="D7" s="35">
        <v>145985</v>
      </c>
      <c r="E7" s="27"/>
      <c r="H7" s="35">
        <v>23308</v>
      </c>
    </row>
    <row r="8" spans="1:8" ht="19.5" thickTop="1" x14ac:dyDescent="0.3">
      <c r="A8" s="5"/>
      <c r="D8" s="30"/>
      <c r="E8" s="27"/>
      <c r="H8" s="30"/>
    </row>
    <row r="9" spans="1:8" ht="18.75" x14ac:dyDescent="0.3">
      <c r="A9" s="5"/>
      <c r="D9" s="30"/>
      <c r="E9" s="27"/>
      <c r="H9" s="30"/>
    </row>
    <row r="10" spans="1:8" ht="18.75" x14ac:dyDescent="0.3">
      <c r="D10" s="4">
        <f>SUM(D7:D7)</f>
        <v>145985</v>
      </c>
      <c r="H10" s="33">
        <f>SUM(H7:H7)</f>
        <v>23308</v>
      </c>
    </row>
    <row r="12" spans="1:8" ht="18.75" x14ac:dyDescent="0.3">
      <c r="C12" t="s">
        <v>4</v>
      </c>
      <c r="D12" s="4">
        <f>D3-D10</f>
        <v>102725</v>
      </c>
      <c r="G12" t="s">
        <v>5</v>
      </c>
      <c r="H12" s="4">
        <f>H3-H10</f>
        <v>16402</v>
      </c>
    </row>
    <row r="14" spans="1:8" x14ac:dyDescent="0.25">
      <c r="G14" t="s">
        <v>454</v>
      </c>
    </row>
    <row r="15" spans="1:8" ht="15.75" x14ac:dyDescent="0.25">
      <c r="A15" t="s">
        <v>6</v>
      </c>
      <c r="C15" s="8">
        <f>D12</f>
        <v>102725</v>
      </c>
      <c r="E15" t="s">
        <v>10</v>
      </c>
      <c r="H15" s="6">
        <f>C24</f>
        <v>85328.16</v>
      </c>
    </row>
    <row r="17" spans="1:8" ht="15.75" x14ac:dyDescent="0.25">
      <c r="A17" t="s">
        <v>5</v>
      </c>
      <c r="B17" s="9" t="s">
        <v>7</v>
      </c>
      <c r="C17" s="8">
        <f>H12</f>
        <v>16402</v>
      </c>
      <c r="E17" s="13" t="s">
        <v>11</v>
      </c>
      <c r="F17" s="9" t="s">
        <v>12</v>
      </c>
      <c r="G17" s="15" t="s">
        <v>17</v>
      </c>
      <c r="H17" s="3">
        <f>-(F18*0.0077)</f>
        <v>-1609.3</v>
      </c>
    </row>
    <row r="18" spans="1:8" x14ac:dyDescent="0.25">
      <c r="F18" s="21">
        <f>D3-H3</f>
        <v>209000</v>
      </c>
    </row>
    <row r="19" spans="1:8" ht="16.5" thickBot="1" x14ac:dyDescent="0.3">
      <c r="A19" t="s">
        <v>8</v>
      </c>
      <c r="B19" s="9" t="s">
        <v>7</v>
      </c>
      <c r="C19" s="8">
        <f>D3*0.004</f>
        <v>994.84</v>
      </c>
      <c r="F19" s="9" t="s">
        <v>13</v>
      </c>
      <c r="G19" s="16">
        <v>0.35</v>
      </c>
      <c r="H19" s="17">
        <f>-(F20*0.35)</f>
        <v>-29864.856</v>
      </c>
    </row>
    <row r="20" spans="1:8" x14ac:dyDescent="0.25">
      <c r="F20" s="21">
        <f>H15</f>
        <v>85328.16</v>
      </c>
    </row>
    <row r="21" spans="1:8" ht="15.75" x14ac:dyDescent="0.25">
      <c r="A21" t="s">
        <v>9</v>
      </c>
      <c r="B21" s="9" t="s">
        <v>7</v>
      </c>
      <c r="C21" s="10"/>
      <c r="G21" s="13" t="s">
        <v>14</v>
      </c>
      <c r="H21" s="6">
        <f>H15+H17+H19</f>
        <v>53854.004000000001</v>
      </c>
    </row>
    <row r="22" spans="1:8" ht="15.75" thickBot="1" x14ac:dyDescent="0.3">
      <c r="A22" s="16"/>
      <c r="B22" s="14"/>
      <c r="C22" s="7"/>
    </row>
    <row r="23" spans="1:8" x14ac:dyDescent="0.25">
      <c r="E23" t="s">
        <v>100</v>
      </c>
      <c r="H23" s="20">
        <f>H21*0.4</f>
        <v>21541.601600000002</v>
      </c>
    </row>
    <row r="24" spans="1:8" ht="15.75" x14ac:dyDescent="0.25">
      <c r="A24" t="s">
        <v>10</v>
      </c>
      <c r="C24" s="10">
        <f>C15-C17-C19-C21</f>
        <v>85328.16</v>
      </c>
      <c r="H24" s="18"/>
    </row>
    <row r="25" spans="1:8" x14ac:dyDescent="0.25">
      <c r="H25" s="3"/>
    </row>
    <row r="26" spans="1:8" x14ac:dyDescent="0.25">
      <c r="H26" s="18"/>
    </row>
  </sheetData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580E2-C2D6-478D-8271-5B5739CFE297}">
  <dimension ref="A1:H26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436</v>
      </c>
    </row>
    <row r="3" spans="1:8" ht="21" x14ac:dyDescent="0.35">
      <c r="A3" s="2" t="s">
        <v>1</v>
      </c>
      <c r="D3" s="11">
        <v>671160</v>
      </c>
      <c r="F3" s="12" t="s">
        <v>3</v>
      </c>
      <c r="H3" s="11">
        <v>107160</v>
      </c>
    </row>
    <row r="4" spans="1:8" x14ac:dyDescent="0.25">
      <c r="A4" s="13" t="s">
        <v>29</v>
      </c>
      <c r="C4" s="28">
        <v>585</v>
      </c>
    </row>
    <row r="5" spans="1:8" ht="21" x14ac:dyDescent="0.35">
      <c r="A5" s="2" t="s">
        <v>2</v>
      </c>
    </row>
    <row r="7" spans="1:8" ht="19.5" thickBot="1" x14ac:dyDescent="0.35">
      <c r="A7" s="5" t="s">
        <v>480</v>
      </c>
      <c r="D7" s="35">
        <v>519306</v>
      </c>
      <c r="E7" s="27"/>
      <c r="H7" s="35">
        <v>82914</v>
      </c>
    </row>
    <row r="8" spans="1:8" ht="19.5" thickTop="1" x14ac:dyDescent="0.3">
      <c r="A8" s="5"/>
      <c r="D8" s="30"/>
      <c r="E8" s="27"/>
      <c r="H8" s="30"/>
    </row>
    <row r="9" spans="1:8" ht="18.75" x14ac:dyDescent="0.3">
      <c r="A9" s="5"/>
      <c r="D9" s="30"/>
      <c r="E9" s="27"/>
      <c r="H9" s="30"/>
    </row>
    <row r="10" spans="1:8" ht="18.75" x14ac:dyDescent="0.3">
      <c r="D10" s="4">
        <f>SUM(D7:D7)</f>
        <v>519306</v>
      </c>
      <c r="H10" s="33">
        <f>SUM(H7:H7)</f>
        <v>82914</v>
      </c>
    </row>
    <row r="12" spans="1:8" ht="18.75" x14ac:dyDescent="0.3">
      <c r="C12" t="s">
        <v>4</v>
      </c>
      <c r="D12" s="4">
        <f>D3-D10</f>
        <v>151854</v>
      </c>
      <c r="G12" t="s">
        <v>5</v>
      </c>
      <c r="H12" s="4">
        <f>H3-H10</f>
        <v>24246</v>
      </c>
    </row>
    <row r="14" spans="1:8" x14ac:dyDescent="0.25">
      <c r="G14" t="s">
        <v>454</v>
      </c>
    </row>
    <row r="15" spans="1:8" ht="15.75" x14ac:dyDescent="0.25">
      <c r="A15" t="s">
        <v>6</v>
      </c>
      <c r="C15" s="8">
        <f>D12</f>
        <v>151854</v>
      </c>
      <c r="E15" t="s">
        <v>10</v>
      </c>
      <c r="H15" s="6">
        <f>C24</f>
        <v>124923.36</v>
      </c>
    </row>
    <row r="17" spans="1:8" ht="15.75" x14ac:dyDescent="0.25">
      <c r="A17" t="s">
        <v>5</v>
      </c>
      <c r="B17" s="9" t="s">
        <v>7</v>
      </c>
      <c r="C17" s="8">
        <f>H12</f>
        <v>24246</v>
      </c>
      <c r="E17" s="13" t="s">
        <v>11</v>
      </c>
      <c r="F17" s="9" t="s">
        <v>12</v>
      </c>
      <c r="G17" s="15" t="s">
        <v>17</v>
      </c>
      <c r="H17" s="3">
        <f>-(F18*0.0077)</f>
        <v>-4342.8</v>
      </c>
    </row>
    <row r="18" spans="1:8" x14ac:dyDescent="0.25">
      <c r="F18" s="21">
        <f>D3-H3</f>
        <v>564000</v>
      </c>
    </row>
    <row r="19" spans="1:8" ht="16.5" thickBot="1" x14ac:dyDescent="0.3">
      <c r="A19" t="s">
        <v>8</v>
      </c>
      <c r="B19" s="9" t="s">
        <v>7</v>
      </c>
      <c r="C19" s="8">
        <f>D3*0.004</f>
        <v>2684.64</v>
      </c>
      <c r="F19" s="9" t="s">
        <v>13</v>
      </c>
      <c r="G19" s="16">
        <v>0.35</v>
      </c>
      <c r="H19" s="17">
        <f>-(F20*0.35)</f>
        <v>-43723.175999999999</v>
      </c>
    </row>
    <row r="20" spans="1:8" x14ac:dyDescent="0.25">
      <c r="F20" s="21">
        <f>H15</f>
        <v>124923.36</v>
      </c>
    </row>
    <row r="21" spans="1:8" ht="15.75" x14ac:dyDescent="0.25">
      <c r="A21" t="s">
        <v>9</v>
      </c>
      <c r="B21" s="9" t="s">
        <v>7</v>
      </c>
      <c r="C21" s="10"/>
      <c r="G21" s="13" t="s">
        <v>14</v>
      </c>
      <c r="H21" s="6">
        <f>H15+H17+H19</f>
        <v>76857.383999999991</v>
      </c>
    </row>
    <row r="22" spans="1:8" ht="15.75" thickBot="1" x14ac:dyDescent="0.3">
      <c r="A22" s="16"/>
      <c r="B22" s="14"/>
      <c r="C22" s="7"/>
    </row>
    <row r="23" spans="1:8" x14ac:dyDescent="0.25">
      <c r="E23" t="s">
        <v>100</v>
      </c>
      <c r="H23" s="20">
        <f>H21*0.4</f>
        <v>30742.953599999997</v>
      </c>
    </row>
    <row r="24" spans="1:8" ht="15.75" x14ac:dyDescent="0.25">
      <c r="A24" t="s">
        <v>10</v>
      </c>
      <c r="C24" s="10">
        <f>C15-C17-C19-C21</f>
        <v>124923.36</v>
      </c>
      <c r="H24" s="18"/>
    </row>
    <row r="25" spans="1:8" x14ac:dyDescent="0.25">
      <c r="H25" s="3"/>
    </row>
    <row r="26" spans="1:8" x14ac:dyDescent="0.25">
      <c r="H26" s="18"/>
    </row>
  </sheetData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E7FB6-F0CA-456C-B3AD-56B4BFADC3FB}">
  <dimension ref="A1:H29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481</v>
      </c>
    </row>
    <row r="3" spans="1:8" ht="21" x14ac:dyDescent="0.35">
      <c r="A3" s="2" t="s">
        <v>1</v>
      </c>
      <c r="D3" s="11">
        <v>4949772</v>
      </c>
      <c r="F3" s="12" t="s">
        <v>3</v>
      </c>
      <c r="H3" s="11">
        <v>812630</v>
      </c>
    </row>
    <row r="4" spans="1:8" x14ac:dyDescent="0.25">
      <c r="A4" s="13" t="s">
        <v>29</v>
      </c>
      <c r="C4" s="28">
        <v>585</v>
      </c>
    </row>
    <row r="5" spans="1:8" ht="21" x14ac:dyDescent="0.35">
      <c r="A5" s="2" t="s">
        <v>2</v>
      </c>
    </row>
    <row r="7" spans="1:8" ht="18.75" x14ac:dyDescent="0.3">
      <c r="A7" s="5" t="s">
        <v>482</v>
      </c>
      <c r="D7" s="4">
        <v>1687718</v>
      </c>
      <c r="E7" s="27"/>
      <c r="H7" s="4">
        <v>269468</v>
      </c>
    </row>
    <row r="8" spans="1:8" ht="18.75" x14ac:dyDescent="0.3">
      <c r="A8" s="5" t="s">
        <v>483</v>
      </c>
      <c r="D8" s="30">
        <v>1000000</v>
      </c>
      <c r="E8" s="27"/>
      <c r="H8" s="30"/>
    </row>
    <row r="9" spans="1:8" ht="18.75" x14ac:dyDescent="0.3">
      <c r="A9" s="5" t="s">
        <v>484</v>
      </c>
      <c r="D9" s="30">
        <v>51000</v>
      </c>
      <c r="E9" s="27"/>
      <c r="H9" s="30">
        <v>8142</v>
      </c>
    </row>
    <row r="10" spans="1:8" ht="18.75" x14ac:dyDescent="0.3">
      <c r="A10" s="5" t="s">
        <v>485</v>
      </c>
      <c r="D10" s="30">
        <v>45000</v>
      </c>
      <c r="E10" s="27"/>
      <c r="H10" s="30"/>
    </row>
    <row r="11" spans="1:8" ht="19.5" thickBot="1" x14ac:dyDescent="0.35">
      <c r="A11" s="5" t="s">
        <v>486</v>
      </c>
      <c r="D11" s="35">
        <v>50000</v>
      </c>
      <c r="E11" s="27"/>
      <c r="H11" s="35"/>
    </row>
    <row r="12" spans="1:8" ht="19.5" thickTop="1" x14ac:dyDescent="0.3">
      <c r="A12" s="5"/>
      <c r="D12" s="30"/>
      <c r="E12" s="27"/>
      <c r="H12" s="30"/>
    </row>
    <row r="13" spans="1:8" ht="18.75" x14ac:dyDescent="0.3">
      <c r="D13" s="4">
        <f>SUM(D7:D11)</f>
        <v>2833718</v>
      </c>
      <c r="H13" s="33">
        <f>SUM(H7:H11)</f>
        <v>277610</v>
      </c>
    </row>
    <row r="15" spans="1:8" ht="18.75" x14ac:dyDescent="0.3">
      <c r="C15" t="s">
        <v>4</v>
      </c>
      <c r="D15" s="4">
        <f>D3-D13</f>
        <v>2116054</v>
      </c>
      <c r="G15" t="s">
        <v>5</v>
      </c>
      <c r="H15" s="4">
        <f>H3-H13</f>
        <v>535020</v>
      </c>
    </row>
    <row r="17" spans="1:8" x14ac:dyDescent="0.25">
      <c r="G17" t="s">
        <v>454</v>
      </c>
    </row>
    <row r="18" spans="1:8" ht="15.75" x14ac:dyDescent="0.25">
      <c r="A18" t="s">
        <v>6</v>
      </c>
      <c r="C18" s="8">
        <f>D15</f>
        <v>2116054</v>
      </c>
      <c r="E18" t="s">
        <v>10</v>
      </c>
      <c r="H18" s="6">
        <f>C27</f>
        <v>1561234.912</v>
      </c>
    </row>
    <row r="20" spans="1:8" ht="15.75" x14ac:dyDescent="0.25">
      <c r="A20" t="s">
        <v>5</v>
      </c>
      <c r="B20" s="9" t="s">
        <v>7</v>
      </c>
      <c r="C20" s="8">
        <f>H15</f>
        <v>535020</v>
      </c>
      <c r="E20" s="13" t="s">
        <v>11</v>
      </c>
      <c r="F20" s="9" t="s">
        <v>12</v>
      </c>
      <c r="G20" s="15" t="s">
        <v>17</v>
      </c>
      <c r="H20" s="3">
        <f>-(F21*0.0077)</f>
        <v>-32932.9</v>
      </c>
    </row>
    <row r="21" spans="1:8" x14ac:dyDescent="0.25">
      <c r="F21" s="21">
        <v>4277000</v>
      </c>
    </row>
    <row r="22" spans="1:8" ht="16.5" thickBot="1" x14ac:dyDescent="0.3">
      <c r="A22" t="s">
        <v>8</v>
      </c>
      <c r="B22" s="9" t="s">
        <v>7</v>
      </c>
      <c r="C22" s="8">
        <f>D3*0.004</f>
        <v>19799.088</v>
      </c>
      <c r="F22" s="9" t="s">
        <v>13</v>
      </c>
      <c r="G22" s="16">
        <v>0.35</v>
      </c>
      <c r="H22" s="17">
        <f>-(F23*0.35)</f>
        <v>-546432.21919999993</v>
      </c>
    </row>
    <row r="23" spans="1:8" x14ac:dyDescent="0.25">
      <c r="F23" s="21">
        <f>H18</f>
        <v>1561234.912</v>
      </c>
    </row>
    <row r="24" spans="1:8" ht="15.75" x14ac:dyDescent="0.25">
      <c r="A24" t="s">
        <v>9</v>
      </c>
      <c r="B24" s="9" t="s">
        <v>7</v>
      </c>
      <c r="C24" s="10"/>
      <c r="G24" s="13" t="s">
        <v>14</v>
      </c>
      <c r="H24" s="6">
        <f>H18+H20+H22</f>
        <v>981869.79280000017</v>
      </c>
    </row>
    <row r="25" spans="1:8" ht="15.75" thickBot="1" x14ac:dyDescent="0.3">
      <c r="A25" s="16"/>
      <c r="B25" s="14"/>
      <c r="C25" s="7"/>
    </row>
    <row r="26" spans="1:8" x14ac:dyDescent="0.25">
      <c r="E26" t="s">
        <v>100</v>
      </c>
      <c r="H26" s="20">
        <f>H24*0.4</f>
        <v>392747.91712000011</v>
      </c>
    </row>
    <row r="27" spans="1:8" ht="15.75" x14ac:dyDescent="0.25">
      <c r="A27" t="s">
        <v>10</v>
      </c>
      <c r="C27" s="10">
        <f>C18-C20-C22-C24</f>
        <v>1561234.912</v>
      </c>
      <c r="H27" s="18"/>
    </row>
    <row r="28" spans="1:8" x14ac:dyDescent="0.25">
      <c r="H28" s="3"/>
    </row>
    <row r="29" spans="1:8" x14ac:dyDescent="0.25">
      <c r="H29" s="18"/>
    </row>
  </sheetData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F6161-7B36-45AE-9EB1-B5B673B8156B}">
  <dimension ref="A1:H31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487</v>
      </c>
    </row>
    <row r="3" spans="1:8" ht="21" x14ac:dyDescent="0.35">
      <c r="A3" s="2" t="s">
        <v>1</v>
      </c>
      <c r="D3" s="11">
        <v>1744355</v>
      </c>
      <c r="F3" s="12" t="s">
        <v>3</v>
      </c>
      <c r="H3" s="11">
        <v>284487</v>
      </c>
    </row>
    <row r="4" spans="1:8" x14ac:dyDescent="0.25">
      <c r="A4" s="13" t="s">
        <v>29</v>
      </c>
      <c r="C4" s="28">
        <v>588</v>
      </c>
    </row>
    <row r="5" spans="1:8" ht="21" x14ac:dyDescent="0.35">
      <c r="A5" s="2" t="s">
        <v>2</v>
      </c>
    </row>
    <row r="7" spans="1:8" ht="18.75" x14ac:dyDescent="0.3">
      <c r="A7" s="5" t="s">
        <v>222</v>
      </c>
      <c r="D7" s="4">
        <v>536219</v>
      </c>
      <c r="E7" s="27"/>
      <c r="H7" s="4">
        <v>85615</v>
      </c>
    </row>
    <row r="8" spans="1:8" ht="18.75" x14ac:dyDescent="0.3">
      <c r="A8" s="5" t="s">
        <v>488</v>
      </c>
      <c r="D8" s="30">
        <v>452506</v>
      </c>
      <c r="E8" s="27"/>
      <c r="H8" s="30">
        <v>72249</v>
      </c>
    </row>
    <row r="9" spans="1:8" ht="18.75" x14ac:dyDescent="0.3">
      <c r="A9" s="5" t="s">
        <v>489</v>
      </c>
      <c r="D9" s="30">
        <v>19829</v>
      </c>
      <c r="E9" s="27"/>
      <c r="H9" s="30">
        <v>1852</v>
      </c>
    </row>
    <row r="10" spans="1:8" ht="18.75" x14ac:dyDescent="0.3">
      <c r="A10" s="5" t="s">
        <v>490</v>
      </c>
      <c r="D10" s="30">
        <v>135000</v>
      </c>
      <c r="E10" s="27"/>
      <c r="H10" s="30"/>
    </row>
    <row r="11" spans="1:8" ht="18.75" x14ac:dyDescent="0.3">
      <c r="A11" s="5" t="s">
        <v>167</v>
      </c>
      <c r="D11" s="30">
        <v>13423</v>
      </c>
      <c r="E11" s="27"/>
      <c r="H11" s="30">
        <v>2143</v>
      </c>
    </row>
    <row r="12" spans="1:8" ht="18.75" x14ac:dyDescent="0.3">
      <c r="A12" s="5" t="s">
        <v>167</v>
      </c>
      <c r="D12" s="30">
        <v>59490</v>
      </c>
      <c r="E12" s="27"/>
      <c r="H12" s="30">
        <v>9498</v>
      </c>
    </row>
    <row r="13" spans="1:8" ht="19.5" thickBot="1" x14ac:dyDescent="0.35">
      <c r="A13" s="5" t="s">
        <v>486</v>
      </c>
      <c r="D13" s="35">
        <v>30000</v>
      </c>
      <c r="E13" s="27"/>
      <c r="H13" s="35"/>
    </row>
    <row r="14" spans="1:8" ht="19.5" thickTop="1" x14ac:dyDescent="0.3">
      <c r="A14" s="5"/>
      <c r="D14" s="30"/>
      <c r="E14" s="27"/>
      <c r="H14" s="30"/>
    </row>
    <row r="15" spans="1:8" ht="18.75" x14ac:dyDescent="0.3">
      <c r="D15" s="4">
        <f>SUM(D7:D13)</f>
        <v>1246467</v>
      </c>
      <c r="H15" s="33">
        <f>SUM(H7:H13)</f>
        <v>171357</v>
      </c>
    </row>
    <row r="17" spans="1:8" ht="18.75" x14ac:dyDescent="0.3">
      <c r="C17" t="s">
        <v>4</v>
      </c>
      <c r="D17" s="4">
        <f>D3-D15</f>
        <v>497888</v>
      </c>
      <c r="G17" t="s">
        <v>5</v>
      </c>
      <c r="H17" s="4">
        <f>H3-H15</f>
        <v>113130</v>
      </c>
    </row>
    <row r="19" spans="1:8" x14ac:dyDescent="0.25">
      <c r="G19" t="s">
        <v>454</v>
      </c>
    </row>
    <row r="20" spans="1:8" ht="15.75" x14ac:dyDescent="0.25">
      <c r="A20" t="s">
        <v>6</v>
      </c>
      <c r="C20" s="8">
        <f>D17</f>
        <v>497888</v>
      </c>
      <c r="E20" t="s">
        <v>10</v>
      </c>
      <c r="H20" s="6">
        <f>C29</f>
        <v>377780.58</v>
      </c>
    </row>
    <row r="22" spans="1:8" ht="15.75" x14ac:dyDescent="0.25">
      <c r="A22" t="s">
        <v>5</v>
      </c>
      <c r="B22" s="9" t="s">
        <v>7</v>
      </c>
      <c r="C22" s="8">
        <f>H17</f>
        <v>113130</v>
      </c>
      <c r="E22" s="13" t="s">
        <v>11</v>
      </c>
      <c r="F22" s="9" t="s">
        <v>12</v>
      </c>
      <c r="G22" s="15" t="s">
        <v>17</v>
      </c>
      <c r="H22" s="3">
        <f>-(F23*0.0077)</f>
        <v>-11529.210000000001</v>
      </c>
    </row>
    <row r="23" spans="1:8" x14ac:dyDescent="0.25">
      <c r="F23" s="21">
        <v>1497300</v>
      </c>
    </row>
    <row r="24" spans="1:8" ht="16.5" thickBot="1" x14ac:dyDescent="0.3">
      <c r="A24" t="s">
        <v>8</v>
      </c>
      <c r="B24" s="9" t="s">
        <v>7</v>
      </c>
      <c r="C24" s="8">
        <f>D3*0.004</f>
        <v>6977.42</v>
      </c>
      <c r="F24" s="9" t="s">
        <v>13</v>
      </c>
      <c r="G24" s="16">
        <v>0.35</v>
      </c>
      <c r="H24" s="17">
        <f>-(F25*0.35)</f>
        <v>-132223.20300000001</v>
      </c>
    </row>
    <row r="25" spans="1:8" x14ac:dyDescent="0.25">
      <c r="F25" s="21">
        <f>H20</f>
        <v>377780.58</v>
      </c>
    </row>
    <row r="26" spans="1:8" ht="15.75" x14ac:dyDescent="0.25">
      <c r="A26" t="s">
        <v>9</v>
      </c>
      <c r="B26" s="9" t="s">
        <v>7</v>
      </c>
      <c r="C26" s="10"/>
      <c r="G26" s="13" t="s">
        <v>14</v>
      </c>
      <c r="H26" s="6">
        <f>H20+H22+H24</f>
        <v>234028.16699999999</v>
      </c>
    </row>
    <row r="27" spans="1:8" ht="15.75" thickBot="1" x14ac:dyDescent="0.3">
      <c r="A27" s="16"/>
      <c r="B27" s="14"/>
      <c r="C27" s="7"/>
    </row>
    <row r="28" spans="1:8" x14ac:dyDescent="0.25">
      <c r="E28" t="s">
        <v>100</v>
      </c>
      <c r="H28" s="20">
        <f>H26*0.4</f>
        <v>93611.266799999998</v>
      </c>
    </row>
    <row r="29" spans="1:8" ht="15.75" x14ac:dyDescent="0.25">
      <c r="A29" t="s">
        <v>10</v>
      </c>
      <c r="C29" s="10">
        <f>C20-C22-C24-C26</f>
        <v>377780.58</v>
      </c>
      <c r="H29" s="18"/>
    </row>
    <row r="30" spans="1:8" x14ac:dyDescent="0.25">
      <c r="H30" s="3"/>
    </row>
    <row r="31" spans="1:8" x14ac:dyDescent="0.25">
      <c r="H31" s="18"/>
    </row>
  </sheetData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02D86-4652-49EC-B43D-A07D2C6236A8}">
  <dimension ref="A1:H25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487</v>
      </c>
    </row>
    <row r="3" spans="1:8" ht="21" x14ac:dyDescent="0.35">
      <c r="A3" s="2" t="s">
        <v>1</v>
      </c>
      <c r="D3" s="11">
        <v>345100</v>
      </c>
      <c r="F3" s="12" t="s">
        <v>3</v>
      </c>
      <c r="H3" s="11">
        <v>55100</v>
      </c>
    </row>
    <row r="4" spans="1:8" x14ac:dyDescent="0.25">
      <c r="A4" s="13" t="s">
        <v>29</v>
      </c>
      <c r="C4" s="28">
        <v>589</v>
      </c>
    </row>
    <row r="5" spans="1:8" ht="21" x14ac:dyDescent="0.35">
      <c r="A5" s="2" t="s">
        <v>2</v>
      </c>
    </row>
    <row r="7" spans="1:8" ht="18.75" x14ac:dyDescent="0.3">
      <c r="A7" s="5" t="s">
        <v>491</v>
      </c>
      <c r="D7" s="4">
        <v>228763</v>
      </c>
      <c r="E7" s="27"/>
      <c r="H7" s="4">
        <v>36525</v>
      </c>
    </row>
    <row r="8" spans="1:8" ht="19.5" thickBot="1" x14ac:dyDescent="0.35">
      <c r="A8" s="5"/>
      <c r="D8" s="35"/>
      <c r="E8" s="27"/>
      <c r="H8" s="35"/>
    </row>
    <row r="9" spans="1:8" ht="19.5" thickTop="1" x14ac:dyDescent="0.3">
      <c r="D9" s="4">
        <f>SUM(D7:D7)</f>
        <v>228763</v>
      </c>
      <c r="H9" s="33">
        <f>SUM(H7:H7)</f>
        <v>36525</v>
      </c>
    </row>
    <row r="11" spans="1:8" ht="18.75" x14ac:dyDescent="0.3">
      <c r="C11" t="s">
        <v>4</v>
      </c>
      <c r="D11" s="4">
        <f>D3-D9</f>
        <v>116337</v>
      </c>
      <c r="G11" t="s">
        <v>5</v>
      </c>
      <c r="H11" s="4">
        <f>H3-H9</f>
        <v>18575</v>
      </c>
    </row>
    <row r="13" spans="1:8" x14ac:dyDescent="0.25">
      <c r="G13" t="s">
        <v>454</v>
      </c>
    </row>
    <row r="14" spans="1:8" ht="15.75" x14ac:dyDescent="0.25">
      <c r="A14" t="s">
        <v>6</v>
      </c>
      <c r="C14" s="8">
        <f>D11</f>
        <v>116337</v>
      </c>
      <c r="E14" t="s">
        <v>10</v>
      </c>
      <c r="H14" s="6">
        <f>C23</f>
        <v>96381.6</v>
      </c>
    </row>
    <row r="16" spans="1:8" ht="15.75" x14ac:dyDescent="0.25">
      <c r="A16" t="s">
        <v>5</v>
      </c>
      <c r="B16" s="9" t="s">
        <v>7</v>
      </c>
      <c r="C16" s="8">
        <f>H11</f>
        <v>18575</v>
      </c>
      <c r="E16" s="13" t="s">
        <v>11</v>
      </c>
      <c r="F16" s="9" t="s">
        <v>12</v>
      </c>
      <c r="G16" s="15" t="s">
        <v>17</v>
      </c>
      <c r="H16" s="3">
        <f>-(F17*0.0077)</f>
        <v>-2233</v>
      </c>
    </row>
    <row r="17" spans="1:8" x14ac:dyDescent="0.25">
      <c r="F17" s="21">
        <f>D3-H3</f>
        <v>290000</v>
      </c>
    </row>
    <row r="18" spans="1:8" ht="16.5" thickBot="1" x14ac:dyDescent="0.3">
      <c r="A18" t="s">
        <v>8</v>
      </c>
      <c r="B18" s="9" t="s">
        <v>7</v>
      </c>
      <c r="C18" s="8">
        <f>D3*0.004</f>
        <v>1380.4</v>
      </c>
      <c r="F18" s="9" t="s">
        <v>13</v>
      </c>
      <c r="G18" s="16">
        <v>0.35</v>
      </c>
      <c r="H18" s="17">
        <f>-(F19*0.35)</f>
        <v>-33733.56</v>
      </c>
    </row>
    <row r="19" spans="1:8" x14ac:dyDescent="0.25">
      <c r="F19" s="21">
        <f>H14</f>
        <v>96381.6</v>
      </c>
    </row>
    <row r="20" spans="1:8" ht="15.75" x14ac:dyDescent="0.25">
      <c r="A20" t="s">
        <v>9</v>
      </c>
      <c r="B20" s="9" t="s">
        <v>7</v>
      </c>
      <c r="C20" s="10"/>
      <c r="G20" s="13" t="s">
        <v>14</v>
      </c>
      <c r="H20" s="6">
        <f>H14+H16+H18</f>
        <v>60415.040000000008</v>
      </c>
    </row>
    <row r="21" spans="1:8" ht="15.75" thickBot="1" x14ac:dyDescent="0.3">
      <c r="A21" s="16"/>
      <c r="B21" s="14"/>
      <c r="C21" s="7"/>
    </row>
    <row r="22" spans="1:8" x14ac:dyDescent="0.25">
      <c r="E22" t="s">
        <v>100</v>
      </c>
      <c r="H22" s="20">
        <f>H20*0.4</f>
        <v>24166.016000000003</v>
      </c>
    </row>
    <row r="23" spans="1:8" ht="15.75" x14ac:dyDescent="0.25">
      <c r="A23" t="s">
        <v>10</v>
      </c>
      <c r="C23" s="10">
        <f>C14-C16-C18-C20</f>
        <v>96381.6</v>
      </c>
      <c r="H23" s="18"/>
    </row>
    <row r="24" spans="1:8" x14ac:dyDescent="0.25">
      <c r="H24" s="3"/>
    </row>
    <row r="25" spans="1:8" x14ac:dyDescent="0.25">
      <c r="H25" s="18"/>
    </row>
  </sheetData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120B4-83A4-4573-9DB5-78E03340B8C3}">
  <dimension ref="A1:H25"/>
  <sheetViews>
    <sheetView workbookViewId="0">
      <selection activeCell="E28" sqref="E28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492</v>
      </c>
    </row>
    <row r="3" spans="1:8" ht="21" x14ac:dyDescent="0.35">
      <c r="A3" s="2" t="s">
        <v>1</v>
      </c>
      <c r="D3" s="11">
        <v>100000</v>
      </c>
      <c r="F3" s="12" t="s">
        <v>3</v>
      </c>
      <c r="H3" s="11">
        <v>0</v>
      </c>
    </row>
    <row r="4" spans="1:8" x14ac:dyDescent="0.25">
      <c r="A4" s="13" t="s">
        <v>29</v>
      </c>
      <c r="C4" s="28" t="s">
        <v>493</v>
      </c>
    </row>
    <row r="5" spans="1:8" ht="21" x14ac:dyDescent="0.35">
      <c r="A5" s="2" t="s">
        <v>2</v>
      </c>
    </row>
    <row r="7" spans="1:8" ht="18.75" x14ac:dyDescent="0.3">
      <c r="A7" s="5" t="s">
        <v>209</v>
      </c>
      <c r="D7" s="4">
        <v>37730</v>
      </c>
      <c r="E7" s="27"/>
      <c r="H7" s="4">
        <v>6024</v>
      </c>
    </row>
    <row r="8" spans="1:8" ht="19.5" thickBot="1" x14ac:dyDescent="0.35">
      <c r="A8" s="5"/>
      <c r="D8" s="35"/>
      <c r="E8" s="27"/>
      <c r="H8" s="35"/>
    </row>
    <row r="9" spans="1:8" ht="19.5" thickTop="1" x14ac:dyDescent="0.3">
      <c r="D9" s="4">
        <f>SUM(D7:D7)</f>
        <v>37730</v>
      </c>
      <c r="H9" s="33">
        <f>SUM(H7:H7)</f>
        <v>6024</v>
      </c>
    </row>
    <row r="11" spans="1:8" ht="18.75" x14ac:dyDescent="0.3">
      <c r="C11" t="s">
        <v>4</v>
      </c>
      <c r="D11" s="4">
        <f>D3-D9</f>
        <v>62270</v>
      </c>
      <c r="G11" t="s">
        <v>5</v>
      </c>
      <c r="H11" s="4">
        <f>H3-H9</f>
        <v>-6024</v>
      </c>
    </row>
    <row r="13" spans="1:8" x14ac:dyDescent="0.25">
      <c r="G13" t="s">
        <v>454</v>
      </c>
    </row>
    <row r="14" spans="1:8" ht="15.75" x14ac:dyDescent="0.25">
      <c r="A14" t="s">
        <v>6</v>
      </c>
      <c r="C14" s="8">
        <f>D11</f>
        <v>62270</v>
      </c>
      <c r="E14" t="s">
        <v>10</v>
      </c>
      <c r="H14" s="6">
        <f>C23</f>
        <v>67894</v>
      </c>
    </row>
    <row r="16" spans="1:8" ht="15.75" x14ac:dyDescent="0.25">
      <c r="A16" t="s">
        <v>5</v>
      </c>
      <c r="B16" s="9" t="s">
        <v>7</v>
      </c>
      <c r="C16" s="8">
        <f>H11</f>
        <v>-6024</v>
      </c>
      <c r="E16" s="13" t="s">
        <v>11</v>
      </c>
      <c r="F16" s="9" t="s">
        <v>12</v>
      </c>
      <c r="G16" s="15" t="s">
        <v>17</v>
      </c>
      <c r="H16" s="3">
        <f>-(F17*0.0077)</f>
        <v>-770</v>
      </c>
    </row>
    <row r="17" spans="1:8" x14ac:dyDescent="0.25">
      <c r="F17" s="21">
        <f>D3-H3</f>
        <v>100000</v>
      </c>
    </row>
    <row r="18" spans="1:8" ht="16.5" thickBot="1" x14ac:dyDescent="0.3">
      <c r="A18" t="s">
        <v>8</v>
      </c>
      <c r="B18" s="9" t="s">
        <v>7</v>
      </c>
      <c r="C18" s="8">
        <f>D3*0.004</f>
        <v>400</v>
      </c>
      <c r="F18" s="9" t="s">
        <v>13</v>
      </c>
      <c r="G18" s="16">
        <v>0.35</v>
      </c>
      <c r="H18" s="17">
        <f>-(F19*0.35)</f>
        <v>-23762.899999999998</v>
      </c>
    </row>
    <row r="19" spans="1:8" x14ac:dyDescent="0.25">
      <c r="F19" s="21">
        <f>H14</f>
        <v>67894</v>
      </c>
    </row>
    <row r="20" spans="1:8" ht="15.75" x14ac:dyDescent="0.25">
      <c r="A20" t="s">
        <v>9</v>
      </c>
      <c r="B20" s="9" t="s">
        <v>7</v>
      </c>
      <c r="C20" s="10"/>
      <c r="G20" s="13" t="s">
        <v>14</v>
      </c>
      <c r="H20" s="6">
        <f>H14+H16+H18</f>
        <v>43361.100000000006</v>
      </c>
    </row>
    <row r="21" spans="1:8" ht="15.75" thickBot="1" x14ac:dyDescent="0.3">
      <c r="A21" s="16"/>
      <c r="B21" s="14"/>
      <c r="C21" s="7"/>
    </row>
    <row r="22" spans="1:8" x14ac:dyDescent="0.25">
      <c r="E22" t="s">
        <v>100</v>
      </c>
      <c r="H22" s="20">
        <f>H20*0.4</f>
        <v>17344.440000000002</v>
      </c>
    </row>
    <row r="23" spans="1:8" ht="15.75" x14ac:dyDescent="0.25">
      <c r="A23" t="s">
        <v>10</v>
      </c>
      <c r="C23" s="10">
        <f>C14-C16-C18-C20</f>
        <v>67894</v>
      </c>
      <c r="H23" s="18"/>
    </row>
    <row r="24" spans="1:8" x14ac:dyDescent="0.25">
      <c r="H24" s="3"/>
    </row>
    <row r="25" spans="1:8" x14ac:dyDescent="0.25">
      <c r="H25" s="18"/>
    </row>
  </sheetData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2D4C4-518E-409B-8647-85C9626F024A}">
  <dimension ref="A1:H25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494</v>
      </c>
    </row>
    <row r="3" spans="1:8" ht="21" x14ac:dyDescent="0.35">
      <c r="A3" s="2" t="s">
        <v>1</v>
      </c>
      <c r="D3" s="11">
        <v>547400</v>
      </c>
      <c r="F3" s="12" t="s">
        <v>3</v>
      </c>
      <c r="H3" s="11">
        <v>87400</v>
      </c>
    </row>
    <row r="4" spans="1:8" x14ac:dyDescent="0.25">
      <c r="A4" s="13" t="s">
        <v>29</v>
      </c>
      <c r="C4" s="28">
        <v>590</v>
      </c>
    </row>
    <row r="5" spans="1:8" ht="21" x14ac:dyDescent="0.35">
      <c r="A5" s="2" t="s">
        <v>2</v>
      </c>
    </row>
    <row r="7" spans="1:8" ht="18.75" x14ac:dyDescent="0.3">
      <c r="A7" s="5" t="s">
        <v>310</v>
      </c>
      <c r="D7" s="4">
        <v>388938</v>
      </c>
      <c r="E7" s="27"/>
      <c r="H7" s="4">
        <v>62100</v>
      </c>
    </row>
    <row r="8" spans="1:8" ht="19.5" thickBot="1" x14ac:dyDescent="0.35">
      <c r="A8" s="5"/>
      <c r="D8" s="35"/>
      <c r="E8" s="27"/>
      <c r="H8" s="35"/>
    </row>
    <row r="9" spans="1:8" ht="19.5" thickTop="1" x14ac:dyDescent="0.3">
      <c r="D9" s="4">
        <f>SUM(D7:D7)</f>
        <v>388938</v>
      </c>
      <c r="H9" s="33">
        <f>SUM(H7:H7)</f>
        <v>62100</v>
      </c>
    </row>
    <row r="11" spans="1:8" ht="18.75" x14ac:dyDescent="0.3">
      <c r="C11" t="s">
        <v>4</v>
      </c>
      <c r="D11" s="4">
        <f>D3-D9</f>
        <v>158462</v>
      </c>
      <c r="G11" t="s">
        <v>5</v>
      </c>
      <c r="H11" s="4">
        <f>H3-H9</f>
        <v>25300</v>
      </c>
    </row>
    <row r="13" spans="1:8" x14ac:dyDescent="0.25">
      <c r="G13" t="s">
        <v>454</v>
      </c>
    </row>
    <row r="14" spans="1:8" ht="15.75" x14ac:dyDescent="0.25">
      <c r="A14" t="s">
        <v>6</v>
      </c>
      <c r="C14" s="8">
        <f>D11</f>
        <v>158462</v>
      </c>
      <c r="E14" t="s">
        <v>10</v>
      </c>
      <c r="H14" s="6">
        <f>C23</f>
        <v>130972.4</v>
      </c>
    </row>
    <row r="16" spans="1:8" ht="15.75" x14ac:dyDescent="0.25">
      <c r="A16" t="s">
        <v>5</v>
      </c>
      <c r="B16" s="9" t="s">
        <v>7</v>
      </c>
      <c r="C16" s="8">
        <f>H11</f>
        <v>25300</v>
      </c>
      <c r="E16" s="13" t="s">
        <v>11</v>
      </c>
      <c r="F16" s="9" t="s">
        <v>12</v>
      </c>
      <c r="G16" s="15" t="s">
        <v>17</v>
      </c>
      <c r="H16" s="3">
        <f>-(F17*0.0077)</f>
        <v>-3542</v>
      </c>
    </row>
    <row r="17" spans="1:8" x14ac:dyDescent="0.25">
      <c r="F17" s="21">
        <f>D3-H3</f>
        <v>460000</v>
      </c>
    </row>
    <row r="18" spans="1:8" ht="16.5" thickBot="1" x14ac:dyDescent="0.3">
      <c r="A18" t="s">
        <v>8</v>
      </c>
      <c r="B18" s="9" t="s">
        <v>7</v>
      </c>
      <c r="C18" s="8">
        <f>D3*0.004</f>
        <v>2189.6</v>
      </c>
      <c r="F18" s="9" t="s">
        <v>13</v>
      </c>
      <c r="G18" s="16">
        <v>0.35</v>
      </c>
      <c r="H18" s="17">
        <f>-(F19*0.35)</f>
        <v>-45840.34</v>
      </c>
    </row>
    <row r="19" spans="1:8" x14ac:dyDescent="0.25">
      <c r="F19" s="21">
        <f>H14</f>
        <v>130972.4</v>
      </c>
    </row>
    <row r="20" spans="1:8" ht="15.75" x14ac:dyDescent="0.25">
      <c r="A20" t="s">
        <v>9</v>
      </c>
      <c r="B20" s="9" t="s">
        <v>7</v>
      </c>
      <c r="C20" s="10"/>
      <c r="G20" s="13" t="s">
        <v>14</v>
      </c>
      <c r="H20" s="6">
        <f>H14+H16+H18</f>
        <v>81590.06</v>
      </c>
    </row>
    <row r="21" spans="1:8" ht="15.75" thickBot="1" x14ac:dyDescent="0.3">
      <c r="A21" s="16"/>
      <c r="B21" s="14"/>
      <c r="C21" s="7"/>
    </row>
    <row r="22" spans="1:8" x14ac:dyDescent="0.25">
      <c r="E22" t="s">
        <v>100</v>
      </c>
      <c r="H22" s="20">
        <f>H20*0.4</f>
        <v>32636.024000000001</v>
      </c>
    </row>
    <row r="23" spans="1:8" ht="15.75" x14ac:dyDescent="0.25">
      <c r="A23" t="s">
        <v>10</v>
      </c>
      <c r="C23" s="10">
        <f>C14-C16-C18-C20</f>
        <v>130972.4</v>
      </c>
      <c r="H23" s="18"/>
    </row>
    <row r="24" spans="1:8" x14ac:dyDescent="0.25">
      <c r="H24" s="3"/>
    </row>
    <row r="25" spans="1:8" x14ac:dyDescent="0.25">
      <c r="H25" s="18"/>
    </row>
  </sheetData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53A7F-1742-4D36-B220-276A1B26B0C6}">
  <dimension ref="A1:H25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495</v>
      </c>
    </row>
    <row r="3" spans="1:8" ht="21" x14ac:dyDescent="0.35">
      <c r="A3" s="2" t="s">
        <v>1</v>
      </c>
      <c r="D3" s="11">
        <v>142800</v>
      </c>
      <c r="F3" s="12" t="s">
        <v>3</v>
      </c>
      <c r="H3" s="11">
        <v>22800</v>
      </c>
    </row>
    <row r="4" spans="1:8" x14ac:dyDescent="0.25">
      <c r="A4" s="13" t="s">
        <v>29</v>
      </c>
      <c r="C4" s="28">
        <v>594</v>
      </c>
    </row>
    <row r="5" spans="1:8" ht="21" x14ac:dyDescent="0.35">
      <c r="A5" s="2" t="s">
        <v>2</v>
      </c>
    </row>
    <row r="7" spans="1:8" ht="18.75" x14ac:dyDescent="0.3">
      <c r="A7" s="5" t="s">
        <v>209</v>
      </c>
      <c r="D7" s="4">
        <v>98042</v>
      </c>
      <c r="E7" s="27"/>
      <c r="H7" s="4">
        <v>15654</v>
      </c>
    </row>
    <row r="8" spans="1:8" ht="19.5" thickBot="1" x14ac:dyDescent="0.35">
      <c r="A8" s="5"/>
      <c r="D8" s="35"/>
      <c r="E8" s="27"/>
      <c r="H8" s="35"/>
    </row>
    <row r="9" spans="1:8" ht="19.5" thickTop="1" x14ac:dyDescent="0.3">
      <c r="D9" s="4">
        <f>SUM(D7:D7)</f>
        <v>98042</v>
      </c>
      <c r="H9" s="33">
        <f>SUM(H7:H7)</f>
        <v>15654</v>
      </c>
    </row>
    <row r="11" spans="1:8" ht="18.75" x14ac:dyDescent="0.3">
      <c r="C11" t="s">
        <v>4</v>
      </c>
      <c r="D11" s="4">
        <f>D3-D9</f>
        <v>44758</v>
      </c>
      <c r="G11" t="s">
        <v>5</v>
      </c>
      <c r="H11" s="4">
        <f>H3-H9</f>
        <v>7146</v>
      </c>
    </row>
    <row r="13" spans="1:8" x14ac:dyDescent="0.25">
      <c r="G13" t="s">
        <v>454</v>
      </c>
    </row>
    <row r="14" spans="1:8" ht="15.75" x14ac:dyDescent="0.25">
      <c r="A14" t="s">
        <v>6</v>
      </c>
      <c r="C14" s="8">
        <f>D11</f>
        <v>44758</v>
      </c>
      <c r="E14" t="s">
        <v>10</v>
      </c>
      <c r="H14" s="6">
        <f>C23</f>
        <v>37040.800000000003</v>
      </c>
    </row>
    <row r="16" spans="1:8" ht="15.75" x14ac:dyDescent="0.25">
      <c r="A16" t="s">
        <v>5</v>
      </c>
      <c r="B16" s="9" t="s">
        <v>7</v>
      </c>
      <c r="C16" s="8">
        <f>H11</f>
        <v>7146</v>
      </c>
      <c r="E16" s="13" t="s">
        <v>11</v>
      </c>
      <c r="F16" s="9" t="s">
        <v>12</v>
      </c>
      <c r="G16" s="15" t="s">
        <v>17</v>
      </c>
      <c r="H16" s="3">
        <f>-(F17*0.0077)</f>
        <v>-924</v>
      </c>
    </row>
    <row r="17" spans="1:8" x14ac:dyDescent="0.25">
      <c r="F17" s="21">
        <f>D3-H3</f>
        <v>120000</v>
      </c>
    </row>
    <row r="18" spans="1:8" ht="16.5" thickBot="1" x14ac:dyDescent="0.3">
      <c r="A18" t="s">
        <v>8</v>
      </c>
      <c r="B18" s="9" t="s">
        <v>7</v>
      </c>
      <c r="C18" s="8">
        <f>D3*0.004</f>
        <v>571.20000000000005</v>
      </c>
      <c r="F18" s="9" t="s">
        <v>13</v>
      </c>
      <c r="G18" s="16">
        <v>0.35</v>
      </c>
      <c r="H18" s="17">
        <f>-(F19*0.35)</f>
        <v>-12964.28</v>
      </c>
    </row>
    <row r="19" spans="1:8" x14ac:dyDescent="0.25">
      <c r="F19" s="21">
        <f>H14</f>
        <v>37040.800000000003</v>
      </c>
    </row>
    <row r="20" spans="1:8" ht="15.75" x14ac:dyDescent="0.25">
      <c r="A20" t="s">
        <v>9</v>
      </c>
      <c r="B20" s="9" t="s">
        <v>7</v>
      </c>
      <c r="C20" s="10"/>
      <c r="G20" s="13" t="s">
        <v>14</v>
      </c>
      <c r="H20" s="6">
        <f>H14+H16+H18</f>
        <v>23152.520000000004</v>
      </c>
    </row>
    <row r="21" spans="1:8" ht="15.75" thickBot="1" x14ac:dyDescent="0.3">
      <c r="A21" s="16"/>
      <c r="B21" s="14"/>
      <c r="C21" s="7"/>
    </row>
    <row r="22" spans="1:8" x14ac:dyDescent="0.25">
      <c r="E22" t="s">
        <v>100</v>
      </c>
      <c r="H22" s="20">
        <f>H20*0.4</f>
        <v>9261.0080000000016</v>
      </c>
    </row>
    <row r="23" spans="1:8" ht="15.75" x14ac:dyDescent="0.25">
      <c r="A23" t="s">
        <v>10</v>
      </c>
      <c r="C23" s="10">
        <f>C14-C16-C18-C20</f>
        <v>37040.800000000003</v>
      </c>
      <c r="H23" s="18"/>
    </row>
    <row r="24" spans="1:8" x14ac:dyDescent="0.25">
      <c r="H24" s="3"/>
    </row>
    <row r="25" spans="1:8" x14ac:dyDescent="0.25">
      <c r="H25" s="18"/>
    </row>
  </sheetData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4DAAA-E741-4EDE-A880-49C930DCC2A6}">
  <dimension ref="A1:H25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496</v>
      </c>
    </row>
    <row r="3" spans="1:8" ht="21" x14ac:dyDescent="0.35">
      <c r="A3" s="2" t="s">
        <v>1</v>
      </c>
      <c r="D3" s="11">
        <v>1833163</v>
      </c>
      <c r="F3" s="12" t="s">
        <v>3</v>
      </c>
      <c r="H3" s="11">
        <v>300960</v>
      </c>
    </row>
    <row r="4" spans="1:8" x14ac:dyDescent="0.25">
      <c r="A4" s="13" t="s">
        <v>29</v>
      </c>
      <c r="C4" s="28">
        <v>596</v>
      </c>
    </row>
    <row r="5" spans="1:8" ht="21" x14ac:dyDescent="0.35">
      <c r="A5" s="2" t="s">
        <v>2</v>
      </c>
    </row>
    <row r="7" spans="1:8" ht="18.75" x14ac:dyDescent="0.3">
      <c r="A7" s="5" t="s">
        <v>497</v>
      </c>
      <c r="D7" s="4">
        <v>874245</v>
      </c>
      <c r="E7" s="27"/>
      <c r="H7" s="4">
        <v>139585</v>
      </c>
    </row>
    <row r="8" spans="1:8" ht="19.5" thickBot="1" x14ac:dyDescent="0.35">
      <c r="A8" s="5"/>
      <c r="D8" s="35"/>
      <c r="E8" s="27"/>
      <c r="H8" s="35"/>
    </row>
    <row r="9" spans="1:8" ht="19.5" thickTop="1" x14ac:dyDescent="0.3">
      <c r="D9" s="4">
        <f>SUM(D7:D7)</f>
        <v>874245</v>
      </c>
      <c r="H9" s="33">
        <f>SUM(H7:H7)</f>
        <v>139585</v>
      </c>
    </row>
    <row r="11" spans="1:8" ht="18.75" x14ac:dyDescent="0.3">
      <c r="C11" t="s">
        <v>4</v>
      </c>
      <c r="D11" s="4">
        <f>D3-D9</f>
        <v>958918</v>
      </c>
      <c r="G11" t="s">
        <v>5</v>
      </c>
      <c r="H11" s="4">
        <f>H3-H9</f>
        <v>161375</v>
      </c>
    </row>
    <row r="13" spans="1:8" x14ac:dyDescent="0.25">
      <c r="G13" t="s">
        <v>454</v>
      </c>
    </row>
    <row r="14" spans="1:8" ht="15.75" x14ac:dyDescent="0.25">
      <c r="A14" t="s">
        <v>6</v>
      </c>
      <c r="C14" s="8">
        <f>D11</f>
        <v>958918</v>
      </c>
      <c r="E14" t="s">
        <v>10</v>
      </c>
      <c r="H14" s="6">
        <f>C23</f>
        <v>790210.348</v>
      </c>
    </row>
    <row r="16" spans="1:8" ht="15.75" x14ac:dyDescent="0.25">
      <c r="A16" t="s">
        <v>5</v>
      </c>
      <c r="B16" s="9" t="s">
        <v>7</v>
      </c>
      <c r="C16" s="8">
        <f>H11</f>
        <v>161375</v>
      </c>
      <c r="E16" s="13" t="s">
        <v>11</v>
      </c>
      <c r="F16" s="9" t="s">
        <v>12</v>
      </c>
      <c r="G16" s="15" t="s">
        <v>17</v>
      </c>
      <c r="H16" s="3">
        <f>-(F17*0.0077)</f>
        <v>-12196.800000000001</v>
      </c>
    </row>
    <row r="17" spans="1:8" x14ac:dyDescent="0.25">
      <c r="F17" s="21">
        <v>1584000</v>
      </c>
    </row>
    <row r="18" spans="1:8" ht="16.5" thickBot="1" x14ac:dyDescent="0.3">
      <c r="A18" t="s">
        <v>8</v>
      </c>
      <c r="B18" s="9" t="s">
        <v>7</v>
      </c>
      <c r="C18" s="8">
        <f>D3*0.004</f>
        <v>7332.652</v>
      </c>
      <c r="F18" s="9" t="s">
        <v>13</v>
      </c>
      <c r="G18" s="16">
        <v>0.35</v>
      </c>
      <c r="H18" s="17">
        <f>-(F19*0.35)</f>
        <v>-276573.62179999996</v>
      </c>
    </row>
    <row r="19" spans="1:8" x14ac:dyDescent="0.25">
      <c r="F19" s="21">
        <f>H14</f>
        <v>790210.348</v>
      </c>
    </row>
    <row r="20" spans="1:8" ht="15.75" x14ac:dyDescent="0.25">
      <c r="A20" t="s">
        <v>9</v>
      </c>
      <c r="B20" s="9" t="s">
        <v>7</v>
      </c>
      <c r="C20" s="10"/>
      <c r="G20" s="13" t="s">
        <v>14</v>
      </c>
      <c r="H20" s="6">
        <f>H14+H16+H18</f>
        <v>501439.92619999999</v>
      </c>
    </row>
    <row r="21" spans="1:8" ht="15.75" thickBot="1" x14ac:dyDescent="0.3">
      <c r="A21" s="16"/>
      <c r="B21" s="14"/>
      <c r="C21" s="7"/>
    </row>
    <row r="22" spans="1:8" x14ac:dyDescent="0.25">
      <c r="E22" t="s">
        <v>100</v>
      </c>
      <c r="H22" s="20">
        <f>H20*0.4</f>
        <v>200575.97048000002</v>
      </c>
    </row>
    <row r="23" spans="1:8" ht="15.75" x14ac:dyDescent="0.25">
      <c r="A23" t="s">
        <v>10</v>
      </c>
      <c r="C23" s="10">
        <f>C14-C16-C18-C20</f>
        <v>790210.348</v>
      </c>
      <c r="H23" s="18"/>
    </row>
    <row r="24" spans="1:8" x14ac:dyDescent="0.25">
      <c r="H24" s="3"/>
    </row>
    <row r="25" spans="1:8" x14ac:dyDescent="0.25">
      <c r="H25" s="18"/>
    </row>
  </sheetData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28B69-3FE2-4786-AD69-936CF879C948}">
  <dimension ref="A1:H25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498</v>
      </c>
    </row>
    <row r="3" spans="1:8" ht="21" x14ac:dyDescent="0.35">
      <c r="A3" s="2" t="s">
        <v>1</v>
      </c>
      <c r="D3" s="11">
        <v>518840</v>
      </c>
      <c r="F3" s="12" t="s">
        <v>3</v>
      </c>
      <c r="H3" s="11">
        <v>82840</v>
      </c>
    </row>
    <row r="4" spans="1:8" x14ac:dyDescent="0.25">
      <c r="A4" s="13" t="s">
        <v>29</v>
      </c>
      <c r="C4" s="28">
        <v>601</v>
      </c>
    </row>
    <row r="5" spans="1:8" ht="21" x14ac:dyDescent="0.35">
      <c r="A5" s="2" t="s">
        <v>2</v>
      </c>
    </row>
    <row r="7" spans="1:8" ht="18.75" x14ac:dyDescent="0.3">
      <c r="A7" s="5" t="s">
        <v>81</v>
      </c>
      <c r="D7" s="4">
        <v>364595</v>
      </c>
      <c r="E7" s="27"/>
      <c r="H7" s="4">
        <v>58213</v>
      </c>
    </row>
    <row r="8" spans="1:8" ht="19.5" thickBot="1" x14ac:dyDescent="0.35">
      <c r="A8" s="5"/>
      <c r="D8" s="35"/>
      <c r="E8" s="27"/>
      <c r="H8" s="35"/>
    </row>
    <row r="9" spans="1:8" ht="19.5" thickTop="1" x14ac:dyDescent="0.3">
      <c r="D9" s="4">
        <f>SUM(D7:D7)</f>
        <v>364595</v>
      </c>
      <c r="H9" s="33">
        <f>SUM(H7:H7)</f>
        <v>58213</v>
      </c>
    </row>
    <row r="11" spans="1:8" ht="18.75" x14ac:dyDescent="0.3">
      <c r="C11" t="s">
        <v>4</v>
      </c>
      <c r="D11" s="4">
        <f>D3-D9</f>
        <v>154245</v>
      </c>
      <c r="G11" t="s">
        <v>5</v>
      </c>
      <c r="H11" s="4">
        <f>H3-H9</f>
        <v>24627</v>
      </c>
    </row>
    <row r="13" spans="1:8" x14ac:dyDescent="0.25">
      <c r="G13" t="s">
        <v>454</v>
      </c>
    </row>
    <row r="14" spans="1:8" ht="15.75" x14ac:dyDescent="0.25">
      <c r="A14" t="s">
        <v>6</v>
      </c>
      <c r="C14" s="8">
        <f>D11</f>
        <v>154245</v>
      </c>
      <c r="E14" t="s">
        <v>10</v>
      </c>
      <c r="H14" s="6">
        <f>C23</f>
        <v>127542.64</v>
      </c>
    </row>
    <row r="16" spans="1:8" ht="15.75" x14ac:dyDescent="0.25">
      <c r="A16" t="s">
        <v>5</v>
      </c>
      <c r="B16" s="9" t="s">
        <v>7</v>
      </c>
      <c r="C16" s="8">
        <f>H11</f>
        <v>24627</v>
      </c>
      <c r="E16" s="13" t="s">
        <v>11</v>
      </c>
      <c r="F16" s="9" t="s">
        <v>12</v>
      </c>
      <c r="G16" s="15" t="s">
        <v>17</v>
      </c>
      <c r="H16" s="3">
        <f>-(F17*0.0077)</f>
        <v>-3357.2000000000003</v>
      </c>
    </row>
    <row r="17" spans="1:8" x14ac:dyDescent="0.25">
      <c r="F17" s="21">
        <f>D3-H3</f>
        <v>436000</v>
      </c>
    </row>
    <row r="18" spans="1:8" ht="16.5" thickBot="1" x14ac:dyDescent="0.3">
      <c r="A18" t="s">
        <v>8</v>
      </c>
      <c r="B18" s="9" t="s">
        <v>7</v>
      </c>
      <c r="C18" s="8">
        <f>D3*0.004</f>
        <v>2075.36</v>
      </c>
      <c r="F18" s="9" t="s">
        <v>13</v>
      </c>
      <c r="G18" s="16">
        <v>0.35</v>
      </c>
      <c r="H18" s="17">
        <f>-(F19*0.35)</f>
        <v>-44639.923999999999</v>
      </c>
    </row>
    <row r="19" spans="1:8" x14ac:dyDescent="0.25">
      <c r="F19" s="21">
        <f>H14</f>
        <v>127542.64</v>
      </c>
    </row>
    <row r="20" spans="1:8" ht="15.75" x14ac:dyDescent="0.25">
      <c r="A20" t="s">
        <v>9</v>
      </c>
      <c r="B20" s="9" t="s">
        <v>7</v>
      </c>
      <c r="C20" s="10"/>
      <c r="G20" s="13" t="s">
        <v>14</v>
      </c>
      <c r="H20" s="6">
        <f>H14+H16+H18</f>
        <v>79545.516000000003</v>
      </c>
    </row>
    <row r="21" spans="1:8" ht="15.75" thickBot="1" x14ac:dyDescent="0.3">
      <c r="A21" s="16"/>
      <c r="B21" s="14"/>
      <c r="C21" s="7"/>
    </row>
    <row r="22" spans="1:8" x14ac:dyDescent="0.25">
      <c r="E22" t="s">
        <v>100</v>
      </c>
      <c r="H22" s="20">
        <f>H20*0.4</f>
        <v>31818.206400000003</v>
      </c>
    </row>
    <row r="23" spans="1:8" ht="15.75" x14ac:dyDescent="0.25">
      <c r="A23" t="s">
        <v>10</v>
      </c>
      <c r="C23" s="10">
        <f>C14-C16-C18-C20</f>
        <v>127542.64</v>
      </c>
      <c r="H23" s="18"/>
    </row>
    <row r="24" spans="1:8" x14ac:dyDescent="0.25">
      <c r="H24" s="3"/>
    </row>
    <row r="25" spans="1:8" x14ac:dyDescent="0.25">
      <c r="H25" s="18"/>
    </row>
  </sheetData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4B58D-6F65-467D-8206-3F2E314123DC}">
  <dimension ref="A1:H25"/>
  <sheetViews>
    <sheetView workbookViewId="0">
      <selection activeCell="C4" sqref="C4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499</v>
      </c>
    </row>
    <row r="3" spans="1:8" ht="21" x14ac:dyDescent="0.35">
      <c r="A3" s="2" t="s">
        <v>1</v>
      </c>
      <c r="D3" s="11">
        <v>96926</v>
      </c>
      <c r="F3" s="12" t="s">
        <v>3</v>
      </c>
      <c r="H3" s="11">
        <v>15476</v>
      </c>
    </row>
    <row r="4" spans="1:8" x14ac:dyDescent="0.25">
      <c r="A4" s="13" t="s">
        <v>29</v>
      </c>
      <c r="C4" s="28">
        <v>602</v>
      </c>
    </row>
    <row r="5" spans="1:8" ht="21" x14ac:dyDescent="0.35">
      <c r="A5" s="2" t="s">
        <v>2</v>
      </c>
    </row>
    <row r="7" spans="1:8" ht="18.75" x14ac:dyDescent="0.3">
      <c r="A7" s="5" t="s">
        <v>500</v>
      </c>
      <c r="D7" s="4">
        <v>24000</v>
      </c>
      <c r="E7" s="27"/>
      <c r="H7" s="4"/>
    </row>
    <row r="8" spans="1:8" ht="19.5" thickBot="1" x14ac:dyDescent="0.35">
      <c r="A8" s="5" t="s">
        <v>310</v>
      </c>
      <c r="D8" s="35">
        <v>18700</v>
      </c>
      <c r="E8" s="27"/>
      <c r="H8" s="35">
        <v>3000</v>
      </c>
    </row>
    <row r="9" spans="1:8" ht="19.5" thickTop="1" x14ac:dyDescent="0.3">
      <c r="D9" s="4">
        <f>SUM(D7:D7)</f>
        <v>24000</v>
      </c>
      <c r="H9" s="33">
        <f>H7+H8</f>
        <v>3000</v>
      </c>
    </row>
    <row r="11" spans="1:8" ht="18.75" x14ac:dyDescent="0.3">
      <c r="C11" t="s">
        <v>4</v>
      </c>
      <c r="D11" s="4">
        <f>D3-D9</f>
        <v>72926</v>
      </c>
      <c r="G11" t="s">
        <v>5</v>
      </c>
      <c r="H11" s="4">
        <f>H3-H9</f>
        <v>12476</v>
      </c>
    </row>
    <row r="13" spans="1:8" x14ac:dyDescent="0.25">
      <c r="G13" t="s">
        <v>454</v>
      </c>
    </row>
    <row r="14" spans="1:8" ht="15.75" x14ac:dyDescent="0.25">
      <c r="A14" t="s">
        <v>6</v>
      </c>
      <c r="C14" s="8">
        <f>D11</f>
        <v>72926</v>
      </c>
      <c r="E14" t="s">
        <v>10</v>
      </c>
      <c r="H14" s="6">
        <f>C23</f>
        <v>60062.296000000002</v>
      </c>
    </row>
    <row r="16" spans="1:8" ht="15.75" x14ac:dyDescent="0.25">
      <c r="A16" t="s">
        <v>5</v>
      </c>
      <c r="B16" s="9" t="s">
        <v>7</v>
      </c>
      <c r="C16" s="8">
        <f>H11</f>
        <v>12476</v>
      </c>
      <c r="E16" s="13" t="s">
        <v>11</v>
      </c>
      <c r="F16" s="9" t="s">
        <v>12</v>
      </c>
      <c r="G16" s="15" t="s">
        <v>17</v>
      </c>
      <c r="H16" s="3">
        <f>-(F17*0.0077)</f>
        <v>-627.16499999999996</v>
      </c>
    </row>
    <row r="17" spans="1:8" x14ac:dyDescent="0.25">
      <c r="F17" s="21">
        <f>D3-H3</f>
        <v>81450</v>
      </c>
    </row>
    <row r="18" spans="1:8" ht="16.5" thickBot="1" x14ac:dyDescent="0.3">
      <c r="A18" t="s">
        <v>8</v>
      </c>
      <c r="B18" s="9" t="s">
        <v>7</v>
      </c>
      <c r="C18" s="8">
        <f>D3*0.004</f>
        <v>387.70400000000001</v>
      </c>
      <c r="F18" s="9" t="s">
        <v>13</v>
      </c>
      <c r="G18" s="16">
        <v>0.35</v>
      </c>
      <c r="H18" s="17">
        <f>-(F19*0.35)</f>
        <v>-21021.803599999999</v>
      </c>
    </row>
    <row r="19" spans="1:8" x14ac:dyDescent="0.25">
      <c r="F19" s="21">
        <f>H14</f>
        <v>60062.296000000002</v>
      </c>
    </row>
    <row r="20" spans="1:8" ht="15.75" x14ac:dyDescent="0.25">
      <c r="A20" t="s">
        <v>9</v>
      </c>
      <c r="B20" s="9" t="s">
        <v>7</v>
      </c>
      <c r="C20" s="10"/>
      <c r="G20" s="13" t="s">
        <v>14</v>
      </c>
      <c r="H20" s="6">
        <f>H14+H16+H18</f>
        <v>38413.327400000002</v>
      </c>
    </row>
    <row r="21" spans="1:8" ht="15.75" thickBot="1" x14ac:dyDescent="0.3">
      <c r="A21" s="16"/>
      <c r="B21" s="14"/>
      <c r="C21" s="7"/>
    </row>
    <row r="22" spans="1:8" x14ac:dyDescent="0.25">
      <c r="E22" t="s">
        <v>100</v>
      </c>
      <c r="H22" s="20">
        <f>H20*0.4</f>
        <v>15365.330960000001</v>
      </c>
    </row>
    <row r="23" spans="1:8" ht="15.75" x14ac:dyDescent="0.25">
      <c r="A23" t="s">
        <v>10</v>
      </c>
      <c r="C23" s="10">
        <f>C14-C16-C18-C20</f>
        <v>60062.296000000002</v>
      </c>
      <c r="H23" s="18"/>
    </row>
    <row r="24" spans="1:8" x14ac:dyDescent="0.25">
      <c r="H24" s="3"/>
    </row>
    <row r="25" spans="1:8" x14ac:dyDescent="0.25">
      <c r="H25" s="18"/>
    </row>
  </sheetData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475D9-AD69-465F-8E1A-0BC50C8FE6F4}">
  <dimension ref="A1:H25"/>
  <sheetViews>
    <sheetView workbookViewId="0">
      <selection activeCell="C4" sqref="C4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501</v>
      </c>
    </row>
    <row r="3" spans="1:8" ht="21" x14ac:dyDescent="0.35">
      <c r="A3" s="2" t="s">
        <v>1</v>
      </c>
      <c r="D3" s="11">
        <v>235620</v>
      </c>
      <c r="F3" s="12" t="s">
        <v>3</v>
      </c>
      <c r="H3" s="11">
        <v>37620</v>
      </c>
    </row>
    <row r="4" spans="1:8" x14ac:dyDescent="0.25">
      <c r="A4" s="13" t="s">
        <v>29</v>
      </c>
      <c r="C4" s="28">
        <v>603</v>
      </c>
    </row>
    <row r="5" spans="1:8" ht="21" x14ac:dyDescent="0.35">
      <c r="A5" s="2" t="s">
        <v>2</v>
      </c>
    </row>
    <row r="7" spans="1:8" ht="18.75" x14ac:dyDescent="0.3">
      <c r="A7" s="5" t="s">
        <v>240</v>
      </c>
      <c r="D7" s="4">
        <v>157080</v>
      </c>
      <c r="E7" s="27"/>
      <c r="H7" s="4">
        <v>25080</v>
      </c>
    </row>
    <row r="8" spans="1:8" ht="19.5" thickBot="1" x14ac:dyDescent="0.35">
      <c r="A8" s="5"/>
      <c r="D8" s="35"/>
      <c r="E8" s="27"/>
      <c r="H8" s="35"/>
    </row>
    <row r="9" spans="1:8" ht="19.5" thickTop="1" x14ac:dyDescent="0.3">
      <c r="D9" s="4">
        <f>SUM(D7:D7)</f>
        <v>157080</v>
      </c>
      <c r="H9" s="33">
        <f>H7+H8</f>
        <v>25080</v>
      </c>
    </row>
    <row r="11" spans="1:8" ht="18.75" x14ac:dyDescent="0.3">
      <c r="C11" t="s">
        <v>4</v>
      </c>
      <c r="D11" s="4">
        <f>D3-D9</f>
        <v>78540</v>
      </c>
      <c r="G11" t="s">
        <v>5</v>
      </c>
      <c r="H11" s="4">
        <f>H3-H9</f>
        <v>12540</v>
      </c>
    </row>
    <row r="13" spans="1:8" x14ac:dyDescent="0.25">
      <c r="G13" t="s">
        <v>454</v>
      </c>
    </row>
    <row r="14" spans="1:8" ht="15.75" x14ac:dyDescent="0.25">
      <c r="A14" t="s">
        <v>6</v>
      </c>
      <c r="C14" s="8">
        <f>D11</f>
        <v>78540</v>
      </c>
      <c r="E14" t="s">
        <v>10</v>
      </c>
      <c r="H14" s="6">
        <f>C23</f>
        <v>65057.52</v>
      </c>
    </row>
    <row r="16" spans="1:8" ht="15.75" x14ac:dyDescent="0.25">
      <c r="A16" t="s">
        <v>5</v>
      </c>
      <c r="B16" s="9" t="s">
        <v>7</v>
      </c>
      <c r="C16" s="8">
        <f>H11</f>
        <v>12540</v>
      </c>
      <c r="E16" s="13" t="s">
        <v>11</v>
      </c>
      <c r="F16" s="9" t="s">
        <v>12</v>
      </c>
      <c r="G16" s="15" t="s">
        <v>17</v>
      </c>
      <c r="H16" s="3">
        <f>-(F17*0.0077)</f>
        <v>-1524.6000000000001</v>
      </c>
    </row>
    <row r="17" spans="1:8" x14ac:dyDescent="0.25">
      <c r="F17" s="21">
        <f>D3-H3</f>
        <v>198000</v>
      </c>
    </row>
    <row r="18" spans="1:8" ht="16.5" thickBot="1" x14ac:dyDescent="0.3">
      <c r="A18" t="s">
        <v>8</v>
      </c>
      <c r="B18" s="9" t="s">
        <v>7</v>
      </c>
      <c r="C18" s="8">
        <f>D3*0.004</f>
        <v>942.48</v>
      </c>
      <c r="F18" s="9" t="s">
        <v>13</v>
      </c>
      <c r="G18" s="16">
        <v>0.35</v>
      </c>
      <c r="H18" s="17">
        <f>-(F19*0.35)</f>
        <v>-22770.131999999998</v>
      </c>
    </row>
    <row r="19" spans="1:8" x14ac:dyDescent="0.25">
      <c r="F19" s="21">
        <f>H14</f>
        <v>65057.52</v>
      </c>
    </row>
    <row r="20" spans="1:8" ht="15.75" x14ac:dyDescent="0.25">
      <c r="A20" t="s">
        <v>9</v>
      </c>
      <c r="B20" s="9" t="s">
        <v>7</v>
      </c>
      <c r="C20" s="10"/>
      <c r="G20" s="13" t="s">
        <v>14</v>
      </c>
      <c r="H20" s="6">
        <f>H14+H16+H18</f>
        <v>40762.788</v>
      </c>
    </row>
    <row r="21" spans="1:8" ht="15.75" thickBot="1" x14ac:dyDescent="0.3">
      <c r="A21" s="16"/>
      <c r="B21" s="14"/>
      <c r="C21" s="7"/>
    </row>
    <row r="22" spans="1:8" x14ac:dyDescent="0.25">
      <c r="E22" t="s">
        <v>100</v>
      </c>
      <c r="H22" s="20">
        <f>H20*0.4</f>
        <v>16305.1152</v>
      </c>
    </row>
    <row r="23" spans="1:8" ht="15.75" x14ac:dyDescent="0.25">
      <c r="A23" t="s">
        <v>10</v>
      </c>
      <c r="C23" s="10">
        <f>C14-C16-C18-C20</f>
        <v>65057.52</v>
      </c>
      <c r="H23" s="18"/>
    </row>
    <row r="24" spans="1:8" x14ac:dyDescent="0.25">
      <c r="H24" s="3"/>
    </row>
    <row r="25" spans="1:8" x14ac:dyDescent="0.25">
      <c r="H25" s="18"/>
    </row>
  </sheetData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654DD-3256-40C7-8AF0-148F4570B0E2}">
  <dimension ref="A1:H26"/>
  <sheetViews>
    <sheetView workbookViewId="0">
      <selection activeCell="C4" sqref="C4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502</v>
      </c>
    </row>
    <row r="3" spans="1:8" ht="21" x14ac:dyDescent="0.35">
      <c r="A3" s="2" t="s">
        <v>1</v>
      </c>
      <c r="D3" s="11">
        <v>214200</v>
      </c>
      <c r="F3" s="12" t="s">
        <v>3</v>
      </c>
      <c r="H3" s="11">
        <v>34200</v>
      </c>
    </row>
    <row r="4" spans="1:8" x14ac:dyDescent="0.25">
      <c r="A4" s="13" t="s">
        <v>29</v>
      </c>
      <c r="C4" s="28">
        <v>606</v>
      </c>
    </row>
    <row r="5" spans="1:8" ht="21" x14ac:dyDescent="0.35">
      <c r="A5" s="2" t="s">
        <v>2</v>
      </c>
    </row>
    <row r="7" spans="1:8" ht="18.75" x14ac:dyDescent="0.3">
      <c r="A7" s="5" t="s">
        <v>503</v>
      </c>
      <c r="D7" s="4">
        <v>14908</v>
      </c>
      <c r="E7" s="27"/>
      <c r="H7" s="4">
        <v>2380</v>
      </c>
    </row>
    <row r="8" spans="1:8" ht="18.75" x14ac:dyDescent="0.3">
      <c r="A8" s="5" t="s">
        <v>504</v>
      </c>
      <c r="D8" s="4">
        <v>95000</v>
      </c>
      <c r="E8" s="27"/>
      <c r="H8" s="5"/>
    </row>
    <row r="9" spans="1:8" ht="19.5" thickBot="1" x14ac:dyDescent="0.35">
      <c r="A9" s="5" t="s">
        <v>310</v>
      </c>
      <c r="D9" s="35">
        <v>35330</v>
      </c>
      <c r="E9" s="27"/>
      <c r="H9" s="35">
        <v>5642</v>
      </c>
    </row>
    <row r="10" spans="1:8" ht="19.5" thickTop="1" x14ac:dyDescent="0.3">
      <c r="D10" s="4">
        <f>SUM(D7:D9)</f>
        <v>145238</v>
      </c>
      <c r="H10" s="33">
        <f>SUM(H7:H9)</f>
        <v>8022</v>
      </c>
    </row>
    <row r="12" spans="1:8" ht="18.75" x14ac:dyDescent="0.3">
      <c r="C12" t="s">
        <v>4</v>
      </c>
      <c r="D12" s="4">
        <f>D3-D10</f>
        <v>68962</v>
      </c>
      <c r="G12" t="s">
        <v>5</v>
      </c>
      <c r="H12" s="4">
        <f>H3-H10</f>
        <v>26178</v>
      </c>
    </row>
    <row r="14" spans="1:8" x14ac:dyDescent="0.25">
      <c r="G14" t="s">
        <v>454</v>
      </c>
    </row>
    <row r="15" spans="1:8" ht="15.75" x14ac:dyDescent="0.25">
      <c r="A15" t="s">
        <v>6</v>
      </c>
      <c r="C15" s="8">
        <f>D12</f>
        <v>68962</v>
      </c>
      <c r="E15" t="s">
        <v>10</v>
      </c>
      <c r="H15" s="6">
        <f>C24</f>
        <v>41927.199999999997</v>
      </c>
    </row>
    <row r="17" spans="1:8" ht="15.75" x14ac:dyDescent="0.25">
      <c r="A17" t="s">
        <v>5</v>
      </c>
      <c r="B17" s="9" t="s">
        <v>7</v>
      </c>
      <c r="C17" s="8">
        <f>H12</f>
        <v>26178</v>
      </c>
      <c r="E17" s="13" t="s">
        <v>11</v>
      </c>
      <c r="F17" s="9" t="s">
        <v>12</v>
      </c>
      <c r="G17" s="15" t="s">
        <v>17</v>
      </c>
      <c r="H17" s="3">
        <f>-(F18*0.0077)</f>
        <v>-1386</v>
      </c>
    </row>
    <row r="18" spans="1:8" x14ac:dyDescent="0.25">
      <c r="F18" s="21">
        <f>D3-H3</f>
        <v>180000</v>
      </c>
    </row>
    <row r="19" spans="1:8" ht="16.5" thickBot="1" x14ac:dyDescent="0.3">
      <c r="A19" t="s">
        <v>8</v>
      </c>
      <c r="B19" s="9" t="s">
        <v>7</v>
      </c>
      <c r="C19" s="8">
        <f>D3*0.004</f>
        <v>856.80000000000007</v>
      </c>
      <c r="F19" s="9" t="s">
        <v>13</v>
      </c>
      <c r="G19" s="16">
        <v>0.35</v>
      </c>
      <c r="H19" s="17">
        <f>-(F20*0.35)</f>
        <v>-14674.519999999999</v>
      </c>
    </row>
    <row r="20" spans="1:8" x14ac:dyDescent="0.25">
      <c r="F20" s="21">
        <f>H15</f>
        <v>41927.199999999997</v>
      </c>
    </row>
    <row r="21" spans="1:8" ht="15.75" x14ac:dyDescent="0.25">
      <c r="A21" t="s">
        <v>9</v>
      </c>
      <c r="B21" s="9" t="s">
        <v>7</v>
      </c>
      <c r="C21" s="10"/>
      <c r="G21" s="13" t="s">
        <v>14</v>
      </c>
      <c r="H21" s="6">
        <f>H15+H17+H19</f>
        <v>25866.68</v>
      </c>
    </row>
    <row r="22" spans="1:8" ht="15.75" thickBot="1" x14ac:dyDescent="0.3">
      <c r="A22" s="16"/>
      <c r="B22" s="14"/>
      <c r="C22" s="7"/>
    </row>
    <row r="23" spans="1:8" x14ac:dyDescent="0.25">
      <c r="E23" t="s">
        <v>100</v>
      </c>
      <c r="H23" s="20">
        <f>H21*0.4</f>
        <v>10346.672</v>
      </c>
    </row>
    <row r="24" spans="1:8" ht="15.75" x14ac:dyDescent="0.25">
      <c r="A24" t="s">
        <v>10</v>
      </c>
      <c r="C24" s="10">
        <f>C15-C17-C19-C21</f>
        <v>41927.199999999997</v>
      </c>
      <c r="H24" s="18"/>
    </row>
    <row r="25" spans="1:8" x14ac:dyDescent="0.25">
      <c r="H25" s="3"/>
    </row>
    <row r="26" spans="1:8" x14ac:dyDescent="0.25">
      <c r="H26" s="18"/>
    </row>
  </sheetData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FC568-FCAE-4259-BCE8-59C3E3490806}">
  <dimension ref="A1:H24"/>
  <sheetViews>
    <sheetView workbookViewId="0">
      <selection activeCell="D17" sqref="D17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505</v>
      </c>
    </row>
    <row r="3" spans="1:8" ht="21" x14ac:dyDescent="0.35">
      <c r="A3" s="2" t="s">
        <v>1</v>
      </c>
      <c r="D3" s="11">
        <v>67057</v>
      </c>
      <c r="F3" s="12" t="s">
        <v>3</v>
      </c>
      <c r="H3" s="11">
        <v>10707</v>
      </c>
    </row>
    <row r="4" spans="1:8" x14ac:dyDescent="0.25">
      <c r="A4" s="13" t="s">
        <v>29</v>
      </c>
      <c r="C4" s="28">
        <v>607</v>
      </c>
    </row>
    <row r="5" spans="1:8" ht="21" x14ac:dyDescent="0.35">
      <c r="A5" s="2" t="s">
        <v>2</v>
      </c>
    </row>
    <row r="7" spans="1:8" ht="19.5" thickBot="1" x14ac:dyDescent="0.35">
      <c r="A7" s="5" t="s">
        <v>310</v>
      </c>
      <c r="D7" s="35">
        <v>34510</v>
      </c>
      <c r="E7" s="27"/>
      <c r="H7" s="35">
        <v>5510</v>
      </c>
    </row>
    <row r="8" spans="1:8" ht="19.5" thickTop="1" x14ac:dyDescent="0.3">
      <c r="D8" s="4">
        <f>SUM(D7:D7)</f>
        <v>34510</v>
      </c>
      <c r="H8" s="33">
        <f>SUM(H7:H7)</f>
        <v>5510</v>
      </c>
    </row>
    <row r="10" spans="1:8" ht="18.75" x14ac:dyDescent="0.3">
      <c r="C10" t="s">
        <v>4</v>
      </c>
      <c r="D10" s="4">
        <f>D3-D8</f>
        <v>32547</v>
      </c>
      <c r="G10" t="s">
        <v>5</v>
      </c>
      <c r="H10" s="4">
        <f>H3-H8</f>
        <v>5197</v>
      </c>
    </row>
    <row r="12" spans="1:8" x14ac:dyDescent="0.25">
      <c r="G12" t="s">
        <v>454</v>
      </c>
    </row>
    <row r="13" spans="1:8" ht="15.75" x14ac:dyDescent="0.25">
      <c r="A13" t="s">
        <v>6</v>
      </c>
      <c r="C13" s="8">
        <f>D10</f>
        <v>32547</v>
      </c>
      <c r="E13" t="s">
        <v>10</v>
      </c>
      <c r="H13" s="6">
        <f>C22</f>
        <v>27081.772000000001</v>
      </c>
    </row>
    <row r="15" spans="1:8" ht="15.75" x14ac:dyDescent="0.25">
      <c r="A15" t="s">
        <v>5</v>
      </c>
      <c r="B15" s="9" t="s">
        <v>7</v>
      </c>
      <c r="C15" s="8">
        <f>H10</f>
        <v>5197</v>
      </c>
      <c r="E15" s="13" t="s">
        <v>11</v>
      </c>
      <c r="F15" s="9" t="s">
        <v>12</v>
      </c>
      <c r="G15" s="15" t="s">
        <v>17</v>
      </c>
      <c r="H15" s="3">
        <f>-(F16*0.0077)</f>
        <v>-433.89500000000004</v>
      </c>
    </row>
    <row r="16" spans="1:8" x14ac:dyDescent="0.25">
      <c r="F16" s="21">
        <f>D3-H3</f>
        <v>56350</v>
      </c>
    </row>
    <row r="17" spans="1:8" ht="16.5" thickBot="1" x14ac:dyDescent="0.3">
      <c r="A17" t="s">
        <v>8</v>
      </c>
      <c r="B17" s="9" t="s">
        <v>7</v>
      </c>
      <c r="C17" s="8">
        <f>D3*0.004</f>
        <v>268.22800000000001</v>
      </c>
      <c r="F17" s="9" t="s">
        <v>13</v>
      </c>
      <c r="G17" s="16">
        <v>0.35</v>
      </c>
      <c r="H17" s="17">
        <f>-(F18*0.35)</f>
        <v>-9478.6201999999994</v>
      </c>
    </row>
    <row r="18" spans="1:8" x14ac:dyDescent="0.25">
      <c r="F18" s="21">
        <f>H13</f>
        <v>27081.772000000001</v>
      </c>
    </row>
    <row r="19" spans="1:8" ht="15.75" x14ac:dyDescent="0.25">
      <c r="A19" t="s">
        <v>9</v>
      </c>
      <c r="B19" s="9" t="s">
        <v>7</v>
      </c>
      <c r="C19" s="10"/>
      <c r="G19" s="13" t="s">
        <v>14</v>
      </c>
      <c r="H19" s="6">
        <f>H13+H15+H17</f>
        <v>17169.256800000003</v>
      </c>
    </row>
    <row r="20" spans="1:8" ht="15.75" thickBot="1" x14ac:dyDescent="0.3">
      <c r="A20" s="16"/>
      <c r="B20" s="14"/>
      <c r="C20" s="7"/>
    </row>
    <row r="21" spans="1:8" x14ac:dyDescent="0.25">
      <c r="E21" t="s">
        <v>100</v>
      </c>
      <c r="H21" s="20">
        <f>H19*0.4</f>
        <v>6867.7027200000011</v>
      </c>
    </row>
    <row r="22" spans="1:8" ht="15.75" x14ac:dyDescent="0.25">
      <c r="A22" t="s">
        <v>10</v>
      </c>
      <c r="C22" s="10">
        <f>C13-C15-C17-C19</f>
        <v>27081.772000000001</v>
      </c>
      <c r="H22" s="18"/>
    </row>
    <row r="23" spans="1:8" x14ac:dyDescent="0.25">
      <c r="H23" s="3"/>
    </row>
    <row r="24" spans="1:8" x14ac:dyDescent="0.25">
      <c r="H24" s="18"/>
    </row>
  </sheetData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3A716-25CE-4E3F-8757-B7C862B623D4}">
  <dimension ref="A1:H25"/>
  <sheetViews>
    <sheetView workbookViewId="0">
      <selection activeCell="C5" sqref="C5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506</v>
      </c>
    </row>
    <row r="3" spans="1:8" ht="21" x14ac:dyDescent="0.35">
      <c r="A3" s="2" t="s">
        <v>1</v>
      </c>
      <c r="D3" s="11">
        <v>420665</v>
      </c>
      <c r="F3" s="12" t="s">
        <v>3</v>
      </c>
      <c r="H3" s="11">
        <v>67165</v>
      </c>
    </row>
    <row r="4" spans="1:8" x14ac:dyDescent="0.25">
      <c r="A4" s="13" t="s">
        <v>29</v>
      </c>
      <c r="C4" s="28">
        <v>608</v>
      </c>
    </row>
    <row r="5" spans="1:8" ht="21" x14ac:dyDescent="0.35">
      <c r="A5" s="2" t="s">
        <v>2</v>
      </c>
    </row>
    <row r="7" spans="1:8" ht="18.75" x14ac:dyDescent="0.3">
      <c r="A7" s="5" t="s">
        <v>209</v>
      </c>
      <c r="D7" s="4">
        <v>248264</v>
      </c>
      <c r="H7" s="4">
        <v>39636</v>
      </c>
    </row>
    <row r="8" spans="1:8" ht="19.5" thickBot="1" x14ac:dyDescent="0.35">
      <c r="A8" s="5" t="s">
        <v>507</v>
      </c>
      <c r="D8" s="35">
        <v>43151</v>
      </c>
      <c r="E8" s="27"/>
      <c r="H8" s="35">
        <v>5772</v>
      </c>
    </row>
    <row r="9" spans="1:8" ht="19.5" thickTop="1" x14ac:dyDescent="0.3">
      <c r="D9" s="4">
        <f>SUM(D7:D8)</f>
        <v>291415</v>
      </c>
      <c r="H9" s="33">
        <f>SUM(H7:H8)</f>
        <v>45408</v>
      </c>
    </row>
    <row r="11" spans="1:8" ht="18.75" x14ac:dyDescent="0.3">
      <c r="C11" t="s">
        <v>4</v>
      </c>
      <c r="D11" s="4">
        <f>D3-D9</f>
        <v>129250</v>
      </c>
      <c r="G11" t="s">
        <v>5</v>
      </c>
      <c r="H11" s="4">
        <f>H3-H9</f>
        <v>21757</v>
      </c>
    </row>
    <row r="13" spans="1:8" x14ac:dyDescent="0.25">
      <c r="G13" t="s">
        <v>454</v>
      </c>
    </row>
    <row r="14" spans="1:8" ht="15.75" x14ac:dyDescent="0.25">
      <c r="A14" t="s">
        <v>6</v>
      </c>
      <c r="C14" s="8">
        <f>D11</f>
        <v>129250</v>
      </c>
      <c r="E14" t="s">
        <v>10</v>
      </c>
      <c r="H14" s="6">
        <f>C23</f>
        <v>105810.34</v>
      </c>
    </row>
    <row r="16" spans="1:8" ht="15.75" x14ac:dyDescent="0.25">
      <c r="A16" t="s">
        <v>5</v>
      </c>
      <c r="B16" s="9" t="s">
        <v>7</v>
      </c>
      <c r="C16" s="8">
        <f>H11</f>
        <v>21757</v>
      </c>
      <c r="E16" s="13" t="s">
        <v>11</v>
      </c>
      <c r="F16" s="9" t="s">
        <v>12</v>
      </c>
      <c r="G16" s="15" t="s">
        <v>17</v>
      </c>
      <c r="H16" s="3">
        <f>-(F17*0.0077)</f>
        <v>-2721.9500000000003</v>
      </c>
    </row>
    <row r="17" spans="1:8" x14ac:dyDescent="0.25">
      <c r="F17" s="21">
        <f>D3-H3</f>
        <v>353500</v>
      </c>
    </row>
    <row r="18" spans="1:8" ht="16.5" thickBot="1" x14ac:dyDescent="0.3">
      <c r="A18" t="s">
        <v>8</v>
      </c>
      <c r="B18" s="9" t="s">
        <v>7</v>
      </c>
      <c r="C18" s="8">
        <f>D3*0.004</f>
        <v>1682.66</v>
      </c>
      <c r="F18" s="9" t="s">
        <v>13</v>
      </c>
      <c r="G18" s="16">
        <v>0.35</v>
      </c>
      <c r="H18" s="17">
        <f>-(F19*0.35)</f>
        <v>-37033.618999999999</v>
      </c>
    </row>
    <row r="19" spans="1:8" x14ac:dyDescent="0.25">
      <c r="F19" s="21">
        <f>H14</f>
        <v>105810.34</v>
      </c>
    </row>
    <row r="20" spans="1:8" ht="15.75" x14ac:dyDescent="0.25">
      <c r="A20" t="s">
        <v>9</v>
      </c>
      <c r="B20" s="9" t="s">
        <v>7</v>
      </c>
      <c r="C20" s="10"/>
      <c r="G20" s="13" t="s">
        <v>14</v>
      </c>
      <c r="H20" s="6">
        <f>H14+H16+H18</f>
        <v>66054.771000000008</v>
      </c>
    </row>
    <row r="21" spans="1:8" ht="15.75" thickBot="1" x14ac:dyDescent="0.3">
      <c r="A21" s="16"/>
      <c r="B21" s="14"/>
      <c r="C21" s="7"/>
    </row>
    <row r="22" spans="1:8" x14ac:dyDescent="0.25">
      <c r="E22" t="s">
        <v>100</v>
      </c>
      <c r="H22" s="20">
        <f>H20*0.4</f>
        <v>26421.908400000004</v>
      </c>
    </row>
    <row r="23" spans="1:8" ht="15.75" x14ac:dyDescent="0.25">
      <c r="A23" t="s">
        <v>10</v>
      </c>
      <c r="C23" s="10">
        <f>C14-C16-C18-C20</f>
        <v>105810.34</v>
      </c>
      <c r="H23" s="18"/>
    </row>
    <row r="24" spans="1:8" x14ac:dyDescent="0.25">
      <c r="H24" s="3"/>
    </row>
    <row r="25" spans="1:8" x14ac:dyDescent="0.25">
      <c r="H25" s="18"/>
    </row>
  </sheetData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C8EF8-504D-46ED-B4A2-D1ACE5EBF363}">
  <dimension ref="A1:H25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508</v>
      </c>
    </row>
    <row r="3" spans="1:8" ht="21" x14ac:dyDescent="0.35">
      <c r="A3" s="2" t="s">
        <v>1</v>
      </c>
      <c r="D3" s="11">
        <v>297500</v>
      </c>
      <c r="F3" s="12" t="s">
        <v>3</v>
      </c>
      <c r="H3" s="11">
        <v>47500</v>
      </c>
    </row>
    <row r="4" spans="1:8" x14ac:dyDescent="0.25">
      <c r="A4" s="13" t="s">
        <v>29</v>
      </c>
      <c r="C4" s="28">
        <v>610</v>
      </c>
    </row>
    <row r="5" spans="1:8" ht="21" x14ac:dyDescent="0.35">
      <c r="A5" s="2" t="s">
        <v>2</v>
      </c>
    </row>
    <row r="7" spans="1:8" ht="18.75" x14ac:dyDescent="0.3">
      <c r="A7" s="5" t="s">
        <v>509</v>
      </c>
      <c r="D7" s="4">
        <v>208488</v>
      </c>
      <c r="H7" s="4">
        <v>33288</v>
      </c>
    </row>
    <row r="8" spans="1:8" ht="19.5" thickBot="1" x14ac:dyDescent="0.35">
      <c r="A8" s="5"/>
      <c r="D8" s="35"/>
      <c r="E8" s="27"/>
      <c r="H8" s="35"/>
    </row>
    <row r="9" spans="1:8" ht="19.5" thickTop="1" x14ac:dyDescent="0.3">
      <c r="D9" s="4">
        <f>SUM(D7:D8)</f>
        <v>208488</v>
      </c>
      <c r="H9" s="33">
        <f>SUM(H7:H8)</f>
        <v>33288</v>
      </c>
    </row>
    <row r="11" spans="1:8" ht="18.75" x14ac:dyDescent="0.3">
      <c r="C11" t="s">
        <v>4</v>
      </c>
      <c r="D11" s="4">
        <f>D3-D9</f>
        <v>89012</v>
      </c>
      <c r="G11" t="s">
        <v>5</v>
      </c>
      <c r="H11" s="4">
        <f>H3-H9</f>
        <v>14212</v>
      </c>
    </row>
    <row r="13" spans="1:8" x14ac:dyDescent="0.25">
      <c r="G13" t="s">
        <v>454</v>
      </c>
    </row>
    <row r="14" spans="1:8" ht="15.75" x14ac:dyDescent="0.25">
      <c r="A14" t="s">
        <v>6</v>
      </c>
      <c r="C14" s="8">
        <f>D11</f>
        <v>89012</v>
      </c>
      <c r="E14" t="s">
        <v>10</v>
      </c>
      <c r="H14" s="6">
        <f>C23</f>
        <v>73610</v>
      </c>
    </row>
    <row r="16" spans="1:8" ht="15.75" x14ac:dyDescent="0.25">
      <c r="A16" t="s">
        <v>5</v>
      </c>
      <c r="B16" s="9" t="s">
        <v>7</v>
      </c>
      <c r="C16" s="8">
        <f>H11</f>
        <v>14212</v>
      </c>
      <c r="E16" s="13" t="s">
        <v>11</v>
      </c>
      <c r="F16" s="9" t="s">
        <v>12</v>
      </c>
      <c r="G16" s="15" t="s">
        <v>17</v>
      </c>
      <c r="H16" s="3">
        <f>-(F17*0.0077)</f>
        <v>-1925</v>
      </c>
    </row>
    <row r="17" spans="1:8" x14ac:dyDescent="0.25">
      <c r="F17" s="21">
        <f>D3-H3</f>
        <v>250000</v>
      </c>
    </row>
    <row r="18" spans="1:8" ht="16.5" thickBot="1" x14ac:dyDescent="0.3">
      <c r="A18" t="s">
        <v>8</v>
      </c>
      <c r="B18" s="9" t="s">
        <v>7</v>
      </c>
      <c r="C18" s="8">
        <f>D3*0.004</f>
        <v>1190</v>
      </c>
      <c r="F18" s="9" t="s">
        <v>13</v>
      </c>
      <c r="G18" s="16">
        <v>0.35</v>
      </c>
      <c r="H18" s="17">
        <f>-(F19*0.35)</f>
        <v>-25763.5</v>
      </c>
    </row>
    <row r="19" spans="1:8" x14ac:dyDescent="0.25">
      <c r="F19" s="21">
        <f>H14</f>
        <v>73610</v>
      </c>
    </row>
    <row r="20" spans="1:8" ht="15.75" x14ac:dyDescent="0.25">
      <c r="A20" t="s">
        <v>9</v>
      </c>
      <c r="B20" s="9" t="s">
        <v>7</v>
      </c>
      <c r="C20" s="10"/>
      <c r="G20" s="13" t="s">
        <v>14</v>
      </c>
      <c r="H20" s="6">
        <f>H14+H16+H18</f>
        <v>45921.5</v>
      </c>
    </row>
    <row r="21" spans="1:8" ht="15.75" thickBot="1" x14ac:dyDescent="0.3">
      <c r="A21" s="16"/>
      <c r="B21" s="14"/>
      <c r="C21" s="7"/>
    </row>
    <row r="22" spans="1:8" x14ac:dyDescent="0.25">
      <c r="E22" t="s">
        <v>100</v>
      </c>
      <c r="H22" s="20">
        <f>H20*0.4</f>
        <v>18368.600000000002</v>
      </c>
    </row>
    <row r="23" spans="1:8" ht="15.75" x14ac:dyDescent="0.25">
      <c r="A23" t="s">
        <v>10</v>
      </c>
      <c r="C23" s="10">
        <f>C14-C16-C18-C20</f>
        <v>73610</v>
      </c>
      <c r="H23" s="18"/>
    </row>
    <row r="24" spans="1:8" x14ac:dyDescent="0.25">
      <c r="H24" s="3"/>
    </row>
    <row r="25" spans="1:8" x14ac:dyDescent="0.25">
      <c r="H25" s="18"/>
    </row>
  </sheetData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99660-6A8F-43B3-8A65-C78D395A6085}">
  <dimension ref="A1:H25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510</v>
      </c>
    </row>
    <row r="3" spans="1:8" ht="21" x14ac:dyDescent="0.35">
      <c r="A3" s="2" t="s">
        <v>1</v>
      </c>
      <c r="D3" s="11">
        <v>258706</v>
      </c>
      <c r="F3" s="12" t="s">
        <v>3</v>
      </c>
      <c r="H3" s="11">
        <v>41306</v>
      </c>
    </row>
    <row r="4" spans="1:8" x14ac:dyDescent="0.25">
      <c r="A4" s="13" t="s">
        <v>29</v>
      </c>
      <c r="C4" s="28">
        <v>611</v>
      </c>
    </row>
    <row r="5" spans="1:8" ht="21" x14ac:dyDescent="0.35">
      <c r="A5" s="2" t="s">
        <v>2</v>
      </c>
    </row>
    <row r="7" spans="1:8" ht="18.75" x14ac:dyDescent="0.3">
      <c r="A7" s="5" t="s">
        <v>511</v>
      </c>
      <c r="D7" s="4">
        <v>81053</v>
      </c>
      <c r="H7" s="4">
        <v>12941</v>
      </c>
    </row>
    <row r="8" spans="1:8" ht="19.5" thickBot="1" x14ac:dyDescent="0.35">
      <c r="A8" s="5" t="s">
        <v>310</v>
      </c>
      <c r="D8" s="35">
        <v>86126</v>
      </c>
      <c r="E8" s="27"/>
      <c r="H8" s="35">
        <v>13751</v>
      </c>
    </row>
    <row r="9" spans="1:8" ht="19.5" thickTop="1" x14ac:dyDescent="0.3">
      <c r="D9" s="4">
        <f>SUM(D7:D8)</f>
        <v>167179</v>
      </c>
      <c r="H9" s="33">
        <f>SUM(H7:H8)</f>
        <v>26692</v>
      </c>
    </row>
    <row r="11" spans="1:8" ht="18.75" x14ac:dyDescent="0.3">
      <c r="C11" t="s">
        <v>4</v>
      </c>
      <c r="D11" s="4">
        <f>D3-D9</f>
        <v>91527</v>
      </c>
      <c r="G11" t="s">
        <v>5</v>
      </c>
      <c r="H11" s="4">
        <f>H3-H9</f>
        <v>14614</v>
      </c>
    </row>
    <row r="13" spans="1:8" x14ac:dyDescent="0.25">
      <c r="G13" t="s">
        <v>454</v>
      </c>
    </row>
    <row r="14" spans="1:8" ht="15.75" x14ac:dyDescent="0.25">
      <c r="A14" t="s">
        <v>6</v>
      </c>
      <c r="C14" s="8">
        <f>D11</f>
        <v>91527</v>
      </c>
      <c r="E14" t="s">
        <v>10</v>
      </c>
      <c r="H14" s="6">
        <f>C23</f>
        <v>75878.176000000007</v>
      </c>
    </row>
    <row r="16" spans="1:8" ht="15.75" x14ac:dyDescent="0.25">
      <c r="A16" t="s">
        <v>5</v>
      </c>
      <c r="B16" s="9" t="s">
        <v>7</v>
      </c>
      <c r="C16" s="8">
        <f>H11</f>
        <v>14614</v>
      </c>
      <c r="E16" s="13" t="s">
        <v>11</v>
      </c>
      <c r="F16" s="9" t="s">
        <v>12</v>
      </c>
      <c r="G16" s="15" t="s">
        <v>17</v>
      </c>
      <c r="H16" s="3">
        <f>-(F17*0.0077)</f>
        <v>-1673.98</v>
      </c>
    </row>
    <row r="17" spans="1:8" x14ac:dyDescent="0.25">
      <c r="F17" s="21">
        <f>D3-H3</f>
        <v>217400</v>
      </c>
    </row>
    <row r="18" spans="1:8" ht="16.5" thickBot="1" x14ac:dyDescent="0.3">
      <c r="A18" t="s">
        <v>8</v>
      </c>
      <c r="B18" s="9" t="s">
        <v>7</v>
      </c>
      <c r="C18" s="8">
        <f>D3*0.004</f>
        <v>1034.8240000000001</v>
      </c>
      <c r="F18" s="9" t="s">
        <v>13</v>
      </c>
      <c r="G18" s="16">
        <v>0.35</v>
      </c>
      <c r="H18" s="17">
        <f>-(F19*0.35)</f>
        <v>-26557.3616</v>
      </c>
    </row>
    <row r="19" spans="1:8" x14ac:dyDescent="0.25">
      <c r="F19" s="21">
        <f>H14</f>
        <v>75878.176000000007</v>
      </c>
    </row>
    <row r="20" spans="1:8" ht="15.75" x14ac:dyDescent="0.25">
      <c r="A20" t="s">
        <v>9</v>
      </c>
      <c r="B20" s="9" t="s">
        <v>7</v>
      </c>
      <c r="C20" s="10"/>
      <c r="G20" s="13" t="s">
        <v>14</v>
      </c>
      <c r="H20" s="6">
        <f>H14+H16+H18</f>
        <v>47646.834400000007</v>
      </c>
    </row>
    <row r="21" spans="1:8" ht="15.75" thickBot="1" x14ac:dyDescent="0.3">
      <c r="A21" s="16"/>
      <c r="B21" s="14"/>
      <c r="C21" s="7"/>
    </row>
    <row r="22" spans="1:8" x14ac:dyDescent="0.25">
      <c r="E22" t="s">
        <v>100</v>
      </c>
      <c r="H22" s="20">
        <f>H20*0.4</f>
        <v>19058.733760000003</v>
      </c>
    </row>
    <row r="23" spans="1:8" ht="15.75" x14ac:dyDescent="0.25">
      <c r="A23" t="s">
        <v>10</v>
      </c>
      <c r="C23" s="10">
        <f>C14-C16-C18-C20</f>
        <v>75878.176000000007</v>
      </c>
      <c r="H23" s="18"/>
    </row>
    <row r="24" spans="1:8" x14ac:dyDescent="0.25">
      <c r="H24" s="3"/>
    </row>
    <row r="25" spans="1:8" x14ac:dyDescent="0.25">
      <c r="H25" s="18"/>
    </row>
  </sheetData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64CAE-376A-4E50-AE04-7C1FD2DA5184}">
  <dimension ref="A1:H25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512</v>
      </c>
    </row>
    <row r="3" spans="1:8" ht="21" x14ac:dyDescent="0.35">
      <c r="A3" s="2" t="s">
        <v>1</v>
      </c>
      <c r="D3" s="11">
        <v>31297</v>
      </c>
      <c r="F3" s="12" t="s">
        <v>3</v>
      </c>
      <c r="H3" s="11">
        <v>4997</v>
      </c>
    </row>
    <row r="4" spans="1:8" x14ac:dyDescent="0.25">
      <c r="A4" s="13" t="s">
        <v>29</v>
      </c>
      <c r="C4" s="28">
        <v>613</v>
      </c>
    </row>
    <row r="5" spans="1:8" ht="21" x14ac:dyDescent="0.35">
      <c r="A5" s="2" t="s">
        <v>2</v>
      </c>
    </row>
    <row r="7" spans="1:8" ht="18.75" x14ac:dyDescent="0.3">
      <c r="A7" s="5" t="s">
        <v>397</v>
      </c>
      <c r="D7" s="4">
        <v>5450</v>
      </c>
      <c r="H7" s="4">
        <v>865</v>
      </c>
    </row>
    <row r="8" spans="1:8" ht="19.5" thickBot="1" x14ac:dyDescent="0.35">
      <c r="A8" s="5" t="s">
        <v>310</v>
      </c>
      <c r="D8" s="35">
        <v>14900</v>
      </c>
      <c r="E8" s="27"/>
      <c r="H8" s="35">
        <v>2800</v>
      </c>
    </row>
    <row r="9" spans="1:8" ht="19.5" thickTop="1" x14ac:dyDescent="0.3">
      <c r="D9" s="4">
        <f>SUM(D7:D8)</f>
        <v>20350</v>
      </c>
      <c r="H9" s="33">
        <f>SUM(H7:H8)</f>
        <v>3665</v>
      </c>
    </row>
    <row r="11" spans="1:8" ht="18.75" x14ac:dyDescent="0.3">
      <c r="C11" t="s">
        <v>4</v>
      </c>
      <c r="D11" s="4">
        <f>D3-D9</f>
        <v>10947</v>
      </c>
      <c r="G11" t="s">
        <v>5</v>
      </c>
      <c r="H11" s="4">
        <f>H3-H9</f>
        <v>1332</v>
      </c>
    </row>
    <row r="13" spans="1:8" x14ac:dyDescent="0.25">
      <c r="G13" t="s">
        <v>454</v>
      </c>
    </row>
    <row r="14" spans="1:8" ht="15.75" x14ac:dyDescent="0.25">
      <c r="A14" t="s">
        <v>6</v>
      </c>
      <c r="C14" s="8">
        <f>D11</f>
        <v>10947</v>
      </c>
      <c r="E14" t="s">
        <v>10</v>
      </c>
      <c r="H14" s="6">
        <f>C23</f>
        <v>9489.8119999999999</v>
      </c>
    </row>
    <row r="16" spans="1:8" ht="15.75" x14ac:dyDescent="0.25">
      <c r="A16" t="s">
        <v>5</v>
      </c>
      <c r="B16" s="9" t="s">
        <v>7</v>
      </c>
      <c r="C16" s="8">
        <f>H11</f>
        <v>1332</v>
      </c>
      <c r="E16" s="13" t="s">
        <v>11</v>
      </c>
      <c r="F16" s="9" t="s">
        <v>12</v>
      </c>
      <c r="G16" s="15" t="s">
        <v>17</v>
      </c>
      <c r="H16" s="3">
        <f>-(F17*0.0077)</f>
        <v>-202.51000000000002</v>
      </c>
    </row>
    <row r="17" spans="1:8" x14ac:dyDescent="0.25">
      <c r="F17" s="21">
        <f>D3-H3</f>
        <v>26300</v>
      </c>
    </row>
    <row r="18" spans="1:8" ht="16.5" thickBot="1" x14ac:dyDescent="0.3">
      <c r="A18" t="s">
        <v>8</v>
      </c>
      <c r="B18" s="9" t="s">
        <v>7</v>
      </c>
      <c r="C18" s="8">
        <f>D3*0.004</f>
        <v>125.188</v>
      </c>
      <c r="F18" s="9" t="s">
        <v>13</v>
      </c>
      <c r="G18" s="16">
        <v>0.35</v>
      </c>
      <c r="H18" s="17">
        <f>-(F19*0.35)</f>
        <v>-3321.4341999999997</v>
      </c>
    </row>
    <row r="19" spans="1:8" x14ac:dyDescent="0.25">
      <c r="F19" s="21">
        <f>H14</f>
        <v>9489.8119999999999</v>
      </c>
    </row>
    <row r="20" spans="1:8" ht="15.75" x14ac:dyDescent="0.25">
      <c r="A20" t="s">
        <v>9</v>
      </c>
      <c r="B20" s="9" t="s">
        <v>7</v>
      </c>
      <c r="C20" s="10"/>
      <c r="G20" s="13" t="s">
        <v>14</v>
      </c>
      <c r="H20" s="6">
        <f>H14+H16+H18</f>
        <v>5965.8678</v>
      </c>
    </row>
    <row r="21" spans="1:8" ht="15.75" thickBot="1" x14ac:dyDescent="0.3">
      <c r="A21" s="16"/>
      <c r="B21" s="14"/>
      <c r="C21" s="7"/>
    </row>
    <row r="22" spans="1:8" x14ac:dyDescent="0.25">
      <c r="E22" t="s">
        <v>100</v>
      </c>
      <c r="H22" s="20">
        <f>H20*0.4</f>
        <v>2386.3471199999999</v>
      </c>
    </row>
    <row r="23" spans="1:8" ht="15.75" x14ac:dyDescent="0.25">
      <c r="A23" t="s">
        <v>10</v>
      </c>
      <c r="C23" s="10">
        <f>C14-C16-C18-C20</f>
        <v>9489.8119999999999</v>
      </c>
      <c r="H23" s="18"/>
    </row>
    <row r="24" spans="1:8" x14ac:dyDescent="0.25">
      <c r="H24" s="3"/>
    </row>
    <row r="25" spans="1:8" x14ac:dyDescent="0.25">
      <c r="H25" s="18"/>
    </row>
  </sheetData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8D919-2346-45C9-B884-A3D06B5E1128}">
  <dimension ref="A1:H25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513</v>
      </c>
    </row>
    <row r="3" spans="1:8" ht="21" x14ac:dyDescent="0.35">
      <c r="A3" s="2" t="s">
        <v>1</v>
      </c>
      <c r="D3" s="11">
        <v>4213281</v>
      </c>
      <c r="F3" s="12" t="s">
        <v>3</v>
      </c>
      <c r="H3" s="11">
        <v>687145</v>
      </c>
    </row>
    <row r="4" spans="1:8" x14ac:dyDescent="0.25">
      <c r="A4" s="13" t="s">
        <v>29</v>
      </c>
      <c r="C4" s="28">
        <v>614</v>
      </c>
    </row>
    <row r="5" spans="1:8" ht="21" x14ac:dyDescent="0.35">
      <c r="A5" s="2" t="s">
        <v>2</v>
      </c>
    </row>
    <row r="7" spans="1:8" ht="18.75" x14ac:dyDescent="0.3">
      <c r="A7" s="5" t="s">
        <v>517</v>
      </c>
      <c r="D7" s="4">
        <v>2599793</v>
      </c>
      <c r="H7" s="4">
        <v>415093</v>
      </c>
    </row>
    <row r="8" spans="1:8" ht="19.5" thickBot="1" x14ac:dyDescent="0.35">
      <c r="A8" s="5" t="s">
        <v>289</v>
      </c>
      <c r="D8" s="35">
        <v>60000</v>
      </c>
      <c r="E8" s="27"/>
      <c r="H8" s="35"/>
    </row>
    <row r="9" spans="1:8" ht="19.5" thickTop="1" x14ac:dyDescent="0.3">
      <c r="D9" s="4">
        <f>SUM(D7:D8)</f>
        <v>2659793</v>
      </c>
      <c r="H9" s="33">
        <f>SUM(H7:H8)</f>
        <v>415093</v>
      </c>
    </row>
    <row r="11" spans="1:8" ht="18.75" x14ac:dyDescent="0.3">
      <c r="C11" t="s">
        <v>4</v>
      </c>
      <c r="D11" s="4">
        <f>D3-D9</f>
        <v>1553488</v>
      </c>
      <c r="G11" t="s">
        <v>5</v>
      </c>
      <c r="H11" s="4">
        <f>H3-H9</f>
        <v>272052</v>
      </c>
    </row>
    <row r="13" spans="1:8" x14ac:dyDescent="0.25">
      <c r="G13" t="s">
        <v>454</v>
      </c>
    </row>
    <row r="14" spans="1:8" ht="15.75" x14ac:dyDescent="0.25">
      <c r="A14" t="s">
        <v>6</v>
      </c>
      <c r="C14" s="8">
        <f>D11</f>
        <v>1553488</v>
      </c>
      <c r="E14" t="s">
        <v>10</v>
      </c>
      <c r="H14" s="6">
        <f>C23</f>
        <v>1264582.8759999999</v>
      </c>
    </row>
    <row r="16" spans="1:8" ht="15.75" x14ac:dyDescent="0.25">
      <c r="A16" t="s">
        <v>5</v>
      </c>
      <c r="B16" s="9" t="s">
        <v>7</v>
      </c>
      <c r="C16" s="8">
        <f>H11</f>
        <v>272052</v>
      </c>
      <c r="E16" s="13" t="s">
        <v>11</v>
      </c>
      <c r="F16" s="9" t="s">
        <v>12</v>
      </c>
      <c r="G16" s="15" t="s">
        <v>17</v>
      </c>
      <c r="H16" s="3">
        <f>-(F17*0.0077)</f>
        <v>-27847.435000000001</v>
      </c>
    </row>
    <row r="17" spans="1:8" x14ac:dyDescent="0.25">
      <c r="F17" s="21">
        <v>3616550</v>
      </c>
    </row>
    <row r="18" spans="1:8" ht="16.5" thickBot="1" x14ac:dyDescent="0.3">
      <c r="A18" t="s">
        <v>8</v>
      </c>
      <c r="B18" s="9" t="s">
        <v>7</v>
      </c>
      <c r="C18" s="8">
        <f>D3*0.004</f>
        <v>16853.124</v>
      </c>
      <c r="F18" s="9" t="s">
        <v>13</v>
      </c>
      <c r="G18" s="16">
        <v>0.35</v>
      </c>
      <c r="H18" s="17">
        <f>-(F19*0.35)</f>
        <v>-442604.00659999996</v>
      </c>
    </row>
    <row r="19" spans="1:8" x14ac:dyDescent="0.25">
      <c r="F19" s="21">
        <f>H14</f>
        <v>1264582.8759999999</v>
      </c>
    </row>
    <row r="20" spans="1:8" ht="15.75" x14ac:dyDescent="0.25">
      <c r="A20" t="s">
        <v>9</v>
      </c>
      <c r="B20" s="9" t="s">
        <v>7</v>
      </c>
      <c r="C20" s="10"/>
      <c r="G20" s="13" t="s">
        <v>14</v>
      </c>
      <c r="H20" s="6">
        <f>H14+H16+H18</f>
        <v>794131.43439999991</v>
      </c>
    </row>
    <row r="21" spans="1:8" ht="15.75" thickBot="1" x14ac:dyDescent="0.3">
      <c r="A21" s="16"/>
      <c r="B21" s="14"/>
      <c r="C21" s="7"/>
    </row>
    <row r="22" spans="1:8" x14ac:dyDescent="0.25">
      <c r="E22" t="s">
        <v>100</v>
      </c>
      <c r="H22" s="20">
        <f>H20*0.4</f>
        <v>317652.57376</v>
      </c>
    </row>
    <row r="23" spans="1:8" ht="15.75" x14ac:dyDescent="0.25">
      <c r="A23" t="s">
        <v>10</v>
      </c>
      <c r="C23" s="10">
        <f>C14-C16-C18-C20</f>
        <v>1264582.8759999999</v>
      </c>
      <c r="H23" s="18"/>
    </row>
    <row r="24" spans="1:8" x14ac:dyDescent="0.25">
      <c r="H24" s="3"/>
    </row>
    <row r="25" spans="1:8" x14ac:dyDescent="0.25">
      <c r="H25" s="18"/>
    </row>
  </sheetData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0D072-D7ED-4F3E-A202-5AAB2B53720B}">
  <dimension ref="A1:H25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513</v>
      </c>
    </row>
    <row r="3" spans="1:8" ht="21" x14ac:dyDescent="0.35">
      <c r="A3" s="2" t="s">
        <v>1</v>
      </c>
      <c r="D3" s="11">
        <v>866558</v>
      </c>
      <c r="F3" s="12" t="s">
        <v>3</v>
      </c>
      <c r="H3" s="11">
        <v>138358</v>
      </c>
    </row>
    <row r="4" spans="1:8" x14ac:dyDescent="0.25">
      <c r="A4" s="13" t="s">
        <v>29</v>
      </c>
      <c r="C4" s="28">
        <v>615</v>
      </c>
    </row>
    <row r="5" spans="1:8" ht="21" x14ac:dyDescent="0.35">
      <c r="A5" s="2" t="s">
        <v>2</v>
      </c>
    </row>
    <row r="7" spans="1:8" ht="18.75" x14ac:dyDescent="0.3">
      <c r="A7" s="5" t="s">
        <v>514</v>
      </c>
      <c r="D7" s="4">
        <v>519110</v>
      </c>
      <c r="H7" s="4">
        <v>82884</v>
      </c>
    </row>
    <row r="8" spans="1:8" ht="19.5" thickBot="1" x14ac:dyDescent="0.35">
      <c r="A8" s="5"/>
      <c r="D8" s="35"/>
      <c r="E8" s="27"/>
      <c r="H8" s="35"/>
    </row>
    <row r="9" spans="1:8" ht="19.5" thickTop="1" x14ac:dyDescent="0.3">
      <c r="D9" s="4">
        <f>SUM(D7:D8)</f>
        <v>519110</v>
      </c>
      <c r="H9" s="33">
        <f>SUM(H7:H8)</f>
        <v>82884</v>
      </c>
    </row>
    <row r="11" spans="1:8" ht="18.75" x14ac:dyDescent="0.3">
      <c r="C11" t="s">
        <v>4</v>
      </c>
      <c r="D11" s="4">
        <f>D3-D9</f>
        <v>347448</v>
      </c>
      <c r="G11" t="s">
        <v>5</v>
      </c>
      <c r="H11" s="4">
        <f>H3-H9</f>
        <v>55474</v>
      </c>
    </row>
    <row r="13" spans="1:8" x14ac:dyDescent="0.25">
      <c r="G13" t="s">
        <v>454</v>
      </c>
    </row>
    <row r="14" spans="1:8" ht="15.75" x14ac:dyDescent="0.25">
      <c r="A14" t="s">
        <v>6</v>
      </c>
      <c r="C14" s="8">
        <f>D11</f>
        <v>347448</v>
      </c>
      <c r="E14" t="s">
        <v>10</v>
      </c>
      <c r="H14" s="6">
        <f>C23</f>
        <v>288507.76799999998</v>
      </c>
    </row>
    <row r="16" spans="1:8" ht="15.75" x14ac:dyDescent="0.25">
      <c r="A16" t="s">
        <v>5</v>
      </c>
      <c r="B16" s="9" t="s">
        <v>7</v>
      </c>
      <c r="C16" s="8">
        <f>H11</f>
        <v>55474</v>
      </c>
      <c r="E16" s="13" t="s">
        <v>11</v>
      </c>
      <c r="F16" s="9" t="s">
        <v>12</v>
      </c>
      <c r="G16" s="15" t="s">
        <v>17</v>
      </c>
      <c r="H16" s="3">
        <f>-(F17*0.0077)</f>
        <v>-5607.14</v>
      </c>
    </row>
    <row r="17" spans="1:8" x14ac:dyDescent="0.25">
      <c r="F17" s="21">
        <f>D3-H3</f>
        <v>728200</v>
      </c>
    </row>
    <row r="18" spans="1:8" ht="16.5" thickBot="1" x14ac:dyDescent="0.3">
      <c r="A18" t="s">
        <v>8</v>
      </c>
      <c r="B18" s="9" t="s">
        <v>7</v>
      </c>
      <c r="C18" s="8">
        <f>D3*0.004</f>
        <v>3466.232</v>
      </c>
      <c r="F18" s="9" t="s">
        <v>13</v>
      </c>
      <c r="G18" s="16">
        <v>0.35</v>
      </c>
      <c r="H18" s="17">
        <f>-(F19*0.35)</f>
        <v>-100977.71879999999</v>
      </c>
    </row>
    <row r="19" spans="1:8" x14ac:dyDescent="0.25">
      <c r="F19" s="21">
        <f>H14</f>
        <v>288507.76799999998</v>
      </c>
    </row>
    <row r="20" spans="1:8" ht="15.75" x14ac:dyDescent="0.25">
      <c r="A20" t="s">
        <v>9</v>
      </c>
      <c r="B20" s="9" t="s">
        <v>7</v>
      </c>
      <c r="C20" s="10"/>
      <c r="G20" s="13" t="s">
        <v>14</v>
      </c>
      <c r="H20" s="6">
        <f>H14+H16+H18</f>
        <v>181922.90919999999</v>
      </c>
    </row>
    <row r="21" spans="1:8" ht="15.75" thickBot="1" x14ac:dyDescent="0.3">
      <c r="A21" s="16"/>
      <c r="B21" s="14"/>
      <c r="C21" s="7"/>
    </row>
    <row r="22" spans="1:8" x14ac:dyDescent="0.25">
      <c r="E22" t="s">
        <v>100</v>
      </c>
      <c r="H22" s="20">
        <f>H20*0.4</f>
        <v>72769.163679999998</v>
      </c>
    </row>
    <row r="23" spans="1:8" ht="15.75" x14ac:dyDescent="0.25">
      <c r="A23" t="s">
        <v>10</v>
      </c>
      <c r="C23" s="10">
        <f>C14-C16-C18-C20</f>
        <v>288507.76799999998</v>
      </c>
      <c r="H23" s="18"/>
    </row>
    <row r="24" spans="1:8" x14ac:dyDescent="0.25">
      <c r="H24" s="3"/>
    </row>
    <row r="25" spans="1:8" x14ac:dyDescent="0.25">
      <c r="H25" s="18"/>
    </row>
  </sheetData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E7F72-FF79-428B-BD7C-C0ED6DA526DE}">
  <dimension ref="A1:H25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515</v>
      </c>
    </row>
    <row r="3" spans="1:8" ht="21" x14ac:dyDescent="0.35">
      <c r="A3" s="2" t="s">
        <v>1</v>
      </c>
      <c r="D3" s="11">
        <v>152796</v>
      </c>
      <c r="F3" s="12" t="s">
        <v>3</v>
      </c>
      <c r="H3" s="11">
        <v>24396</v>
      </c>
    </row>
    <row r="4" spans="1:8" x14ac:dyDescent="0.25">
      <c r="A4" s="13" t="s">
        <v>29</v>
      </c>
      <c r="C4" s="28">
        <v>616</v>
      </c>
    </row>
    <row r="5" spans="1:8" ht="21" x14ac:dyDescent="0.35">
      <c r="A5" s="2" t="s">
        <v>2</v>
      </c>
    </row>
    <row r="7" spans="1:8" ht="18.75" x14ac:dyDescent="0.3">
      <c r="A7" s="5" t="s">
        <v>488</v>
      </c>
      <c r="D7" s="4">
        <v>110930</v>
      </c>
      <c r="H7" s="4">
        <v>17712</v>
      </c>
    </row>
    <row r="8" spans="1:8" ht="19.5" thickBot="1" x14ac:dyDescent="0.35">
      <c r="A8" s="5"/>
      <c r="D8" s="35"/>
      <c r="E8" s="27"/>
      <c r="H8" s="35"/>
    </row>
    <row r="9" spans="1:8" ht="19.5" thickTop="1" x14ac:dyDescent="0.3">
      <c r="D9" s="4">
        <f>SUM(D7:D8)</f>
        <v>110930</v>
      </c>
      <c r="H9" s="33">
        <f>SUM(H7:H8)</f>
        <v>17712</v>
      </c>
    </row>
    <row r="11" spans="1:8" ht="18.75" x14ac:dyDescent="0.3">
      <c r="C11" t="s">
        <v>4</v>
      </c>
      <c r="D11" s="4">
        <f>D3-D9</f>
        <v>41866</v>
      </c>
      <c r="G11" t="s">
        <v>5</v>
      </c>
      <c r="H11" s="4">
        <f>H3-H9</f>
        <v>6684</v>
      </c>
    </row>
    <row r="13" spans="1:8" x14ac:dyDescent="0.25">
      <c r="G13" t="s">
        <v>454</v>
      </c>
    </row>
    <row r="14" spans="1:8" ht="15.75" x14ac:dyDescent="0.25">
      <c r="A14" t="s">
        <v>6</v>
      </c>
      <c r="C14" s="8">
        <f>D11</f>
        <v>41866</v>
      </c>
      <c r="E14" t="s">
        <v>10</v>
      </c>
      <c r="H14" s="6">
        <f>C23</f>
        <v>34570.815999999999</v>
      </c>
    </row>
    <row r="16" spans="1:8" ht="15.75" x14ac:dyDescent="0.25">
      <c r="A16" t="s">
        <v>5</v>
      </c>
      <c r="B16" s="9" t="s">
        <v>7</v>
      </c>
      <c r="C16" s="8">
        <f>H11</f>
        <v>6684</v>
      </c>
      <c r="E16" s="13" t="s">
        <v>11</v>
      </c>
      <c r="F16" s="9" t="s">
        <v>12</v>
      </c>
      <c r="G16" s="15" t="s">
        <v>17</v>
      </c>
      <c r="H16" s="3">
        <f>-(F17*0.0077)</f>
        <v>-988.68000000000006</v>
      </c>
    </row>
    <row r="17" spans="1:8" x14ac:dyDescent="0.25">
      <c r="F17" s="21">
        <f>D3-H3</f>
        <v>128400</v>
      </c>
    </row>
    <row r="18" spans="1:8" ht="16.5" thickBot="1" x14ac:dyDescent="0.3">
      <c r="A18" t="s">
        <v>8</v>
      </c>
      <c r="B18" s="9" t="s">
        <v>7</v>
      </c>
      <c r="C18" s="8">
        <f>D3*0.004</f>
        <v>611.18399999999997</v>
      </c>
      <c r="F18" s="9" t="s">
        <v>13</v>
      </c>
      <c r="G18" s="16">
        <v>0.35</v>
      </c>
      <c r="H18" s="17">
        <f>-(F19*0.35)</f>
        <v>-12099.785599999999</v>
      </c>
    </row>
    <row r="19" spans="1:8" x14ac:dyDescent="0.25">
      <c r="F19" s="21">
        <f>H14</f>
        <v>34570.815999999999</v>
      </c>
    </row>
    <row r="20" spans="1:8" ht="15.75" x14ac:dyDescent="0.25">
      <c r="A20" t="s">
        <v>9</v>
      </c>
      <c r="B20" s="9" t="s">
        <v>7</v>
      </c>
      <c r="C20" s="10"/>
      <c r="G20" s="13" t="s">
        <v>14</v>
      </c>
      <c r="H20" s="6">
        <f>H14+H16+H18</f>
        <v>21482.350399999999</v>
      </c>
    </row>
    <row r="21" spans="1:8" ht="15.75" thickBot="1" x14ac:dyDescent="0.3">
      <c r="A21" s="16"/>
      <c r="B21" s="14"/>
      <c r="C21" s="7"/>
    </row>
    <row r="22" spans="1:8" x14ac:dyDescent="0.25">
      <c r="E22" t="s">
        <v>100</v>
      </c>
      <c r="H22" s="20">
        <f>H20*0.4</f>
        <v>8592.9401600000001</v>
      </c>
    </row>
    <row r="23" spans="1:8" ht="15.75" x14ac:dyDescent="0.25">
      <c r="A23" t="s">
        <v>10</v>
      </c>
      <c r="C23" s="10">
        <f>C14-C16-C18-C20</f>
        <v>34570.815999999999</v>
      </c>
      <c r="H23" s="18"/>
    </row>
    <row r="24" spans="1:8" x14ac:dyDescent="0.25">
      <c r="H24" s="3"/>
    </row>
    <row r="25" spans="1:8" x14ac:dyDescent="0.25">
      <c r="H25" s="18"/>
    </row>
  </sheetData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1D1D6-2A03-4BB1-B43E-84CB07E334C8}">
  <dimension ref="A1:H25"/>
  <sheetViews>
    <sheetView workbookViewId="0">
      <selection activeCell="H8" sqref="H8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516</v>
      </c>
    </row>
    <row r="3" spans="1:8" ht="21" x14ac:dyDescent="0.35">
      <c r="A3" s="2" t="s">
        <v>1</v>
      </c>
      <c r="D3" s="11">
        <v>24395</v>
      </c>
      <c r="F3" s="12" t="s">
        <v>3</v>
      </c>
      <c r="H3" s="11">
        <v>3895</v>
      </c>
    </row>
    <row r="4" spans="1:8" x14ac:dyDescent="0.25">
      <c r="A4" s="13" t="s">
        <v>29</v>
      </c>
      <c r="C4" s="28">
        <v>618</v>
      </c>
    </row>
    <row r="5" spans="1:8" ht="21" x14ac:dyDescent="0.35">
      <c r="A5" s="2" t="s">
        <v>2</v>
      </c>
    </row>
    <row r="7" spans="1:8" ht="18.75" x14ac:dyDescent="0.3">
      <c r="A7" s="5" t="s">
        <v>310</v>
      </c>
      <c r="D7" s="4">
        <v>13400</v>
      </c>
      <c r="H7" s="4">
        <v>2540</v>
      </c>
    </row>
    <row r="8" spans="1:8" ht="19.5" thickBot="1" x14ac:dyDescent="0.35">
      <c r="A8" s="5"/>
      <c r="D8" s="35"/>
      <c r="E8" s="27"/>
      <c r="H8" s="35"/>
    </row>
    <row r="9" spans="1:8" ht="19.5" thickTop="1" x14ac:dyDescent="0.3">
      <c r="D9" s="4">
        <f>SUM(D7:D8)</f>
        <v>13400</v>
      </c>
      <c r="H9" s="33">
        <f>SUM(H7:H8)</f>
        <v>2540</v>
      </c>
    </row>
    <row r="11" spans="1:8" ht="18.75" x14ac:dyDescent="0.3">
      <c r="C11" t="s">
        <v>4</v>
      </c>
      <c r="D11" s="4">
        <f>D3-D9</f>
        <v>10995</v>
      </c>
      <c r="G11" t="s">
        <v>5</v>
      </c>
      <c r="H11" s="4">
        <f>H3-H9</f>
        <v>1355</v>
      </c>
    </row>
    <row r="13" spans="1:8" x14ac:dyDescent="0.25">
      <c r="G13" t="s">
        <v>454</v>
      </c>
    </row>
    <row r="14" spans="1:8" ht="15.75" x14ac:dyDescent="0.25">
      <c r="A14" t="s">
        <v>6</v>
      </c>
      <c r="C14" s="8">
        <f>D11</f>
        <v>10995</v>
      </c>
      <c r="E14" t="s">
        <v>10</v>
      </c>
      <c r="H14" s="6">
        <f>C23</f>
        <v>9542.42</v>
      </c>
    </row>
    <row r="16" spans="1:8" ht="15.75" x14ac:dyDescent="0.25">
      <c r="A16" t="s">
        <v>5</v>
      </c>
      <c r="B16" s="9" t="s">
        <v>7</v>
      </c>
      <c r="C16" s="8">
        <f>H11</f>
        <v>1355</v>
      </c>
      <c r="E16" s="13" t="s">
        <v>11</v>
      </c>
      <c r="F16" s="9" t="s">
        <v>12</v>
      </c>
      <c r="G16" s="15" t="s">
        <v>17</v>
      </c>
      <c r="H16" s="3">
        <f>-(F17*0.0077)</f>
        <v>-157.85</v>
      </c>
    </row>
    <row r="17" spans="1:8" x14ac:dyDescent="0.25">
      <c r="F17" s="21">
        <f>D3-H3</f>
        <v>20500</v>
      </c>
    </row>
    <row r="18" spans="1:8" ht="16.5" thickBot="1" x14ac:dyDescent="0.3">
      <c r="A18" t="s">
        <v>8</v>
      </c>
      <c r="B18" s="9" t="s">
        <v>7</v>
      </c>
      <c r="C18" s="8">
        <f>D3*0.004</f>
        <v>97.58</v>
      </c>
      <c r="F18" s="9" t="s">
        <v>13</v>
      </c>
      <c r="G18" s="16">
        <v>0.35</v>
      </c>
      <c r="H18" s="17">
        <f>-(F19*0.35)</f>
        <v>-3339.8469999999998</v>
      </c>
    </row>
    <row r="19" spans="1:8" x14ac:dyDescent="0.25">
      <c r="F19" s="21">
        <f>H14</f>
        <v>9542.42</v>
      </c>
    </row>
    <row r="20" spans="1:8" ht="15.75" x14ac:dyDescent="0.25">
      <c r="A20" t="s">
        <v>9</v>
      </c>
      <c r="B20" s="9" t="s">
        <v>7</v>
      </c>
      <c r="C20" s="10"/>
      <c r="G20" s="13" t="s">
        <v>14</v>
      </c>
      <c r="H20" s="6">
        <f>H14+H16+H18</f>
        <v>6044.723</v>
      </c>
    </row>
    <row r="21" spans="1:8" ht="15.75" thickBot="1" x14ac:dyDescent="0.3">
      <c r="A21" s="16"/>
      <c r="B21" s="14"/>
      <c r="C21" s="7"/>
    </row>
    <row r="22" spans="1:8" x14ac:dyDescent="0.25">
      <c r="E22" t="s">
        <v>100</v>
      </c>
      <c r="H22" s="20">
        <f>H20*0.4</f>
        <v>2417.8892000000001</v>
      </c>
    </row>
    <row r="23" spans="1:8" ht="15.75" x14ac:dyDescent="0.25">
      <c r="A23" t="s">
        <v>10</v>
      </c>
      <c r="C23" s="10">
        <f>C14-C16-C18-C20</f>
        <v>9542.42</v>
      </c>
      <c r="H23" s="18"/>
    </row>
    <row r="24" spans="1:8" x14ac:dyDescent="0.25">
      <c r="H24" s="3"/>
    </row>
    <row r="25" spans="1:8" x14ac:dyDescent="0.25">
      <c r="H25" s="18"/>
    </row>
  </sheetData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296CA-CB6B-4123-B405-E5459561CE7F}">
  <dimension ref="A1:H28"/>
  <sheetViews>
    <sheetView workbookViewId="0">
      <selection activeCell="C4" sqref="C4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518</v>
      </c>
    </row>
    <row r="3" spans="1:8" ht="21" x14ac:dyDescent="0.35">
      <c r="A3" s="2" t="s">
        <v>1</v>
      </c>
      <c r="D3" s="11">
        <v>1371951</v>
      </c>
      <c r="F3" s="12" t="s">
        <v>3</v>
      </c>
      <c r="H3" s="11">
        <v>219051</v>
      </c>
    </row>
    <row r="4" spans="1:8" x14ac:dyDescent="0.25">
      <c r="A4" s="13" t="s">
        <v>29</v>
      </c>
      <c r="C4" s="28">
        <v>621</v>
      </c>
    </row>
    <row r="5" spans="1:8" ht="21" x14ac:dyDescent="0.35">
      <c r="A5" s="2" t="s">
        <v>2</v>
      </c>
    </row>
    <row r="7" spans="1:8" ht="18.75" x14ac:dyDescent="0.3">
      <c r="A7" s="5" t="s">
        <v>222</v>
      </c>
      <c r="D7" s="4">
        <v>367274</v>
      </c>
      <c r="H7" s="4">
        <v>58640</v>
      </c>
    </row>
    <row r="8" spans="1:8" ht="18.75" x14ac:dyDescent="0.3">
      <c r="A8" s="5" t="s">
        <v>519</v>
      </c>
      <c r="D8" s="4">
        <v>20000</v>
      </c>
      <c r="H8" s="4">
        <v>3194</v>
      </c>
    </row>
    <row r="9" spans="1:8" ht="18.75" x14ac:dyDescent="0.3">
      <c r="A9" s="5" t="s">
        <v>520</v>
      </c>
      <c r="D9" s="4">
        <v>581443</v>
      </c>
      <c r="H9" s="4">
        <v>92837</v>
      </c>
    </row>
    <row r="10" spans="1:8" ht="19.5" thickBot="1" x14ac:dyDescent="0.35">
      <c r="A10" s="5" t="s">
        <v>289</v>
      </c>
      <c r="D10" s="35">
        <v>25000</v>
      </c>
      <c r="E10" s="27"/>
      <c r="H10" s="35"/>
    </row>
    <row r="11" spans="1:8" ht="19.5" thickTop="1" x14ac:dyDescent="0.3">
      <c r="D11" s="4">
        <f>SUM(D7:D10)</f>
        <v>993717</v>
      </c>
      <c r="H11" s="33">
        <f>SUM(H7:H10)</f>
        <v>154671</v>
      </c>
    </row>
    <row r="13" spans="1:8" ht="18.75" x14ac:dyDescent="0.3">
      <c r="C13" t="s">
        <v>4</v>
      </c>
      <c r="D13" s="4">
        <f>D3-D11</f>
        <v>378234</v>
      </c>
      <c r="G13" t="s">
        <v>5</v>
      </c>
      <c r="H13" s="4">
        <f>H3-H11</f>
        <v>64380</v>
      </c>
    </row>
    <row r="15" spans="1:8" x14ac:dyDescent="0.25">
      <c r="G15" t="s">
        <v>454</v>
      </c>
    </row>
    <row r="16" spans="1:8" ht="15.75" x14ac:dyDescent="0.25">
      <c r="A16" t="s">
        <v>6</v>
      </c>
      <c r="C16" s="8">
        <f>D13</f>
        <v>378234</v>
      </c>
      <c r="E16" t="s">
        <v>10</v>
      </c>
      <c r="H16" s="6">
        <f>C25</f>
        <v>308366.196</v>
      </c>
    </row>
    <row r="18" spans="1:8" ht="15.75" x14ac:dyDescent="0.25">
      <c r="A18" t="s">
        <v>5</v>
      </c>
      <c r="B18" s="9" t="s">
        <v>7</v>
      </c>
      <c r="C18" s="8">
        <f>H13</f>
        <v>64380</v>
      </c>
      <c r="E18" s="13" t="s">
        <v>11</v>
      </c>
      <c r="F18" s="9" t="s">
        <v>12</v>
      </c>
      <c r="G18" s="15" t="s">
        <v>17</v>
      </c>
      <c r="H18" s="3">
        <f>-(F19*0.0077)</f>
        <v>-8877.33</v>
      </c>
    </row>
    <row r="19" spans="1:8" x14ac:dyDescent="0.25">
      <c r="F19" s="21">
        <f>D3-H3</f>
        <v>1152900</v>
      </c>
    </row>
    <row r="20" spans="1:8" ht="16.5" thickBot="1" x14ac:dyDescent="0.3">
      <c r="A20" t="s">
        <v>8</v>
      </c>
      <c r="B20" s="9" t="s">
        <v>7</v>
      </c>
      <c r="C20" s="8">
        <f>D3*0.004</f>
        <v>5487.8040000000001</v>
      </c>
      <c r="F20" s="9" t="s">
        <v>13</v>
      </c>
      <c r="G20" s="16">
        <v>0.35</v>
      </c>
      <c r="H20" s="17">
        <f>-(F21*0.35)</f>
        <v>-107928.16859999999</v>
      </c>
    </row>
    <row r="21" spans="1:8" x14ac:dyDescent="0.25">
      <c r="F21" s="21">
        <f>H16</f>
        <v>308366.196</v>
      </c>
    </row>
    <row r="22" spans="1:8" ht="15.75" x14ac:dyDescent="0.25">
      <c r="A22" t="s">
        <v>9</v>
      </c>
      <c r="B22" s="9" t="s">
        <v>7</v>
      </c>
      <c r="C22" s="10"/>
      <c r="G22" s="13" t="s">
        <v>14</v>
      </c>
      <c r="H22" s="6">
        <f>H16+H18+H20</f>
        <v>191560.6974</v>
      </c>
    </row>
    <row r="23" spans="1:8" ht="15.75" thickBot="1" x14ac:dyDescent="0.3">
      <c r="A23" s="16"/>
      <c r="B23" s="14"/>
      <c r="C23" s="7"/>
    </row>
    <row r="24" spans="1:8" x14ac:dyDescent="0.25">
      <c r="E24" t="s">
        <v>100</v>
      </c>
      <c r="H24" s="20">
        <f>H22*0.4</f>
        <v>76624.278960000011</v>
      </c>
    </row>
    <row r="25" spans="1:8" ht="15.75" x14ac:dyDescent="0.25">
      <c r="A25" t="s">
        <v>10</v>
      </c>
      <c r="C25" s="10">
        <f>C16-C18-C20-C22</f>
        <v>308366.196</v>
      </c>
      <c r="H25" s="18"/>
    </row>
    <row r="26" spans="1:8" x14ac:dyDescent="0.25">
      <c r="H26" s="3"/>
    </row>
    <row r="27" spans="1:8" x14ac:dyDescent="0.25">
      <c r="H27" s="18"/>
    </row>
    <row r="28" spans="1:8" x14ac:dyDescent="0.25">
      <c r="G28" t="s">
        <v>232</v>
      </c>
    </row>
  </sheetData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2E095-296E-423E-BB49-ECF3007B979C}">
  <dimension ref="A1:H28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521</v>
      </c>
    </row>
    <row r="3" spans="1:8" ht="21" x14ac:dyDescent="0.35">
      <c r="A3" s="2" t="s">
        <v>1</v>
      </c>
      <c r="D3" s="11">
        <v>962472</v>
      </c>
      <c r="F3" s="12" t="s">
        <v>3</v>
      </c>
      <c r="H3" s="11">
        <v>153672</v>
      </c>
    </row>
    <row r="4" spans="1:8" x14ac:dyDescent="0.25">
      <c r="A4" s="13" t="s">
        <v>29</v>
      </c>
      <c r="C4" s="28">
        <v>624</v>
      </c>
    </row>
    <row r="5" spans="1:8" ht="21" x14ac:dyDescent="0.35">
      <c r="A5" s="2" t="s">
        <v>2</v>
      </c>
    </row>
    <row r="7" spans="1:8" ht="18.75" x14ac:dyDescent="0.3">
      <c r="A7" s="5" t="s">
        <v>397</v>
      </c>
      <c r="D7" s="4">
        <v>323302</v>
      </c>
      <c r="H7" s="4">
        <v>51621</v>
      </c>
    </row>
    <row r="8" spans="1:8" ht="18.75" x14ac:dyDescent="0.3">
      <c r="A8" s="5" t="s">
        <v>522</v>
      </c>
      <c r="D8" s="4">
        <v>315534</v>
      </c>
      <c r="H8" s="4">
        <v>50380</v>
      </c>
    </row>
    <row r="9" spans="1:8" ht="18.75" x14ac:dyDescent="0.3">
      <c r="A9" s="5" t="s">
        <v>92</v>
      </c>
      <c r="D9" s="4">
        <v>50000</v>
      </c>
      <c r="H9" s="4"/>
    </row>
    <row r="10" spans="1:8" ht="19.5" thickBot="1" x14ac:dyDescent="0.35">
      <c r="A10" s="5"/>
      <c r="D10" s="35"/>
      <c r="E10" s="27"/>
      <c r="H10" s="35"/>
    </row>
    <row r="11" spans="1:8" ht="19.5" thickTop="1" x14ac:dyDescent="0.3">
      <c r="D11" s="4">
        <f>SUM(D7:D10)</f>
        <v>688836</v>
      </c>
      <c r="H11" s="33">
        <f>SUM(H7:H10)</f>
        <v>102001</v>
      </c>
    </row>
    <row r="13" spans="1:8" ht="18.75" x14ac:dyDescent="0.3">
      <c r="C13" t="s">
        <v>4</v>
      </c>
      <c r="D13" s="4">
        <f>D3-D11</f>
        <v>273636</v>
      </c>
      <c r="G13" t="s">
        <v>5</v>
      </c>
      <c r="H13" s="4">
        <f>H3-H11</f>
        <v>51671</v>
      </c>
    </row>
    <row r="15" spans="1:8" x14ac:dyDescent="0.25">
      <c r="G15" t="s">
        <v>454</v>
      </c>
    </row>
    <row r="16" spans="1:8" ht="15.75" x14ac:dyDescent="0.25">
      <c r="A16" t="s">
        <v>6</v>
      </c>
      <c r="C16" s="8">
        <f>D13</f>
        <v>273636</v>
      </c>
      <c r="E16" t="s">
        <v>10</v>
      </c>
      <c r="H16" s="6">
        <f>C25</f>
        <v>218115.11199999999</v>
      </c>
    </row>
    <row r="18" spans="1:8" ht="15.75" x14ac:dyDescent="0.25">
      <c r="A18" t="s">
        <v>5</v>
      </c>
      <c r="B18" s="9" t="s">
        <v>7</v>
      </c>
      <c r="C18" s="8">
        <f>H13</f>
        <v>51671</v>
      </c>
      <c r="E18" s="13" t="s">
        <v>11</v>
      </c>
      <c r="F18" s="9" t="s">
        <v>12</v>
      </c>
      <c r="G18" s="15" t="s">
        <v>17</v>
      </c>
      <c r="H18" s="3">
        <f>-(F19*0.0077)</f>
        <v>-6227.76</v>
      </c>
    </row>
    <row r="19" spans="1:8" x14ac:dyDescent="0.25">
      <c r="F19" s="21">
        <f>D3-H3</f>
        <v>808800</v>
      </c>
    </row>
    <row r="20" spans="1:8" ht="16.5" thickBot="1" x14ac:dyDescent="0.3">
      <c r="A20" t="s">
        <v>8</v>
      </c>
      <c r="B20" s="9" t="s">
        <v>7</v>
      </c>
      <c r="C20" s="8">
        <f>D3*0.004</f>
        <v>3849.8879999999999</v>
      </c>
      <c r="F20" s="9" t="s">
        <v>13</v>
      </c>
      <c r="G20" s="16">
        <v>0.35</v>
      </c>
      <c r="H20" s="17">
        <f>-(F21*0.35)</f>
        <v>-76340.289199999999</v>
      </c>
    </row>
    <row r="21" spans="1:8" x14ac:dyDescent="0.25">
      <c r="F21" s="21">
        <f>H16</f>
        <v>218115.11199999999</v>
      </c>
    </row>
    <row r="22" spans="1:8" ht="15.75" x14ac:dyDescent="0.25">
      <c r="A22" t="s">
        <v>9</v>
      </c>
      <c r="B22" s="9" t="s">
        <v>7</v>
      </c>
      <c r="C22" s="10"/>
      <c r="G22" s="13" t="s">
        <v>14</v>
      </c>
      <c r="H22" s="6">
        <f>H16+H18+H20</f>
        <v>135547.06279999999</v>
      </c>
    </row>
    <row r="23" spans="1:8" ht="15.75" thickBot="1" x14ac:dyDescent="0.3">
      <c r="A23" s="16"/>
      <c r="B23" s="14"/>
      <c r="C23" s="7"/>
    </row>
    <row r="24" spans="1:8" x14ac:dyDescent="0.25">
      <c r="E24" t="s">
        <v>100</v>
      </c>
      <c r="H24" s="20">
        <f>H22*0.4</f>
        <v>54218.825119999994</v>
      </c>
    </row>
    <row r="25" spans="1:8" ht="15.75" x14ac:dyDescent="0.25">
      <c r="A25" t="s">
        <v>10</v>
      </c>
      <c r="C25" s="10">
        <f>C16-C18-C20-C22</f>
        <v>218115.11199999999</v>
      </c>
      <c r="H25" s="18"/>
    </row>
    <row r="26" spans="1:8" x14ac:dyDescent="0.25">
      <c r="H26" s="3"/>
    </row>
    <row r="27" spans="1:8" x14ac:dyDescent="0.25">
      <c r="H27" s="18"/>
    </row>
    <row r="28" spans="1:8" x14ac:dyDescent="0.25">
      <c r="G28" t="s">
        <v>232</v>
      </c>
    </row>
  </sheetData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0B153-203B-425A-8BBD-33BB00B04127}">
  <dimension ref="A1:H28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521</v>
      </c>
    </row>
    <row r="3" spans="1:8" ht="21" x14ac:dyDescent="0.35">
      <c r="A3" s="2" t="s">
        <v>1</v>
      </c>
      <c r="D3" s="11">
        <v>540855</v>
      </c>
      <c r="F3" s="12" t="s">
        <v>3</v>
      </c>
      <c r="H3" s="11">
        <v>86355</v>
      </c>
    </row>
    <row r="4" spans="1:8" x14ac:dyDescent="0.25">
      <c r="A4" s="13" t="s">
        <v>29</v>
      </c>
      <c r="C4" s="28">
        <v>625</v>
      </c>
    </row>
    <row r="5" spans="1:8" ht="21" x14ac:dyDescent="0.35">
      <c r="A5" s="2" t="s">
        <v>2</v>
      </c>
    </row>
    <row r="7" spans="1:8" ht="18.75" x14ac:dyDescent="0.3">
      <c r="A7" s="5"/>
      <c r="D7" s="4"/>
      <c r="H7" s="4"/>
    </row>
    <row r="8" spans="1:8" ht="18.75" x14ac:dyDescent="0.3">
      <c r="A8" s="5" t="s">
        <v>522</v>
      </c>
      <c r="D8" s="4">
        <v>315534</v>
      </c>
      <c r="H8" s="4">
        <v>50380</v>
      </c>
    </row>
    <row r="9" spans="1:8" ht="18.75" x14ac:dyDescent="0.3">
      <c r="A9" s="5" t="s">
        <v>92</v>
      </c>
      <c r="D9" s="4">
        <v>20000</v>
      </c>
      <c r="H9" s="4"/>
    </row>
    <row r="10" spans="1:8" ht="19.5" thickBot="1" x14ac:dyDescent="0.35">
      <c r="A10" s="5"/>
      <c r="D10" s="35"/>
      <c r="E10" s="27"/>
      <c r="H10" s="35"/>
    </row>
    <row r="11" spans="1:8" ht="19.5" thickTop="1" x14ac:dyDescent="0.3">
      <c r="D11" s="4">
        <f>SUM(D7:D10)</f>
        <v>335534</v>
      </c>
      <c r="H11" s="33">
        <f>SUM(H7:H10)</f>
        <v>50380</v>
      </c>
    </row>
    <row r="13" spans="1:8" ht="18.75" x14ac:dyDescent="0.3">
      <c r="C13" t="s">
        <v>4</v>
      </c>
      <c r="D13" s="4">
        <f>D3-D11</f>
        <v>205321</v>
      </c>
      <c r="G13" t="s">
        <v>5</v>
      </c>
      <c r="H13" s="4">
        <f>H3-H11</f>
        <v>35975</v>
      </c>
    </row>
    <row r="15" spans="1:8" x14ac:dyDescent="0.25">
      <c r="G15" t="s">
        <v>454</v>
      </c>
    </row>
    <row r="16" spans="1:8" ht="15.75" x14ac:dyDescent="0.25">
      <c r="A16" t="s">
        <v>6</v>
      </c>
      <c r="C16" s="8">
        <f>D13</f>
        <v>205321</v>
      </c>
      <c r="E16" t="s">
        <v>10</v>
      </c>
      <c r="H16" s="6">
        <f>C25</f>
        <v>167182.57999999999</v>
      </c>
    </row>
    <row r="18" spans="1:8" ht="15.75" x14ac:dyDescent="0.25">
      <c r="A18" t="s">
        <v>5</v>
      </c>
      <c r="B18" s="9" t="s">
        <v>7</v>
      </c>
      <c r="C18" s="8">
        <f>H13</f>
        <v>35975</v>
      </c>
      <c r="E18" s="13" t="s">
        <v>11</v>
      </c>
      <c r="F18" s="9" t="s">
        <v>12</v>
      </c>
      <c r="G18" s="15" t="s">
        <v>17</v>
      </c>
      <c r="H18" s="3">
        <f>-(F19*0.0077)</f>
        <v>-3499.65</v>
      </c>
    </row>
    <row r="19" spans="1:8" x14ac:dyDescent="0.25">
      <c r="F19" s="21">
        <f>D3-H3</f>
        <v>454500</v>
      </c>
    </row>
    <row r="20" spans="1:8" ht="16.5" thickBot="1" x14ac:dyDescent="0.3">
      <c r="A20" t="s">
        <v>8</v>
      </c>
      <c r="B20" s="9" t="s">
        <v>7</v>
      </c>
      <c r="C20" s="8">
        <f>D3*0.004</f>
        <v>2163.42</v>
      </c>
      <c r="F20" s="9" t="s">
        <v>13</v>
      </c>
      <c r="G20" s="16">
        <v>0.35</v>
      </c>
      <c r="H20" s="17">
        <f>-(F21*0.35)</f>
        <v>-58513.902999999991</v>
      </c>
    </row>
    <row r="21" spans="1:8" x14ac:dyDescent="0.25">
      <c r="F21" s="21">
        <f>H16</f>
        <v>167182.57999999999</v>
      </c>
    </row>
    <row r="22" spans="1:8" ht="15.75" x14ac:dyDescent="0.25">
      <c r="A22" t="s">
        <v>9</v>
      </c>
      <c r="B22" s="9" t="s">
        <v>7</v>
      </c>
      <c r="C22" s="10"/>
      <c r="G22" s="13" t="s">
        <v>14</v>
      </c>
      <c r="H22" s="6">
        <f>H16+H18+H20</f>
        <v>105169.027</v>
      </c>
    </row>
    <row r="23" spans="1:8" ht="15.75" thickBot="1" x14ac:dyDescent="0.3">
      <c r="A23" s="16"/>
      <c r="B23" s="14"/>
      <c r="C23" s="7"/>
    </row>
    <row r="24" spans="1:8" x14ac:dyDescent="0.25">
      <c r="E24" t="s">
        <v>100</v>
      </c>
      <c r="H24" s="20">
        <f>H22*0.4</f>
        <v>42067.610800000002</v>
      </c>
    </row>
    <row r="25" spans="1:8" ht="15.75" x14ac:dyDescent="0.25">
      <c r="A25" t="s">
        <v>10</v>
      </c>
      <c r="C25" s="10">
        <f>C16-C18-C20-C22</f>
        <v>167182.57999999999</v>
      </c>
      <c r="H25" s="18"/>
    </row>
    <row r="26" spans="1:8" x14ac:dyDescent="0.25">
      <c r="H26" s="3"/>
    </row>
    <row r="27" spans="1:8" x14ac:dyDescent="0.25">
      <c r="H27" s="18"/>
    </row>
    <row r="28" spans="1:8" x14ac:dyDescent="0.25">
      <c r="G28" t="s">
        <v>232</v>
      </c>
    </row>
  </sheetData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2BE21-1EF3-4578-ABC2-907D20FFADCA}">
  <dimension ref="A1:H28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523</v>
      </c>
    </row>
    <row r="3" spans="1:8" ht="21" x14ac:dyDescent="0.35">
      <c r="A3" s="2" t="s">
        <v>1</v>
      </c>
      <c r="D3" s="11">
        <v>6814892</v>
      </c>
      <c r="F3" s="12" t="s">
        <v>3</v>
      </c>
      <c r="H3" s="11">
        <v>1088092</v>
      </c>
    </row>
    <row r="4" spans="1:8" x14ac:dyDescent="0.25">
      <c r="A4" s="13" t="s">
        <v>29</v>
      </c>
      <c r="C4" s="28">
        <v>626</v>
      </c>
    </row>
    <row r="5" spans="1:8" ht="21" x14ac:dyDescent="0.35">
      <c r="A5" s="2" t="s">
        <v>2</v>
      </c>
    </row>
    <row r="7" spans="1:8" ht="18.75" x14ac:dyDescent="0.3">
      <c r="A7" s="5"/>
      <c r="D7" s="4"/>
      <c r="H7" s="4"/>
    </row>
    <row r="8" spans="1:8" ht="18.75" x14ac:dyDescent="0.3">
      <c r="A8" s="5" t="s">
        <v>58</v>
      </c>
      <c r="D8" s="4">
        <v>3647398</v>
      </c>
      <c r="H8" s="4">
        <v>582358</v>
      </c>
    </row>
    <row r="9" spans="1:8" ht="18.75" x14ac:dyDescent="0.3">
      <c r="A9" s="5" t="s">
        <v>222</v>
      </c>
      <c r="D9" s="4">
        <v>55482</v>
      </c>
      <c r="H9" s="4">
        <v>8854</v>
      </c>
    </row>
    <row r="10" spans="1:8" ht="19.5" thickBot="1" x14ac:dyDescent="0.35">
      <c r="A10" s="5" t="s">
        <v>524</v>
      </c>
      <c r="D10" s="35">
        <v>114536</v>
      </c>
      <c r="E10" s="27"/>
      <c r="H10" s="35"/>
    </row>
    <row r="11" spans="1:8" ht="19.5" thickTop="1" x14ac:dyDescent="0.3">
      <c r="D11" s="4">
        <f>SUM(D7:D10)</f>
        <v>3817416</v>
      </c>
      <c r="H11" s="33">
        <f>SUM(H7:H10)</f>
        <v>591212</v>
      </c>
    </row>
    <row r="13" spans="1:8" ht="18.75" x14ac:dyDescent="0.3">
      <c r="C13" t="s">
        <v>4</v>
      </c>
      <c r="D13" s="4">
        <f>D3-D11</f>
        <v>2997476</v>
      </c>
      <c r="G13" t="s">
        <v>5</v>
      </c>
      <c r="H13" s="4">
        <f>H3-H11</f>
        <v>496880</v>
      </c>
    </row>
    <row r="15" spans="1:8" x14ac:dyDescent="0.25">
      <c r="G15" t="s">
        <v>454</v>
      </c>
    </row>
    <row r="16" spans="1:8" ht="15.75" x14ac:dyDescent="0.25">
      <c r="A16" t="s">
        <v>6</v>
      </c>
      <c r="C16" s="8">
        <f>D13</f>
        <v>2997476</v>
      </c>
      <c r="E16" t="s">
        <v>10</v>
      </c>
      <c r="H16" s="6">
        <f>C25</f>
        <v>2473336.432</v>
      </c>
    </row>
    <row r="18" spans="1:8" ht="15.75" x14ac:dyDescent="0.25">
      <c r="A18" t="s">
        <v>5</v>
      </c>
      <c r="B18" s="9" t="s">
        <v>7</v>
      </c>
      <c r="C18" s="8">
        <f>H13</f>
        <v>496880</v>
      </c>
      <c r="E18" s="13" t="s">
        <v>11</v>
      </c>
      <c r="F18" s="9" t="s">
        <v>12</v>
      </c>
      <c r="G18" s="15" t="s">
        <v>17</v>
      </c>
      <c r="H18" s="3">
        <f>-(F19*0.0077)</f>
        <v>-44096.36</v>
      </c>
    </row>
    <row r="19" spans="1:8" x14ac:dyDescent="0.25">
      <c r="F19" s="21">
        <f>D3-H3</f>
        <v>5726800</v>
      </c>
    </row>
    <row r="20" spans="1:8" ht="16.5" thickBot="1" x14ac:dyDescent="0.3">
      <c r="A20" t="s">
        <v>8</v>
      </c>
      <c r="B20" s="9" t="s">
        <v>7</v>
      </c>
      <c r="C20" s="8">
        <f>D3*0.004</f>
        <v>27259.567999999999</v>
      </c>
      <c r="F20" s="9" t="s">
        <v>13</v>
      </c>
      <c r="G20" s="16">
        <v>0.35</v>
      </c>
      <c r="H20" s="17">
        <f>-(F21*0.35)</f>
        <v>-865667.75119999994</v>
      </c>
    </row>
    <row r="21" spans="1:8" x14ac:dyDescent="0.25">
      <c r="F21" s="21">
        <f>H16</f>
        <v>2473336.432</v>
      </c>
    </row>
    <row r="22" spans="1:8" ht="15.75" x14ac:dyDescent="0.25">
      <c r="A22" t="s">
        <v>9</v>
      </c>
      <c r="B22" s="9" t="s">
        <v>7</v>
      </c>
      <c r="C22" s="10"/>
      <c r="G22" s="13" t="s">
        <v>14</v>
      </c>
      <c r="H22" s="6">
        <f>H16+H18+H20</f>
        <v>1563572.3208000003</v>
      </c>
    </row>
    <row r="23" spans="1:8" ht="15.75" thickBot="1" x14ac:dyDescent="0.3">
      <c r="A23" s="16"/>
      <c r="B23" s="14"/>
      <c r="C23" s="7"/>
    </row>
    <row r="24" spans="1:8" x14ac:dyDescent="0.25">
      <c r="E24" t="s">
        <v>100</v>
      </c>
      <c r="H24" s="20">
        <f>H22*0.4</f>
        <v>625428.92832000018</v>
      </c>
    </row>
    <row r="25" spans="1:8" ht="15.75" x14ac:dyDescent="0.25">
      <c r="A25" t="s">
        <v>10</v>
      </c>
      <c r="C25" s="10">
        <f>C16-C18-C20-C22</f>
        <v>2473336.432</v>
      </c>
      <c r="H25" s="18"/>
    </row>
    <row r="26" spans="1:8" x14ac:dyDescent="0.25">
      <c r="H26" s="3"/>
    </row>
    <row r="27" spans="1:8" x14ac:dyDescent="0.25">
      <c r="H27" s="18"/>
    </row>
    <row r="28" spans="1:8" x14ac:dyDescent="0.25">
      <c r="G28" t="s">
        <v>232</v>
      </c>
    </row>
  </sheetData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D99F2-DABB-445D-B7CB-7191E274E4AE}">
  <dimension ref="A1:H28"/>
  <sheetViews>
    <sheetView workbookViewId="0">
      <selection activeCell="C5" sqref="C5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525</v>
      </c>
    </row>
    <row r="3" spans="1:8" ht="21" x14ac:dyDescent="0.35">
      <c r="A3" s="2" t="s">
        <v>1</v>
      </c>
      <c r="D3" s="11">
        <v>396151</v>
      </c>
      <c r="F3" s="12" t="s">
        <v>3</v>
      </c>
      <c r="H3" s="11">
        <v>63251</v>
      </c>
    </row>
    <row r="4" spans="1:8" x14ac:dyDescent="0.25">
      <c r="A4" s="13" t="s">
        <v>29</v>
      </c>
      <c r="C4" s="28">
        <v>628</v>
      </c>
    </row>
    <row r="5" spans="1:8" ht="21" x14ac:dyDescent="0.35">
      <c r="A5" s="2" t="s">
        <v>2</v>
      </c>
    </row>
    <row r="7" spans="1:8" ht="18.75" x14ac:dyDescent="0.3">
      <c r="A7" s="5"/>
      <c r="D7" s="4"/>
      <c r="H7" s="4"/>
    </row>
    <row r="8" spans="1:8" ht="18.75" x14ac:dyDescent="0.3">
      <c r="A8" s="5" t="s">
        <v>397</v>
      </c>
      <c r="D8" s="4">
        <v>293100</v>
      </c>
      <c r="H8" s="4">
        <v>46797</v>
      </c>
    </row>
    <row r="9" spans="1:8" ht="18.75" x14ac:dyDescent="0.3">
      <c r="A9" s="5"/>
      <c r="D9" s="4"/>
      <c r="H9" s="4"/>
    </row>
    <row r="10" spans="1:8" ht="19.5" thickBot="1" x14ac:dyDescent="0.35">
      <c r="A10" s="5"/>
      <c r="D10" s="35"/>
      <c r="E10" s="27"/>
      <c r="H10" s="35"/>
    </row>
    <row r="11" spans="1:8" ht="19.5" thickTop="1" x14ac:dyDescent="0.3">
      <c r="D11" s="4">
        <f>SUM(D7:D10)</f>
        <v>293100</v>
      </c>
      <c r="H11" s="33">
        <f>SUM(H7:H10)</f>
        <v>46797</v>
      </c>
    </row>
    <row r="13" spans="1:8" ht="18.75" x14ac:dyDescent="0.3">
      <c r="C13" t="s">
        <v>4</v>
      </c>
      <c r="D13" s="4">
        <f>D3-D11</f>
        <v>103051</v>
      </c>
      <c r="G13" t="s">
        <v>5</v>
      </c>
      <c r="H13" s="4">
        <f>H3-H11</f>
        <v>16454</v>
      </c>
    </row>
    <row r="15" spans="1:8" x14ac:dyDescent="0.25">
      <c r="G15" t="s">
        <v>454</v>
      </c>
    </row>
    <row r="16" spans="1:8" ht="15.75" x14ac:dyDescent="0.25">
      <c r="A16" t="s">
        <v>6</v>
      </c>
      <c r="C16" s="8">
        <f>D13</f>
        <v>103051</v>
      </c>
      <c r="E16" t="s">
        <v>10</v>
      </c>
      <c r="H16" s="6">
        <f>C25</f>
        <v>85012.395999999993</v>
      </c>
    </row>
    <row r="18" spans="1:8" ht="15.75" x14ac:dyDescent="0.25">
      <c r="A18" t="s">
        <v>5</v>
      </c>
      <c r="B18" s="9" t="s">
        <v>7</v>
      </c>
      <c r="C18" s="8">
        <f>H13</f>
        <v>16454</v>
      </c>
      <c r="E18" s="13" t="s">
        <v>11</v>
      </c>
      <c r="F18" s="9" t="s">
        <v>12</v>
      </c>
      <c r="G18" s="15" t="s">
        <v>17</v>
      </c>
      <c r="H18" s="3">
        <f>-(F19*0.0077)</f>
        <v>-2563.33</v>
      </c>
    </row>
    <row r="19" spans="1:8" x14ac:dyDescent="0.25">
      <c r="F19" s="21">
        <f>D3-H3</f>
        <v>332900</v>
      </c>
    </row>
    <row r="20" spans="1:8" ht="16.5" thickBot="1" x14ac:dyDescent="0.3">
      <c r="A20" t="s">
        <v>8</v>
      </c>
      <c r="B20" s="9" t="s">
        <v>7</v>
      </c>
      <c r="C20" s="8">
        <f>D3*0.004</f>
        <v>1584.604</v>
      </c>
      <c r="F20" s="9" t="s">
        <v>13</v>
      </c>
      <c r="G20" s="16">
        <v>0.35</v>
      </c>
      <c r="H20" s="17">
        <f>-(F21*0.35)</f>
        <v>-29754.338599999995</v>
      </c>
    </row>
    <row r="21" spans="1:8" x14ac:dyDescent="0.25">
      <c r="F21" s="21">
        <f>H16</f>
        <v>85012.395999999993</v>
      </c>
    </row>
    <row r="22" spans="1:8" ht="15.75" x14ac:dyDescent="0.25">
      <c r="A22" t="s">
        <v>9</v>
      </c>
      <c r="B22" s="9" t="s">
        <v>7</v>
      </c>
      <c r="C22" s="10"/>
      <c r="G22" s="13" t="s">
        <v>14</v>
      </c>
      <c r="H22" s="6">
        <f>H16+H18+H20</f>
        <v>52694.727399999996</v>
      </c>
    </row>
    <row r="23" spans="1:8" ht="15.75" thickBot="1" x14ac:dyDescent="0.3">
      <c r="A23" s="16"/>
      <c r="B23" s="14"/>
      <c r="C23" s="7"/>
    </row>
    <row r="24" spans="1:8" x14ac:dyDescent="0.25">
      <c r="E24" t="s">
        <v>100</v>
      </c>
      <c r="H24" s="20">
        <f>H22*0.4</f>
        <v>21077.890960000001</v>
      </c>
    </row>
    <row r="25" spans="1:8" ht="15.75" x14ac:dyDescent="0.25">
      <c r="A25" t="s">
        <v>10</v>
      </c>
      <c r="C25" s="10">
        <f>C16-C18-C20-C22</f>
        <v>85012.395999999993</v>
      </c>
      <c r="H25" s="18"/>
    </row>
    <row r="26" spans="1:8" x14ac:dyDescent="0.25">
      <c r="H26" s="3"/>
    </row>
    <row r="27" spans="1:8" x14ac:dyDescent="0.25">
      <c r="H27" s="18"/>
    </row>
    <row r="28" spans="1:8" x14ac:dyDescent="0.25">
      <c r="G28" t="s">
        <v>232</v>
      </c>
    </row>
  </sheetData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A8F14-35CB-4877-A387-28A5A2412D86}">
  <dimension ref="A1:H28"/>
  <sheetViews>
    <sheetView topLeftCell="A7"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526</v>
      </c>
    </row>
    <row r="3" spans="1:8" ht="21" x14ac:dyDescent="0.35">
      <c r="A3" s="2" t="s">
        <v>1</v>
      </c>
      <c r="D3" s="11">
        <v>502656</v>
      </c>
      <c r="F3" s="12" t="s">
        <v>3</v>
      </c>
      <c r="H3" s="11">
        <v>80256</v>
      </c>
    </row>
    <row r="4" spans="1:8" x14ac:dyDescent="0.25">
      <c r="A4" s="13" t="s">
        <v>29</v>
      </c>
      <c r="C4" s="28">
        <v>629</v>
      </c>
    </row>
    <row r="5" spans="1:8" ht="21" x14ac:dyDescent="0.35">
      <c r="A5" s="2" t="s">
        <v>2</v>
      </c>
    </row>
    <row r="7" spans="1:8" ht="18.75" x14ac:dyDescent="0.3">
      <c r="A7" s="5"/>
      <c r="D7" s="4"/>
      <c r="H7" s="4"/>
    </row>
    <row r="8" spans="1:8" ht="18.75" x14ac:dyDescent="0.3">
      <c r="A8" s="5" t="s">
        <v>62</v>
      </c>
      <c r="D8" s="4">
        <v>53093</v>
      </c>
      <c r="H8" s="4">
        <v>44616</v>
      </c>
    </row>
    <row r="9" spans="1:8" ht="18.75" x14ac:dyDescent="0.3">
      <c r="A9" s="5" t="s">
        <v>488</v>
      </c>
      <c r="D9" s="4">
        <v>273224</v>
      </c>
      <c r="H9" s="4">
        <v>43624</v>
      </c>
    </row>
    <row r="10" spans="1:8" ht="19.5" thickBot="1" x14ac:dyDescent="0.35">
      <c r="A10" s="5" t="s">
        <v>289</v>
      </c>
      <c r="D10" s="35">
        <v>40000</v>
      </c>
      <c r="E10" s="27"/>
      <c r="H10" s="35"/>
    </row>
    <row r="11" spans="1:8" ht="19.5" thickTop="1" x14ac:dyDescent="0.3">
      <c r="D11" s="4">
        <f>SUM(D7:D10)</f>
        <v>366317</v>
      </c>
      <c r="H11" s="33">
        <f>SUM(H7:H10)</f>
        <v>88240</v>
      </c>
    </row>
    <row r="13" spans="1:8" ht="18.75" x14ac:dyDescent="0.3">
      <c r="C13" t="s">
        <v>4</v>
      </c>
      <c r="D13" s="4">
        <f>D3-D11</f>
        <v>136339</v>
      </c>
      <c r="G13" t="s">
        <v>5</v>
      </c>
      <c r="H13" s="4">
        <f>H3-H11</f>
        <v>-7984</v>
      </c>
    </row>
    <row r="15" spans="1:8" x14ac:dyDescent="0.25">
      <c r="G15" t="s">
        <v>454</v>
      </c>
    </row>
    <row r="16" spans="1:8" ht="15.75" x14ac:dyDescent="0.25">
      <c r="A16" t="s">
        <v>6</v>
      </c>
      <c r="C16" s="8">
        <f>D13</f>
        <v>136339</v>
      </c>
      <c r="E16" t="s">
        <v>10</v>
      </c>
      <c r="H16" s="6">
        <f>C25</f>
        <v>142312.37599999999</v>
      </c>
    </row>
    <row r="18" spans="1:8" ht="15.75" x14ac:dyDescent="0.25">
      <c r="A18" t="s">
        <v>5</v>
      </c>
      <c r="B18" s="9" t="s">
        <v>7</v>
      </c>
      <c r="C18" s="8">
        <f>H13</f>
        <v>-7984</v>
      </c>
      <c r="E18" s="13" t="s">
        <v>11</v>
      </c>
      <c r="F18" s="9" t="s">
        <v>12</v>
      </c>
      <c r="G18" s="15" t="s">
        <v>17</v>
      </c>
      <c r="H18" s="3">
        <f>-(F19*0.0077)</f>
        <v>-3252.48</v>
      </c>
    </row>
    <row r="19" spans="1:8" x14ac:dyDescent="0.25">
      <c r="F19" s="21">
        <f>D3-H3</f>
        <v>422400</v>
      </c>
    </row>
    <row r="20" spans="1:8" ht="16.5" thickBot="1" x14ac:dyDescent="0.3">
      <c r="A20" t="s">
        <v>8</v>
      </c>
      <c r="B20" s="9" t="s">
        <v>7</v>
      </c>
      <c r="C20" s="8">
        <f>D3*0.004</f>
        <v>2010.624</v>
      </c>
      <c r="F20" s="9" t="s">
        <v>13</v>
      </c>
      <c r="G20" s="16">
        <v>0.35</v>
      </c>
      <c r="H20" s="17">
        <f>-(F21*0.35)</f>
        <v>-49809.33159999999</v>
      </c>
    </row>
    <row r="21" spans="1:8" x14ac:dyDescent="0.25">
      <c r="F21" s="21">
        <f>H16</f>
        <v>142312.37599999999</v>
      </c>
    </row>
    <row r="22" spans="1:8" ht="15.75" x14ac:dyDescent="0.25">
      <c r="A22" t="s">
        <v>9</v>
      </c>
      <c r="B22" s="9" t="s">
        <v>7</v>
      </c>
      <c r="C22" s="10"/>
      <c r="G22" s="13" t="s">
        <v>14</v>
      </c>
      <c r="H22" s="6">
        <f>H16+H18+H20</f>
        <v>89250.564399999988</v>
      </c>
    </row>
    <row r="23" spans="1:8" ht="15.75" thickBot="1" x14ac:dyDescent="0.3">
      <c r="A23" s="16"/>
      <c r="B23" s="14"/>
      <c r="C23" s="7"/>
    </row>
    <row r="24" spans="1:8" x14ac:dyDescent="0.25">
      <c r="E24" t="s">
        <v>100</v>
      </c>
      <c r="H24" s="20">
        <f>H22*0.4</f>
        <v>35700.225759999994</v>
      </c>
    </row>
    <row r="25" spans="1:8" ht="15.75" x14ac:dyDescent="0.25">
      <c r="A25" t="s">
        <v>10</v>
      </c>
      <c r="C25" s="10">
        <f>C16-C18-C20-C22</f>
        <v>142312.37599999999</v>
      </c>
      <c r="H25" s="18"/>
    </row>
    <row r="26" spans="1:8" x14ac:dyDescent="0.25">
      <c r="H26" s="3"/>
    </row>
    <row r="27" spans="1:8" x14ac:dyDescent="0.25">
      <c r="H27" s="18"/>
    </row>
    <row r="28" spans="1:8" x14ac:dyDescent="0.25">
      <c r="G28" t="s">
        <v>232</v>
      </c>
    </row>
  </sheetData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A7CB8-AA75-4926-B892-D0434B71FE42}">
  <dimension ref="A1:H28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527</v>
      </c>
    </row>
    <row r="3" spans="1:8" ht="21" x14ac:dyDescent="0.35">
      <c r="A3" s="2" t="s">
        <v>1</v>
      </c>
      <c r="D3" s="11">
        <v>71400</v>
      </c>
      <c r="F3" s="12" t="s">
        <v>3</v>
      </c>
      <c r="H3" s="11">
        <v>11400</v>
      </c>
    </row>
    <row r="4" spans="1:8" x14ac:dyDescent="0.25">
      <c r="A4" s="13" t="s">
        <v>29</v>
      </c>
      <c r="C4" s="28">
        <v>632</v>
      </c>
    </row>
    <row r="5" spans="1:8" ht="21" x14ac:dyDescent="0.35">
      <c r="A5" s="2" t="s">
        <v>2</v>
      </c>
    </row>
    <row r="7" spans="1:8" ht="18.75" x14ac:dyDescent="0.3">
      <c r="A7" s="5"/>
      <c r="D7" s="4"/>
      <c r="H7" s="4"/>
    </row>
    <row r="8" spans="1:8" ht="18.75" x14ac:dyDescent="0.3">
      <c r="A8" s="5" t="s">
        <v>310</v>
      </c>
      <c r="D8" s="4">
        <v>26561</v>
      </c>
      <c r="H8" s="4">
        <v>4241</v>
      </c>
    </row>
    <row r="9" spans="1:8" ht="18.75" x14ac:dyDescent="0.3">
      <c r="A9" s="5"/>
      <c r="D9" s="4"/>
      <c r="H9" s="4"/>
    </row>
    <row r="10" spans="1:8" ht="19.5" thickBot="1" x14ac:dyDescent="0.35">
      <c r="A10" s="5"/>
      <c r="D10" s="35"/>
      <c r="E10" s="27"/>
      <c r="H10" s="35"/>
    </row>
    <row r="11" spans="1:8" ht="19.5" thickTop="1" x14ac:dyDescent="0.3">
      <c r="D11" s="4">
        <f>SUM(D7:D10)</f>
        <v>26561</v>
      </c>
      <c r="H11" s="33">
        <f>SUM(H7:H10)</f>
        <v>4241</v>
      </c>
    </row>
    <row r="13" spans="1:8" ht="18.75" x14ac:dyDescent="0.3">
      <c r="C13" t="s">
        <v>4</v>
      </c>
      <c r="D13" s="4">
        <f>D3-D11</f>
        <v>44839</v>
      </c>
      <c r="G13" t="s">
        <v>5</v>
      </c>
      <c r="H13" s="4">
        <f>H3-H11</f>
        <v>7159</v>
      </c>
    </row>
    <row r="15" spans="1:8" x14ac:dyDescent="0.25">
      <c r="G15" t="s">
        <v>454</v>
      </c>
    </row>
    <row r="16" spans="1:8" ht="15.75" x14ac:dyDescent="0.25">
      <c r="A16" t="s">
        <v>6</v>
      </c>
      <c r="C16" s="8">
        <f>D13</f>
        <v>44839</v>
      </c>
      <c r="E16" t="s">
        <v>10</v>
      </c>
      <c r="H16" s="6">
        <f>C25</f>
        <v>37394.400000000001</v>
      </c>
    </row>
    <row r="18" spans="1:8" ht="15.75" x14ac:dyDescent="0.25">
      <c r="A18" t="s">
        <v>5</v>
      </c>
      <c r="B18" s="9" t="s">
        <v>7</v>
      </c>
      <c r="C18" s="8">
        <f>H13</f>
        <v>7159</v>
      </c>
      <c r="E18" s="13" t="s">
        <v>11</v>
      </c>
      <c r="F18" s="9" t="s">
        <v>12</v>
      </c>
      <c r="G18" s="15" t="s">
        <v>17</v>
      </c>
      <c r="H18" s="3">
        <f>-(F19*0.0077)</f>
        <v>-462</v>
      </c>
    </row>
    <row r="19" spans="1:8" x14ac:dyDescent="0.25">
      <c r="F19" s="21">
        <f>D3-H3</f>
        <v>60000</v>
      </c>
    </row>
    <row r="20" spans="1:8" ht="16.5" thickBot="1" x14ac:dyDescent="0.3">
      <c r="A20" t="s">
        <v>8</v>
      </c>
      <c r="B20" s="9" t="s">
        <v>7</v>
      </c>
      <c r="C20" s="8">
        <f>D3*0.004</f>
        <v>285.60000000000002</v>
      </c>
      <c r="F20" s="9" t="s">
        <v>13</v>
      </c>
      <c r="G20" s="16">
        <v>0.35</v>
      </c>
      <c r="H20" s="17">
        <f>-(F21*0.35)</f>
        <v>-13088.039999999999</v>
      </c>
    </row>
    <row r="21" spans="1:8" x14ac:dyDescent="0.25">
      <c r="F21" s="21">
        <f>H16</f>
        <v>37394.400000000001</v>
      </c>
    </row>
    <row r="22" spans="1:8" ht="15.75" x14ac:dyDescent="0.25">
      <c r="A22" t="s">
        <v>9</v>
      </c>
      <c r="B22" s="9" t="s">
        <v>7</v>
      </c>
      <c r="C22" s="10"/>
      <c r="G22" s="13" t="s">
        <v>14</v>
      </c>
      <c r="H22" s="6">
        <f>H16+H18+H20</f>
        <v>23844.36</v>
      </c>
    </row>
    <row r="23" spans="1:8" ht="15.75" thickBot="1" x14ac:dyDescent="0.3">
      <c r="A23" s="16"/>
      <c r="B23" s="14"/>
      <c r="C23" s="7"/>
    </row>
    <row r="24" spans="1:8" x14ac:dyDescent="0.25">
      <c r="E24" t="s">
        <v>100</v>
      </c>
      <c r="H24" s="20">
        <f>H22*0.4</f>
        <v>9537.7440000000006</v>
      </c>
    </row>
    <row r="25" spans="1:8" ht="15.75" x14ac:dyDescent="0.25">
      <c r="A25" t="s">
        <v>10</v>
      </c>
      <c r="C25" s="10">
        <f>C16-C18-C20-C22</f>
        <v>37394.400000000001</v>
      </c>
      <c r="H25" s="18"/>
    </row>
    <row r="26" spans="1:8" x14ac:dyDescent="0.25">
      <c r="H26" s="3"/>
    </row>
    <row r="27" spans="1:8" x14ac:dyDescent="0.25">
      <c r="H27" s="18"/>
    </row>
    <row r="28" spans="1:8" x14ac:dyDescent="0.25">
      <c r="G28" t="s">
        <v>232</v>
      </c>
    </row>
  </sheetData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2A889-331E-464A-8945-F86D7AEEA7F0}">
  <dimension ref="A1:H28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528</v>
      </c>
    </row>
    <row r="3" spans="1:8" ht="21" x14ac:dyDescent="0.35">
      <c r="A3" s="2" t="s">
        <v>1</v>
      </c>
      <c r="D3" s="11">
        <v>47600</v>
      </c>
      <c r="F3" s="12" t="s">
        <v>3</v>
      </c>
      <c r="H3" s="11">
        <v>7600</v>
      </c>
    </row>
    <row r="4" spans="1:8" x14ac:dyDescent="0.25">
      <c r="A4" s="13" t="s">
        <v>29</v>
      </c>
      <c r="C4" s="28">
        <v>634</v>
      </c>
    </row>
    <row r="5" spans="1:8" ht="21" x14ac:dyDescent="0.35">
      <c r="A5" s="2" t="s">
        <v>2</v>
      </c>
    </row>
    <row r="7" spans="1:8" ht="18.75" x14ac:dyDescent="0.3">
      <c r="A7" s="5"/>
      <c r="D7" s="4"/>
      <c r="H7" s="4"/>
    </row>
    <row r="8" spans="1:8" ht="18.75" x14ac:dyDescent="0.3">
      <c r="A8" s="5" t="s">
        <v>310</v>
      </c>
      <c r="D8" s="4">
        <v>29750</v>
      </c>
      <c r="H8" s="4">
        <v>4750</v>
      </c>
    </row>
    <row r="9" spans="1:8" ht="18.75" x14ac:dyDescent="0.3">
      <c r="A9" s="5"/>
      <c r="D9" s="4"/>
      <c r="H9" s="4"/>
    </row>
    <row r="10" spans="1:8" ht="19.5" thickBot="1" x14ac:dyDescent="0.35">
      <c r="A10" s="5"/>
      <c r="D10" s="35"/>
      <c r="E10" s="27"/>
      <c r="H10" s="35"/>
    </row>
    <row r="11" spans="1:8" ht="19.5" thickTop="1" x14ac:dyDescent="0.3">
      <c r="D11" s="4">
        <f>SUM(D7:D10)</f>
        <v>29750</v>
      </c>
      <c r="H11" s="33">
        <f>SUM(H7:H10)</f>
        <v>4750</v>
      </c>
    </row>
    <row r="13" spans="1:8" ht="18.75" x14ac:dyDescent="0.3">
      <c r="C13" t="s">
        <v>4</v>
      </c>
      <c r="D13" s="4">
        <f>D3-D11</f>
        <v>17850</v>
      </c>
      <c r="G13" t="s">
        <v>5</v>
      </c>
      <c r="H13" s="4">
        <f>H3-H11</f>
        <v>2850</v>
      </c>
    </row>
    <row r="15" spans="1:8" x14ac:dyDescent="0.25">
      <c r="G15" t="s">
        <v>454</v>
      </c>
    </row>
    <row r="16" spans="1:8" ht="15.75" x14ac:dyDescent="0.25">
      <c r="A16" t="s">
        <v>6</v>
      </c>
      <c r="C16" s="8">
        <f>D13</f>
        <v>17850</v>
      </c>
      <c r="E16" t="s">
        <v>10</v>
      </c>
      <c r="H16" s="6">
        <f>C25</f>
        <v>14809.6</v>
      </c>
    </row>
    <row r="18" spans="1:8" ht="15.75" x14ac:dyDescent="0.25">
      <c r="A18" t="s">
        <v>5</v>
      </c>
      <c r="B18" s="9" t="s">
        <v>7</v>
      </c>
      <c r="C18" s="8">
        <f>H13</f>
        <v>2850</v>
      </c>
      <c r="E18" s="13" t="s">
        <v>11</v>
      </c>
      <c r="F18" s="9" t="s">
        <v>12</v>
      </c>
      <c r="G18" s="15" t="s">
        <v>17</v>
      </c>
      <c r="H18" s="3">
        <f>-(F19*0.0077)</f>
        <v>-308</v>
      </c>
    </row>
    <row r="19" spans="1:8" x14ac:dyDescent="0.25">
      <c r="F19" s="21">
        <f>D3-H3</f>
        <v>40000</v>
      </c>
    </row>
    <row r="20" spans="1:8" ht="16.5" thickBot="1" x14ac:dyDescent="0.3">
      <c r="A20" t="s">
        <v>8</v>
      </c>
      <c r="B20" s="9" t="s">
        <v>7</v>
      </c>
      <c r="C20" s="8">
        <f>D3*0.004</f>
        <v>190.4</v>
      </c>
      <c r="F20" s="9" t="s">
        <v>13</v>
      </c>
      <c r="G20" s="16">
        <v>0.35</v>
      </c>
      <c r="H20" s="17">
        <f>-(F21*0.35)</f>
        <v>-5183.3599999999997</v>
      </c>
    </row>
    <row r="21" spans="1:8" x14ac:dyDescent="0.25">
      <c r="F21" s="21">
        <f>H16</f>
        <v>14809.6</v>
      </c>
    </row>
    <row r="22" spans="1:8" ht="15.75" x14ac:dyDescent="0.25">
      <c r="A22" t="s">
        <v>9</v>
      </c>
      <c r="B22" s="9" t="s">
        <v>7</v>
      </c>
      <c r="C22" s="10"/>
      <c r="G22" s="13" t="s">
        <v>14</v>
      </c>
      <c r="H22" s="6">
        <f>H16+H18+H20</f>
        <v>9318.2400000000016</v>
      </c>
    </row>
    <row r="23" spans="1:8" ht="15.75" thickBot="1" x14ac:dyDescent="0.3">
      <c r="A23" s="16"/>
      <c r="B23" s="14"/>
      <c r="C23" s="7"/>
    </row>
    <row r="24" spans="1:8" x14ac:dyDescent="0.25">
      <c r="E24" t="s">
        <v>100</v>
      </c>
      <c r="H24" s="20">
        <f>H22*0.4</f>
        <v>3727.2960000000007</v>
      </c>
    </row>
    <row r="25" spans="1:8" ht="15.75" x14ac:dyDescent="0.25">
      <c r="A25" t="s">
        <v>10</v>
      </c>
      <c r="C25" s="10">
        <f>C16-C18-C20-C22</f>
        <v>14809.6</v>
      </c>
      <c r="H25" s="18"/>
    </row>
    <row r="26" spans="1:8" x14ac:dyDescent="0.25">
      <c r="H26" s="3"/>
    </row>
    <row r="27" spans="1:8" x14ac:dyDescent="0.25">
      <c r="H27" s="18"/>
    </row>
    <row r="28" spans="1:8" x14ac:dyDescent="0.25">
      <c r="G28" t="s">
        <v>232</v>
      </c>
    </row>
  </sheetData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AEFBE-EA9A-4A75-B27C-2BC79C47E844}">
  <dimension ref="A1:H28"/>
  <sheetViews>
    <sheetView workbookViewId="0">
      <selection activeCell="E14" sqref="E14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529</v>
      </c>
    </row>
    <row r="3" spans="1:8" ht="21" x14ac:dyDescent="0.35">
      <c r="A3" s="2" t="s">
        <v>1</v>
      </c>
      <c r="D3" s="11">
        <v>547400</v>
      </c>
      <c r="F3" s="12" t="s">
        <v>3</v>
      </c>
      <c r="H3" s="11">
        <v>87400</v>
      </c>
    </row>
    <row r="4" spans="1:8" x14ac:dyDescent="0.25">
      <c r="A4" s="13" t="s">
        <v>29</v>
      </c>
      <c r="C4" s="28">
        <v>636</v>
      </c>
    </row>
    <row r="5" spans="1:8" ht="21" x14ac:dyDescent="0.35">
      <c r="A5" s="2" t="s">
        <v>2</v>
      </c>
    </row>
    <row r="7" spans="1:8" ht="18.75" x14ac:dyDescent="0.3">
      <c r="A7" s="5"/>
      <c r="D7" s="4"/>
      <c r="H7" s="4"/>
    </row>
    <row r="8" spans="1:8" ht="18.75" x14ac:dyDescent="0.3">
      <c r="A8" s="5" t="s">
        <v>310</v>
      </c>
      <c r="D8" s="4">
        <v>365000</v>
      </c>
      <c r="H8" s="4">
        <v>58277</v>
      </c>
    </row>
    <row r="9" spans="1:8" ht="18.75" x14ac:dyDescent="0.3">
      <c r="A9" s="5"/>
      <c r="D9" s="4"/>
      <c r="H9" s="4"/>
    </row>
    <row r="10" spans="1:8" ht="19.5" thickBot="1" x14ac:dyDescent="0.35">
      <c r="A10" s="5"/>
      <c r="D10" s="35"/>
      <c r="E10" s="27"/>
      <c r="H10" s="35"/>
    </row>
    <row r="11" spans="1:8" ht="19.5" thickTop="1" x14ac:dyDescent="0.3">
      <c r="D11" s="4">
        <f>SUM(D7:D10)</f>
        <v>365000</v>
      </c>
      <c r="H11" s="33">
        <f>SUM(H7:H10)</f>
        <v>58277</v>
      </c>
    </row>
    <row r="13" spans="1:8" ht="18.75" x14ac:dyDescent="0.3">
      <c r="C13" t="s">
        <v>4</v>
      </c>
      <c r="D13" s="4">
        <f>D3-D11</f>
        <v>182400</v>
      </c>
      <c r="G13" t="s">
        <v>5</v>
      </c>
      <c r="H13" s="4">
        <f>H3-H11</f>
        <v>29123</v>
      </c>
    </row>
    <row r="15" spans="1:8" x14ac:dyDescent="0.25">
      <c r="G15" t="s">
        <v>454</v>
      </c>
    </row>
    <row r="16" spans="1:8" ht="15.75" x14ac:dyDescent="0.25">
      <c r="A16" t="s">
        <v>6</v>
      </c>
      <c r="C16" s="8">
        <f>D13</f>
        <v>182400</v>
      </c>
      <c r="E16" t="s">
        <v>10</v>
      </c>
      <c r="H16" s="6">
        <f>C25</f>
        <v>151087.4</v>
      </c>
    </row>
    <row r="18" spans="1:8" ht="15.75" x14ac:dyDescent="0.25">
      <c r="A18" t="s">
        <v>5</v>
      </c>
      <c r="B18" s="9" t="s">
        <v>7</v>
      </c>
      <c r="C18" s="8">
        <f>H13</f>
        <v>29123</v>
      </c>
      <c r="E18" s="13" t="s">
        <v>11</v>
      </c>
      <c r="F18" s="9" t="s">
        <v>12</v>
      </c>
      <c r="G18" s="15" t="s">
        <v>17</v>
      </c>
      <c r="H18" s="3">
        <f>-(F19*0.0077)</f>
        <v>-3542</v>
      </c>
    </row>
    <row r="19" spans="1:8" x14ac:dyDescent="0.25">
      <c r="F19" s="21">
        <f>D3-H3</f>
        <v>460000</v>
      </c>
    </row>
    <row r="20" spans="1:8" ht="16.5" thickBot="1" x14ac:dyDescent="0.3">
      <c r="A20" t="s">
        <v>8</v>
      </c>
      <c r="B20" s="9" t="s">
        <v>7</v>
      </c>
      <c r="C20" s="8">
        <f>D3*0.004</f>
        <v>2189.6</v>
      </c>
      <c r="F20" s="9" t="s">
        <v>13</v>
      </c>
      <c r="G20" s="16">
        <v>0.35</v>
      </c>
      <c r="H20" s="17">
        <f>-(F21*0.35)</f>
        <v>-52880.59</v>
      </c>
    </row>
    <row r="21" spans="1:8" x14ac:dyDescent="0.25">
      <c r="F21" s="21">
        <f>H16</f>
        <v>151087.4</v>
      </c>
    </row>
    <row r="22" spans="1:8" ht="15.75" x14ac:dyDescent="0.25">
      <c r="A22" t="s">
        <v>9</v>
      </c>
      <c r="B22" s="9" t="s">
        <v>7</v>
      </c>
      <c r="C22" s="10"/>
      <c r="G22" s="13" t="s">
        <v>14</v>
      </c>
      <c r="H22" s="6">
        <f>H16+H18+H20</f>
        <v>94664.81</v>
      </c>
    </row>
    <row r="23" spans="1:8" ht="15.75" thickBot="1" x14ac:dyDescent="0.3">
      <c r="A23" s="16"/>
      <c r="B23" s="14"/>
      <c r="C23" s="7"/>
    </row>
    <row r="24" spans="1:8" x14ac:dyDescent="0.25">
      <c r="E24" t="s">
        <v>100</v>
      </c>
      <c r="H24" s="20">
        <f>H22*0.4</f>
        <v>37865.923999999999</v>
      </c>
    </row>
    <row r="25" spans="1:8" ht="15.75" x14ac:dyDescent="0.25">
      <c r="A25" t="s">
        <v>10</v>
      </c>
      <c r="C25" s="10">
        <f>C16-C18-C20-C22</f>
        <v>151087.4</v>
      </c>
      <c r="H25" s="18"/>
    </row>
    <row r="26" spans="1:8" x14ac:dyDescent="0.25">
      <c r="H26" s="3"/>
    </row>
    <row r="27" spans="1:8" x14ac:dyDescent="0.25">
      <c r="H27" s="18"/>
    </row>
    <row r="28" spans="1:8" x14ac:dyDescent="0.25">
      <c r="G28" t="s">
        <v>232</v>
      </c>
    </row>
  </sheetData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FDE3C-84C4-43ED-819A-5FB9C257F706}">
  <dimension ref="A1:H28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530</v>
      </c>
    </row>
    <row r="3" spans="1:8" ht="21" x14ac:dyDescent="0.35">
      <c r="A3" s="2" t="s">
        <v>1</v>
      </c>
      <c r="D3" s="11">
        <v>273700</v>
      </c>
      <c r="F3" s="12" t="s">
        <v>3</v>
      </c>
      <c r="H3" s="11">
        <v>43700</v>
      </c>
    </row>
    <row r="4" spans="1:8" x14ac:dyDescent="0.25">
      <c r="A4" s="13" t="s">
        <v>29</v>
      </c>
      <c r="C4" s="28">
        <v>641</v>
      </c>
    </row>
    <row r="5" spans="1:8" ht="21" x14ac:dyDescent="0.35">
      <c r="A5" s="2" t="s">
        <v>2</v>
      </c>
    </row>
    <row r="7" spans="1:8" ht="18.75" x14ac:dyDescent="0.3">
      <c r="A7" s="5"/>
      <c r="D7" s="4"/>
      <c r="H7" s="4"/>
    </row>
    <row r="8" spans="1:8" ht="18.75" x14ac:dyDescent="0.3">
      <c r="A8" s="5" t="s">
        <v>310</v>
      </c>
      <c r="D8" s="4">
        <v>182500</v>
      </c>
      <c r="H8" s="4">
        <v>29140</v>
      </c>
    </row>
    <row r="9" spans="1:8" ht="18.75" x14ac:dyDescent="0.3">
      <c r="A9" s="5"/>
      <c r="D9" s="4"/>
      <c r="H9" s="4"/>
    </row>
    <row r="10" spans="1:8" ht="19.5" thickBot="1" x14ac:dyDescent="0.35">
      <c r="A10" s="5"/>
      <c r="D10" s="35"/>
      <c r="E10" s="27"/>
      <c r="H10" s="35"/>
    </row>
    <row r="11" spans="1:8" ht="19.5" thickTop="1" x14ac:dyDescent="0.3">
      <c r="D11" s="4">
        <f>SUM(D7:D10)</f>
        <v>182500</v>
      </c>
      <c r="H11" s="33">
        <f>SUM(H7:H10)</f>
        <v>29140</v>
      </c>
    </row>
    <row r="13" spans="1:8" ht="18.75" x14ac:dyDescent="0.3">
      <c r="C13" t="s">
        <v>4</v>
      </c>
      <c r="D13" s="4">
        <f>D3-D11</f>
        <v>91200</v>
      </c>
      <c r="G13" t="s">
        <v>5</v>
      </c>
      <c r="H13" s="4">
        <f>H3-H11</f>
        <v>14560</v>
      </c>
    </row>
    <row r="15" spans="1:8" x14ac:dyDescent="0.25">
      <c r="G15" t="s">
        <v>454</v>
      </c>
    </row>
    <row r="16" spans="1:8" ht="15.75" x14ac:dyDescent="0.25">
      <c r="A16" t="s">
        <v>6</v>
      </c>
      <c r="C16" s="8">
        <f>D13</f>
        <v>91200</v>
      </c>
      <c r="E16" t="s">
        <v>10</v>
      </c>
      <c r="H16" s="6">
        <f>C25</f>
        <v>75545.2</v>
      </c>
    </row>
    <row r="18" spans="1:8" ht="15.75" x14ac:dyDescent="0.25">
      <c r="A18" t="s">
        <v>5</v>
      </c>
      <c r="B18" s="9" t="s">
        <v>7</v>
      </c>
      <c r="C18" s="8">
        <f>H13</f>
        <v>14560</v>
      </c>
      <c r="E18" s="13" t="s">
        <v>11</v>
      </c>
      <c r="F18" s="9" t="s">
        <v>12</v>
      </c>
      <c r="G18" s="15" t="s">
        <v>17</v>
      </c>
      <c r="H18" s="3">
        <f>-(F19*0.0077)</f>
        <v>-1771</v>
      </c>
    </row>
    <row r="19" spans="1:8" x14ac:dyDescent="0.25">
      <c r="F19" s="21">
        <f>D3-H3</f>
        <v>230000</v>
      </c>
    </row>
    <row r="20" spans="1:8" ht="16.5" thickBot="1" x14ac:dyDescent="0.3">
      <c r="A20" t="s">
        <v>8</v>
      </c>
      <c r="B20" s="9" t="s">
        <v>7</v>
      </c>
      <c r="C20" s="8">
        <f>D3*0.004</f>
        <v>1094.8</v>
      </c>
      <c r="F20" s="9" t="s">
        <v>13</v>
      </c>
      <c r="G20" s="16">
        <v>0.35</v>
      </c>
      <c r="H20" s="17">
        <f>-(F21*0.35)</f>
        <v>-26440.819999999996</v>
      </c>
    </row>
    <row r="21" spans="1:8" x14ac:dyDescent="0.25">
      <c r="F21" s="21">
        <f>H16</f>
        <v>75545.2</v>
      </c>
    </row>
    <row r="22" spans="1:8" ht="15.75" x14ac:dyDescent="0.25">
      <c r="A22" t="s">
        <v>9</v>
      </c>
      <c r="B22" s="9" t="s">
        <v>7</v>
      </c>
      <c r="C22" s="10"/>
      <c r="G22" s="13" t="s">
        <v>14</v>
      </c>
      <c r="H22" s="6">
        <f>H16+H18+H20</f>
        <v>47333.380000000005</v>
      </c>
    </row>
    <row r="23" spans="1:8" ht="15.75" thickBot="1" x14ac:dyDescent="0.3">
      <c r="A23" s="16"/>
      <c r="B23" s="14"/>
      <c r="C23" s="7"/>
    </row>
    <row r="24" spans="1:8" x14ac:dyDescent="0.25">
      <c r="E24" t="s">
        <v>100</v>
      </c>
      <c r="H24" s="20">
        <f>H22*0.4</f>
        <v>18933.352000000003</v>
      </c>
    </row>
    <row r="25" spans="1:8" ht="15.75" x14ac:dyDescent="0.25">
      <c r="A25" t="s">
        <v>10</v>
      </c>
      <c r="C25" s="10">
        <f>C16-C18-C20-C22</f>
        <v>75545.2</v>
      </c>
      <c r="H25" s="18"/>
    </row>
    <row r="26" spans="1:8" x14ac:dyDescent="0.25">
      <c r="H26" s="3"/>
    </row>
    <row r="27" spans="1:8" x14ac:dyDescent="0.25">
      <c r="H27" s="18"/>
    </row>
    <row r="28" spans="1:8" x14ac:dyDescent="0.25">
      <c r="G28" t="s">
        <v>232</v>
      </c>
    </row>
  </sheetData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99F0E-7E93-4702-AECB-E9C51146E87F}">
  <dimension ref="A1:H28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531</v>
      </c>
    </row>
    <row r="3" spans="1:8" ht="21" x14ac:dyDescent="0.35">
      <c r="A3" s="2" t="s">
        <v>1</v>
      </c>
      <c r="D3" s="11">
        <v>548114</v>
      </c>
      <c r="F3" s="12" t="s">
        <v>3</v>
      </c>
      <c r="H3" s="11">
        <v>87514</v>
      </c>
    </row>
    <row r="4" spans="1:8" x14ac:dyDescent="0.25">
      <c r="A4" s="13" t="s">
        <v>29</v>
      </c>
      <c r="C4" s="28">
        <v>644</v>
      </c>
    </row>
    <row r="5" spans="1:8" ht="21" x14ac:dyDescent="0.35">
      <c r="A5" s="2" t="s">
        <v>2</v>
      </c>
    </row>
    <row r="7" spans="1:8" ht="18.75" x14ac:dyDescent="0.3">
      <c r="A7" s="5"/>
      <c r="D7" s="4"/>
      <c r="H7" s="4"/>
    </row>
    <row r="8" spans="1:8" ht="18.75" x14ac:dyDescent="0.3">
      <c r="A8" s="5" t="s">
        <v>532</v>
      </c>
      <c r="D8" s="4">
        <v>279395</v>
      </c>
      <c r="H8" s="4">
        <v>44609</v>
      </c>
    </row>
    <row r="9" spans="1:8" ht="18.75" x14ac:dyDescent="0.3">
      <c r="A9" s="5" t="s">
        <v>488</v>
      </c>
      <c r="D9" s="4">
        <v>125064</v>
      </c>
      <c r="H9" s="4">
        <v>19968</v>
      </c>
    </row>
    <row r="10" spans="1:8" ht="19.5" thickBot="1" x14ac:dyDescent="0.35">
      <c r="A10" s="5"/>
      <c r="D10" s="35"/>
      <c r="E10" s="27"/>
      <c r="H10" s="35"/>
    </row>
    <row r="11" spans="1:8" ht="19.5" thickTop="1" x14ac:dyDescent="0.3">
      <c r="D11" s="4">
        <f>SUM(D7:D10)</f>
        <v>404459</v>
      </c>
      <c r="H11" s="33">
        <f>SUM(H7:H10)</f>
        <v>64577</v>
      </c>
    </row>
    <row r="13" spans="1:8" ht="18.75" x14ac:dyDescent="0.3">
      <c r="C13" t="s">
        <v>4</v>
      </c>
      <c r="D13" s="4">
        <f>D3-D11</f>
        <v>143655</v>
      </c>
      <c r="G13" t="s">
        <v>5</v>
      </c>
      <c r="H13" s="4">
        <f>H3-H11</f>
        <v>22937</v>
      </c>
    </row>
    <row r="15" spans="1:8" x14ac:dyDescent="0.25">
      <c r="G15" t="s">
        <v>454</v>
      </c>
    </row>
    <row r="16" spans="1:8" ht="15.75" x14ac:dyDescent="0.25">
      <c r="A16" t="s">
        <v>6</v>
      </c>
      <c r="C16" s="8">
        <f>D13</f>
        <v>143655</v>
      </c>
      <c r="E16" t="s">
        <v>10</v>
      </c>
      <c r="H16" s="6">
        <f>C25</f>
        <v>118525.54399999999</v>
      </c>
    </row>
    <row r="18" spans="1:8" ht="15.75" x14ac:dyDescent="0.25">
      <c r="A18" t="s">
        <v>5</v>
      </c>
      <c r="B18" s="9" t="s">
        <v>7</v>
      </c>
      <c r="C18" s="8">
        <f>H13</f>
        <v>22937</v>
      </c>
      <c r="E18" s="13" t="s">
        <v>11</v>
      </c>
      <c r="F18" s="9" t="s">
        <v>12</v>
      </c>
      <c r="G18" s="15" t="s">
        <v>17</v>
      </c>
      <c r="H18" s="3">
        <f>-(F19*0.0077)</f>
        <v>-3546.62</v>
      </c>
    </row>
    <row r="19" spans="1:8" x14ac:dyDescent="0.25">
      <c r="F19" s="21">
        <f>D3-H3</f>
        <v>460600</v>
      </c>
    </row>
    <row r="20" spans="1:8" ht="16.5" thickBot="1" x14ac:dyDescent="0.3">
      <c r="A20" t="s">
        <v>8</v>
      </c>
      <c r="B20" s="9" t="s">
        <v>7</v>
      </c>
      <c r="C20" s="8">
        <f>D3*0.004</f>
        <v>2192.4560000000001</v>
      </c>
      <c r="F20" s="9" t="s">
        <v>13</v>
      </c>
      <c r="G20" s="16">
        <v>0.35</v>
      </c>
      <c r="H20" s="17">
        <f>-(F21*0.35)</f>
        <v>-41483.940399999992</v>
      </c>
    </row>
    <row r="21" spans="1:8" x14ac:dyDescent="0.25">
      <c r="F21" s="21">
        <f>H16</f>
        <v>118525.54399999999</v>
      </c>
    </row>
    <row r="22" spans="1:8" ht="15.75" x14ac:dyDescent="0.25">
      <c r="A22" t="s">
        <v>9</v>
      </c>
      <c r="B22" s="9" t="s">
        <v>7</v>
      </c>
      <c r="C22" s="10"/>
      <c r="G22" s="13" t="s">
        <v>14</v>
      </c>
      <c r="H22" s="6">
        <f>H16+H18+H20</f>
        <v>73494.983600000007</v>
      </c>
    </row>
    <row r="23" spans="1:8" ht="15.75" thickBot="1" x14ac:dyDescent="0.3">
      <c r="A23" s="16"/>
      <c r="B23" s="14"/>
      <c r="C23" s="7"/>
    </row>
    <row r="24" spans="1:8" x14ac:dyDescent="0.25">
      <c r="E24" t="s">
        <v>100</v>
      </c>
      <c r="H24" s="20">
        <f>H22*0.4</f>
        <v>29397.993440000006</v>
      </c>
    </row>
    <row r="25" spans="1:8" ht="15.75" x14ac:dyDescent="0.25">
      <c r="A25" t="s">
        <v>10</v>
      </c>
      <c r="C25" s="10">
        <f>C16-C18-C20-C22</f>
        <v>118525.54399999999</v>
      </c>
      <c r="H25" s="18"/>
    </row>
    <row r="26" spans="1:8" x14ac:dyDescent="0.25">
      <c r="H26" s="3"/>
    </row>
    <row r="27" spans="1:8" x14ac:dyDescent="0.25">
      <c r="H27" s="18"/>
    </row>
    <row r="28" spans="1:8" x14ac:dyDescent="0.25">
      <c r="G28" t="s">
        <v>232</v>
      </c>
    </row>
  </sheetData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D3601-D62F-4E5C-A478-779DFACA0125}">
  <dimension ref="A1:H28"/>
  <sheetViews>
    <sheetView topLeftCell="A4" workbookViewId="0">
      <selection activeCell="A4"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529</v>
      </c>
    </row>
    <row r="3" spans="1:8" ht="21" x14ac:dyDescent="0.35">
      <c r="A3" s="2" t="s">
        <v>1</v>
      </c>
      <c r="D3" s="11">
        <v>428162</v>
      </c>
      <c r="F3" s="12" t="s">
        <v>3</v>
      </c>
      <c r="H3" s="11">
        <v>68362</v>
      </c>
    </row>
    <row r="4" spans="1:8" x14ac:dyDescent="0.25">
      <c r="A4" s="13" t="s">
        <v>29</v>
      </c>
      <c r="C4" s="28">
        <v>646</v>
      </c>
    </row>
    <row r="5" spans="1:8" ht="21" x14ac:dyDescent="0.35">
      <c r="A5" s="2" t="s">
        <v>2</v>
      </c>
    </row>
    <row r="7" spans="1:8" ht="18.75" x14ac:dyDescent="0.3">
      <c r="A7" s="5"/>
      <c r="D7" s="4"/>
      <c r="H7" s="4"/>
    </row>
    <row r="8" spans="1:8" ht="18.75" x14ac:dyDescent="0.3">
      <c r="A8" s="5" t="s">
        <v>533</v>
      </c>
      <c r="D8" s="4">
        <v>78540</v>
      </c>
      <c r="H8" s="4">
        <v>12540</v>
      </c>
    </row>
    <row r="9" spans="1:8" ht="18.75" x14ac:dyDescent="0.3">
      <c r="A9" s="5" t="s">
        <v>167</v>
      </c>
      <c r="D9" s="4">
        <v>182500</v>
      </c>
      <c r="H9" s="4">
        <v>29138</v>
      </c>
    </row>
    <row r="10" spans="1:8" ht="19.5" thickBot="1" x14ac:dyDescent="0.35">
      <c r="A10" s="5"/>
      <c r="D10" s="35"/>
      <c r="E10" s="27"/>
      <c r="H10" s="35"/>
    </row>
    <row r="11" spans="1:8" ht="19.5" thickTop="1" x14ac:dyDescent="0.3">
      <c r="D11" s="4">
        <f>SUM(D7:D10)</f>
        <v>261040</v>
      </c>
      <c r="H11" s="33">
        <f>SUM(H7:H10)</f>
        <v>41678</v>
      </c>
    </row>
    <row r="13" spans="1:8" ht="18.75" x14ac:dyDescent="0.3">
      <c r="C13" t="s">
        <v>4</v>
      </c>
      <c r="D13" s="4">
        <f>D3-D11</f>
        <v>167122</v>
      </c>
      <c r="G13" t="s">
        <v>5</v>
      </c>
      <c r="H13" s="4">
        <f>H3-H11</f>
        <v>26684</v>
      </c>
    </row>
    <row r="15" spans="1:8" x14ac:dyDescent="0.25">
      <c r="G15" t="s">
        <v>454</v>
      </c>
    </row>
    <row r="16" spans="1:8" ht="15.75" x14ac:dyDescent="0.25">
      <c r="A16" t="s">
        <v>6</v>
      </c>
      <c r="C16" s="8">
        <f>D13</f>
        <v>167122</v>
      </c>
      <c r="E16" t="s">
        <v>10</v>
      </c>
      <c r="H16" s="6">
        <f>C25</f>
        <v>138725.35200000001</v>
      </c>
    </row>
    <row r="18" spans="1:8" ht="15.75" x14ac:dyDescent="0.25">
      <c r="A18" t="s">
        <v>5</v>
      </c>
      <c r="B18" s="9" t="s">
        <v>7</v>
      </c>
      <c r="C18" s="8">
        <f>H13</f>
        <v>26684</v>
      </c>
      <c r="E18" s="13" t="s">
        <v>11</v>
      </c>
      <c r="F18" s="9" t="s">
        <v>12</v>
      </c>
      <c r="G18" s="15" t="s">
        <v>17</v>
      </c>
      <c r="H18" s="3">
        <f>-(F19*0.0077)</f>
        <v>-2770.46</v>
      </c>
    </row>
    <row r="19" spans="1:8" x14ac:dyDescent="0.25">
      <c r="F19" s="21">
        <f>D3-H3</f>
        <v>359800</v>
      </c>
    </row>
    <row r="20" spans="1:8" ht="16.5" thickBot="1" x14ac:dyDescent="0.3">
      <c r="A20" t="s">
        <v>8</v>
      </c>
      <c r="B20" s="9" t="s">
        <v>7</v>
      </c>
      <c r="C20" s="8">
        <f>D3*0.004</f>
        <v>1712.6480000000001</v>
      </c>
      <c r="F20" s="9" t="s">
        <v>13</v>
      </c>
      <c r="G20" s="16">
        <v>0.35</v>
      </c>
      <c r="H20" s="17">
        <f>-(F21*0.35)</f>
        <v>-48553.873200000002</v>
      </c>
    </row>
    <row r="21" spans="1:8" x14ac:dyDescent="0.25">
      <c r="F21" s="21">
        <f>H16</f>
        <v>138725.35200000001</v>
      </c>
    </row>
    <row r="22" spans="1:8" ht="15.75" x14ac:dyDescent="0.25">
      <c r="A22" t="s">
        <v>9</v>
      </c>
      <c r="B22" s="9" t="s">
        <v>7</v>
      </c>
      <c r="C22" s="10"/>
      <c r="G22" s="13" t="s">
        <v>14</v>
      </c>
      <c r="H22" s="6">
        <f>H16+H18+H20</f>
        <v>87401.01880000002</v>
      </c>
    </row>
    <row r="23" spans="1:8" ht="15.75" thickBot="1" x14ac:dyDescent="0.3">
      <c r="A23" s="16"/>
      <c r="B23" s="14"/>
      <c r="C23" s="7"/>
    </row>
    <row r="24" spans="1:8" x14ac:dyDescent="0.25">
      <c r="E24" t="s">
        <v>100</v>
      </c>
      <c r="H24" s="20">
        <f>H22*0.4</f>
        <v>34960.407520000008</v>
      </c>
    </row>
    <row r="25" spans="1:8" ht="15.75" x14ac:dyDescent="0.25">
      <c r="A25" t="s">
        <v>10</v>
      </c>
      <c r="C25" s="10">
        <f>C16-C18-C20-C22</f>
        <v>138725.35200000001</v>
      </c>
      <c r="H25" s="18"/>
    </row>
    <row r="26" spans="1:8" x14ac:dyDescent="0.25">
      <c r="H26" s="3"/>
    </row>
    <row r="27" spans="1:8" x14ac:dyDescent="0.25">
      <c r="H27" s="18"/>
    </row>
    <row r="28" spans="1:8" x14ac:dyDescent="0.25">
      <c r="G28" t="s">
        <v>232</v>
      </c>
    </row>
  </sheetData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11A18-0345-4A6E-870F-FEE5B1D4FDF9}">
  <dimension ref="A1:H27"/>
  <sheetViews>
    <sheetView workbookViewId="0">
      <selection activeCell="D3" sqref="D3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534</v>
      </c>
    </row>
    <row r="3" spans="1:8" ht="21" x14ac:dyDescent="0.35">
      <c r="A3" s="2" t="s">
        <v>1</v>
      </c>
      <c r="D3" s="11">
        <v>46648</v>
      </c>
      <c r="F3" s="12" t="s">
        <v>3</v>
      </c>
      <c r="H3" s="11">
        <v>7448</v>
      </c>
    </row>
    <row r="4" spans="1:8" x14ac:dyDescent="0.25">
      <c r="A4" s="13" t="s">
        <v>29</v>
      </c>
      <c r="C4" s="28">
        <v>650</v>
      </c>
    </row>
    <row r="5" spans="1:8" ht="21" x14ac:dyDescent="0.35">
      <c r="A5" s="2" t="s">
        <v>2</v>
      </c>
    </row>
    <row r="7" spans="1:8" ht="18.75" x14ac:dyDescent="0.3">
      <c r="A7" s="5"/>
      <c r="D7" s="4"/>
      <c r="H7" s="4"/>
    </row>
    <row r="8" spans="1:8" ht="18.75" x14ac:dyDescent="0.3">
      <c r="A8" s="5" t="s">
        <v>167</v>
      </c>
      <c r="D8" s="4">
        <v>30345</v>
      </c>
      <c r="H8" s="4">
        <v>4845</v>
      </c>
    </row>
    <row r="9" spans="1:8" ht="19.5" thickBot="1" x14ac:dyDescent="0.35">
      <c r="A9" s="5"/>
      <c r="D9" s="35"/>
      <c r="E9" s="27"/>
      <c r="H9" s="35"/>
    </row>
    <row r="10" spans="1:8" ht="19.5" thickTop="1" x14ac:dyDescent="0.3">
      <c r="D10" s="4">
        <f>SUM(D7:D9)</f>
        <v>30345</v>
      </c>
      <c r="H10" s="33">
        <f>SUM(H7:H9)</f>
        <v>4845</v>
      </c>
    </row>
    <row r="12" spans="1:8" ht="18.75" x14ac:dyDescent="0.3">
      <c r="C12" t="s">
        <v>4</v>
      </c>
      <c r="D12" s="4">
        <f>D3-D10</f>
        <v>16303</v>
      </c>
      <c r="G12" t="s">
        <v>5</v>
      </c>
      <c r="H12" s="4">
        <f>H3-H10</f>
        <v>2603</v>
      </c>
    </row>
    <row r="14" spans="1:8" x14ac:dyDescent="0.25">
      <c r="G14" t="s">
        <v>454</v>
      </c>
    </row>
    <row r="15" spans="1:8" ht="15.75" x14ac:dyDescent="0.25">
      <c r="A15" t="s">
        <v>6</v>
      </c>
      <c r="C15" s="8">
        <f>D12</f>
        <v>16303</v>
      </c>
      <c r="E15" t="s">
        <v>10</v>
      </c>
      <c r="H15" s="6">
        <f>C24</f>
        <v>13513.407999999999</v>
      </c>
    </row>
    <row r="17" spans="1:8" ht="15.75" x14ac:dyDescent="0.25">
      <c r="A17" t="s">
        <v>5</v>
      </c>
      <c r="B17" s="9" t="s">
        <v>7</v>
      </c>
      <c r="C17" s="8">
        <f>H12</f>
        <v>2603</v>
      </c>
      <c r="E17" s="13" t="s">
        <v>11</v>
      </c>
      <c r="F17" s="9" t="s">
        <v>12</v>
      </c>
      <c r="G17" s="15" t="s">
        <v>17</v>
      </c>
      <c r="H17" s="3">
        <f>-(F18*0.0077)</f>
        <v>-301.84000000000003</v>
      </c>
    </row>
    <row r="18" spans="1:8" x14ac:dyDescent="0.25">
      <c r="F18" s="21">
        <f>D3-H3</f>
        <v>39200</v>
      </c>
    </row>
    <row r="19" spans="1:8" ht="16.5" thickBot="1" x14ac:dyDescent="0.3">
      <c r="A19" t="s">
        <v>8</v>
      </c>
      <c r="B19" s="9" t="s">
        <v>7</v>
      </c>
      <c r="C19" s="8">
        <f>D3*0.004</f>
        <v>186.59200000000001</v>
      </c>
      <c r="F19" s="9" t="s">
        <v>13</v>
      </c>
      <c r="G19" s="16">
        <v>0.35</v>
      </c>
      <c r="H19" s="17">
        <f>-(F20*0.35)</f>
        <v>-4729.6927999999998</v>
      </c>
    </row>
    <row r="20" spans="1:8" x14ac:dyDescent="0.25">
      <c r="F20" s="21">
        <f>H15</f>
        <v>13513.407999999999</v>
      </c>
    </row>
    <row r="21" spans="1:8" ht="15.75" x14ac:dyDescent="0.25">
      <c r="A21" t="s">
        <v>9</v>
      </c>
      <c r="B21" s="9" t="s">
        <v>7</v>
      </c>
      <c r="C21" s="10"/>
      <c r="G21" s="13" t="s">
        <v>14</v>
      </c>
      <c r="H21" s="6">
        <f>H15+H17+H19</f>
        <v>8481.8751999999986</v>
      </c>
    </row>
    <row r="22" spans="1:8" ht="15.75" thickBot="1" x14ac:dyDescent="0.3">
      <c r="A22" s="16"/>
      <c r="B22" s="14"/>
      <c r="C22" s="7"/>
    </row>
    <row r="23" spans="1:8" x14ac:dyDescent="0.25">
      <c r="E23" t="s">
        <v>100</v>
      </c>
      <c r="H23" s="20">
        <f>H21*0.4</f>
        <v>3392.7500799999998</v>
      </c>
    </row>
    <row r="24" spans="1:8" ht="15.75" x14ac:dyDescent="0.25">
      <c r="A24" t="s">
        <v>10</v>
      </c>
      <c r="C24" s="10">
        <f>C15-C17-C19-C21</f>
        <v>13513.407999999999</v>
      </c>
      <c r="H24" s="18"/>
    </row>
    <row r="25" spans="1:8" x14ac:dyDescent="0.25">
      <c r="H25" s="3"/>
    </row>
    <row r="26" spans="1:8" x14ac:dyDescent="0.25">
      <c r="H26" s="18"/>
    </row>
    <row r="27" spans="1:8" x14ac:dyDescent="0.25">
      <c r="G27" t="s">
        <v>232</v>
      </c>
    </row>
  </sheetData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8BC3A-3225-46DC-81BC-7906BF6AD911}">
  <dimension ref="A1:H27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534</v>
      </c>
    </row>
    <row r="3" spans="1:8" ht="21" x14ac:dyDescent="0.35">
      <c r="A3" s="2" t="s">
        <v>1</v>
      </c>
      <c r="D3" s="11">
        <v>135898</v>
      </c>
      <c r="F3" s="12" t="s">
        <v>3</v>
      </c>
      <c r="H3" s="11">
        <v>21698</v>
      </c>
    </row>
    <row r="4" spans="1:8" x14ac:dyDescent="0.25">
      <c r="A4" s="13" t="s">
        <v>29</v>
      </c>
      <c r="C4" s="28">
        <v>656</v>
      </c>
    </row>
    <row r="5" spans="1:8" ht="21" x14ac:dyDescent="0.35">
      <c r="A5" s="2" t="s">
        <v>2</v>
      </c>
    </row>
    <row r="7" spans="1:8" ht="18.75" x14ac:dyDescent="0.3">
      <c r="A7" s="5"/>
      <c r="D7" s="4"/>
      <c r="H7" s="4"/>
    </row>
    <row r="8" spans="1:8" ht="18.75" x14ac:dyDescent="0.3">
      <c r="A8" s="5" t="s">
        <v>535</v>
      </c>
      <c r="D8" s="4">
        <v>38538</v>
      </c>
      <c r="H8" s="4">
        <v>6153</v>
      </c>
    </row>
    <row r="9" spans="1:8" ht="19.5" thickBot="1" x14ac:dyDescent="0.35">
      <c r="A9" s="5" t="s">
        <v>536</v>
      </c>
      <c r="D9" s="35">
        <v>40984</v>
      </c>
      <c r="E9" s="27"/>
      <c r="H9" s="35">
        <v>6544</v>
      </c>
    </row>
    <row r="10" spans="1:8" ht="19.5" thickTop="1" x14ac:dyDescent="0.3">
      <c r="D10" s="4">
        <f>SUM(D7:D9)</f>
        <v>79522</v>
      </c>
      <c r="H10" s="33">
        <f>SUM(H7:H9)</f>
        <v>12697</v>
      </c>
    </row>
    <row r="12" spans="1:8" ht="18.75" x14ac:dyDescent="0.3">
      <c r="C12" t="s">
        <v>4</v>
      </c>
      <c r="D12" s="4">
        <f>D3-D10</f>
        <v>56376</v>
      </c>
      <c r="G12" t="s">
        <v>5</v>
      </c>
      <c r="H12" s="4">
        <f>H3-H10</f>
        <v>9001</v>
      </c>
    </row>
    <row r="14" spans="1:8" x14ac:dyDescent="0.25">
      <c r="G14" t="s">
        <v>454</v>
      </c>
    </row>
    <row r="15" spans="1:8" ht="15.75" x14ac:dyDescent="0.25">
      <c r="A15" t="s">
        <v>6</v>
      </c>
      <c r="C15" s="8">
        <f>D12</f>
        <v>56376</v>
      </c>
      <c r="E15" t="s">
        <v>10</v>
      </c>
      <c r="H15" s="6">
        <f>C24</f>
        <v>46831.408000000003</v>
      </c>
    </row>
    <row r="17" spans="1:8" ht="15.75" x14ac:dyDescent="0.25">
      <c r="A17" t="s">
        <v>5</v>
      </c>
      <c r="B17" s="9" t="s">
        <v>7</v>
      </c>
      <c r="C17" s="8">
        <f>H12</f>
        <v>9001</v>
      </c>
      <c r="E17" s="13" t="s">
        <v>11</v>
      </c>
      <c r="F17" s="9" t="s">
        <v>12</v>
      </c>
      <c r="G17" s="15" t="s">
        <v>17</v>
      </c>
      <c r="H17" s="3">
        <f>-(F18*0.0077)</f>
        <v>-879.34</v>
      </c>
    </row>
    <row r="18" spans="1:8" x14ac:dyDescent="0.25">
      <c r="F18" s="21">
        <f>D3-H3</f>
        <v>114200</v>
      </c>
    </row>
    <row r="19" spans="1:8" ht="16.5" thickBot="1" x14ac:dyDescent="0.3">
      <c r="A19" t="s">
        <v>8</v>
      </c>
      <c r="B19" s="9" t="s">
        <v>7</v>
      </c>
      <c r="C19" s="8">
        <f>D3*0.004</f>
        <v>543.59199999999998</v>
      </c>
      <c r="F19" s="9" t="s">
        <v>13</v>
      </c>
      <c r="G19" s="16">
        <v>0.35</v>
      </c>
      <c r="H19" s="17">
        <f>-(F20*0.35)</f>
        <v>-16390.9928</v>
      </c>
    </row>
    <row r="20" spans="1:8" x14ac:dyDescent="0.25">
      <c r="F20" s="21">
        <f>H15</f>
        <v>46831.408000000003</v>
      </c>
    </row>
    <row r="21" spans="1:8" ht="15.75" x14ac:dyDescent="0.25">
      <c r="A21" t="s">
        <v>9</v>
      </c>
      <c r="B21" s="9" t="s">
        <v>7</v>
      </c>
      <c r="C21" s="10"/>
      <c r="G21" s="13" t="s">
        <v>14</v>
      </c>
      <c r="H21" s="6">
        <f>H15+H17+H19</f>
        <v>29561.075200000007</v>
      </c>
    </row>
    <row r="22" spans="1:8" ht="15.75" thickBot="1" x14ac:dyDescent="0.3">
      <c r="A22" s="16"/>
      <c r="B22" s="14"/>
      <c r="C22" s="7"/>
    </row>
    <row r="23" spans="1:8" x14ac:dyDescent="0.25">
      <c r="E23" t="s">
        <v>100</v>
      </c>
      <c r="H23" s="20">
        <f>H21*0.4</f>
        <v>11824.430080000004</v>
      </c>
    </row>
    <row r="24" spans="1:8" ht="15.75" x14ac:dyDescent="0.25">
      <c r="A24" t="s">
        <v>10</v>
      </c>
      <c r="C24" s="10">
        <f>C15-C17-C19-C21</f>
        <v>46831.408000000003</v>
      </c>
      <c r="H24" s="18"/>
    </row>
    <row r="25" spans="1:8" x14ac:dyDescent="0.25">
      <c r="H25" s="3"/>
    </row>
    <row r="26" spans="1:8" x14ac:dyDescent="0.25">
      <c r="H26" s="18"/>
    </row>
    <row r="27" spans="1:8" x14ac:dyDescent="0.25">
      <c r="G27" t="s">
        <v>232</v>
      </c>
    </row>
  </sheetData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A1D86-2115-41D3-9645-BC97CA22C424}">
  <dimension ref="A1:H27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537</v>
      </c>
    </row>
    <row r="3" spans="1:8" ht="21" x14ac:dyDescent="0.35">
      <c r="A3" s="2" t="s">
        <v>1</v>
      </c>
      <c r="D3" s="11">
        <v>2864444</v>
      </c>
      <c r="F3" s="12" t="s">
        <v>3</v>
      </c>
      <c r="H3" s="11">
        <v>467163</v>
      </c>
    </row>
    <row r="4" spans="1:8" x14ac:dyDescent="0.25">
      <c r="A4" s="13" t="s">
        <v>29</v>
      </c>
      <c r="C4" s="28">
        <v>663</v>
      </c>
    </row>
    <row r="5" spans="1:8" ht="21" x14ac:dyDescent="0.35">
      <c r="A5" s="2" t="s">
        <v>2</v>
      </c>
    </row>
    <row r="7" spans="1:8" ht="18.75" x14ac:dyDescent="0.3">
      <c r="A7" s="5" t="s">
        <v>538</v>
      </c>
      <c r="D7" s="4">
        <v>1138000</v>
      </c>
      <c r="H7" s="4">
        <v>0</v>
      </c>
    </row>
    <row r="8" spans="1:8" ht="18.75" x14ac:dyDescent="0.3">
      <c r="A8" s="5" t="s">
        <v>289</v>
      </c>
      <c r="D8" s="4">
        <v>30000</v>
      </c>
      <c r="H8" s="4">
        <v>0</v>
      </c>
    </row>
    <row r="9" spans="1:8" ht="19.5" thickBot="1" x14ac:dyDescent="0.35">
      <c r="A9" s="5" t="s">
        <v>539</v>
      </c>
      <c r="D9" s="35">
        <v>12000</v>
      </c>
      <c r="E9" s="27"/>
      <c r="H9" s="4">
        <v>0</v>
      </c>
    </row>
    <row r="10" spans="1:8" ht="19.5" thickTop="1" x14ac:dyDescent="0.3">
      <c r="D10" s="4">
        <f>SUM(D7:D9)</f>
        <v>1180000</v>
      </c>
      <c r="H10" s="33">
        <f>SUM(H7:H9)</f>
        <v>0</v>
      </c>
    </row>
    <row r="12" spans="1:8" ht="18.75" x14ac:dyDescent="0.3">
      <c r="C12" t="s">
        <v>4</v>
      </c>
      <c r="D12" s="4">
        <f>D3-D10</f>
        <v>1684444</v>
      </c>
      <c r="G12" t="s">
        <v>5</v>
      </c>
      <c r="H12" s="4">
        <f>H3-H10</f>
        <v>467163</v>
      </c>
    </row>
    <row r="14" spans="1:8" x14ac:dyDescent="0.25">
      <c r="G14" t="s">
        <v>454</v>
      </c>
    </row>
    <row r="15" spans="1:8" ht="15.75" x14ac:dyDescent="0.25">
      <c r="A15" t="s">
        <v>6</v>
      </c>
      <c r="C15" s="8">
        <f>D12</f>
        <v>1684444</v>
      </c>
      <c r="E15" t="s">
        <v>10</v>
      </c>
      <c r="H15" s="6">
        <f>C24</f>
        <v>1205823.2239999999</v>
      </c>
    </row>
    <row r="17" spans="1:8" ht="15.75" x14ac:dyDescent="0.25">
      <c r="A17" t="s">
        <v>5</v>
      </c>
      <c r="B17" s="9" t="s">
        <v>7</v>
      </c>
      <c r="C17" s="8">
        <f>H12</f>
        <v>467163</v>
      </c>
      <c r="E17" s="13" t="s">
        <v>11</v>
      </c>
      <c r="F17" s="9" t="s">
        <v>12</v>
      </c>
      <c r="G17" s="15" t="s">
        <v>17</v>
      </c>
      <c r="H17" s="3">
        <f>-(F18*0.0077)</f>
        <v>-18932.375</v>
      </c>
    </row>
    <row r="18" spans="1:8" x14ac:dyDescent="0.25">
      <c r="F18" s="21">
        <v>2458750</v>
      </c>
    </row>
    <row r="19" spans="1:8" ht="16.5" thickBot="1" x14ac:dyDescent="0.3">
      <c r="A19" t="s">
        <v>8</v>
      </c>
      <c r="B19" s="9" t="s">
        <v>7</v>
      </c>
      <c r="C19" s="8">
        <f>D3*0.004</f>
        <v>11457.776</v>
      </c>
      <c r="F19" s="9" t="s">
        <v>13</v>
      </c>
      <c r="G19" s="16">
        <v>0.35</v>
      </c>
      <c r="H19" s="17">
        <f>-(F20*0.35)</f>
        <v>-422038.12839999993</v>
      </c>
    </row>
    <row r="20" spans="1:8" x14ac:dyDescent="0.25">
      <c r="F20" s="21">
        <f>H15</f>
        <v>1205823.2239999999</v>
      </c>
    </row>
    <row r="21" spans="1:8" ht="15.75" x14ac:dyDescent="0.25">
      <c r="A21" t="s">
        <v>9</v>
      </c>
      <c r="B21" s="9" t="s">
        <v>7</v>
      </c>
      <c r="C21" s="10"/>
      <c r="G21" s="13" t="s">
        <v>14</v>
      </c>
      <c r="H21" s="6">
        <f>H15+H17+H19</f>
        <v>764852.7206</v>
      </c>
    </row>
    <row r="22" spans="1:8" ht="15.75" thickBot="1" x14ac:dyDescent="0.3">
      <c r="A22" s="16"/>
      <c r="B22" s="14"/>
      <c r="C22" s="7"/>
    </row>
    <row r="23" spans="1:8" x14ac:dyDescent="0.25">
      <c r="E23" t="s">
        <v>100</v>
      </c>
      <c r="H23" s="20">
        <f>H21*0.4</f>
        <v>305941.08824000001</v>
      </c>
    </row>
    <row r="24" spans="1:8" ht="15.75" x14ac:dyDescent="0.25">
      <c r="A24" t="s">
        <v>10</v>
      </c>
      <c r="C24" s="10">
        <f>C15-C17-C19-C21</f>
        <v>1205823.2239999999</v>
      </c>
      <c r="H24" s="18"/>
    </row>
    <row r="25" spans="1:8" x14ac:dyDescent="0.25">
      <c r="H25" s="3"/>
    </row>
    <row r="26" spans="1:8" x14ac:dyDescent="0.25">
      <c r="H26" s="18"/>
    </row>
    <row r="27" spans="1:8" x14ac:dyDescent="0.25">
      <c r="G27" t="s">
        <v>232</v>
      </c>
    </row>
  </sheetData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4E457-BB88-4BF3-A2B6-0EDB4D18A4BF}">
  <dimension ref="A1:H27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540</v>
      </c>
    </row>
    <row r="3" spans="1:8" ht="21" x14ac:dyDescent="0.35">
      <c r="A3" s="2" t="s">
        <v>1</v>
      </c>
      <c r="D3" s="11">
        <v>47600</v>
      </c>
      <c r="F3" s="12" t="s">
        <v>3</v>
      </c>
      <c r="H3" s="11">
        <f>(D3/1.19)*0.19</f>
        <v>7600</v>
      </c>
    </row>
    <row r="4" spans="1:8" x14ac:dyDescent="0.25">
      <c r="A4" s="13" t="s">
        <v>29</v>
      </c>
      <c r="C4" s="28">
        <v>663</v>
      </c>
    </row>
    <row r="5" spans="1:8" ht="21" x14ac:dyDescent="0.35">
      <c r="A5" s="2" t="s">
        <v>2</v>
      </c>
    </row>
    <row r="7" spans="1:8" ht="18.75" x14ac:dyDescent="0.3">
      <c r="A7" s="5" t="s">
        <v>209</v>
      </c>
      <c r="D7" s="4">
        <v>30753</v>
      </c>
      <c r="H7" s="4">
        <f t="shared" ref="H7:H8" si="0">(D7/1.19)*0.19</f>
        <v>4910.1428571428578</v>
      </c>
    </row>
    <row r="8" spans="1:8" ht="18.75" x14ac:dyDescent="0.3">
      <c r="A8" s="5"/>
      <c r="D8" s="4"/>
      <c r="H8" s="4">
        <f t="shared" si="0"/>
        <v>0</v>
      </c>
    </row>
    <row r="9" spans="1:8" ht="19.5" thickBot="1" x14ac:dyDescent="0.35">
      <c r="A9" s="5"/>
      <c r="D9" s="35"/>
      <c r="E9" s="27"/>
      <c r="H9" s="35">
        <f>(D9/1.19)*0.19</f>
        <v>0</v>
      </c>
    </row>
    <row r="10" spans="1:8" ht="19.5" thickTop="1" x14ac:dyDescent="0.3">
      <c r="D10" s="4">
        <f>SUM(D7:D9)</f>
        <v>30753</v>
      </c>
      <c r="H10" s="33">
        <f>SUM(H7:H9)</f>
        <v>4910.1428571428578</v>
      </c>
    </row>
    <row r="12" spans="1:8" ht="18.75" x14ac:dyDescent="0.3">
      <c r="C12" t="s">
        <v>4</v>
      </c>
      <c r="D12" s="4">
        <f>D3-D10</f>
        <v>16847</v>
      </c>
      <c r="G12" t="s">
        <v>5</v>
      </c>
      <c r="H12" s="4">
        <f>H3-H10</f>
        <v>2689.8571428571422</v>
      </c>
    </row>
    <row r="14" spans="1:8" x14ac:dyDescent="0.25">
      <c r="G14" t="s">
        <v>454</v>
      </c>
    </row>
    <row r="15" spans="1:8" ht="15.75" x14ac:dyDescent="0.25">
      <c r="A15" t="s">
        <v>6</v>
      </c>
      <c r="C15" s="8">
        <f>D12</f>
        <v>16847</v>
      </c>
      <c r="E15" t="s">
        <v>10</v>
      </c>
      <c r="H15" s="6">
        <f>C24</f>
        <v>13966.742857142859</v>
      </c>
    </row>
    <row r="17" spans="1:8" ht="15.75" x14ac:dyDescent="0.25">
      <c r="A17" t="s">
        <v>5</v>
      </c>
      <c r="B17" s="9" t="s">
        <v>7</v>
      </c>
      <c r="C17" s="8">
        <f>H12</f>
        <v>2689.8571428571422</v>
      </c>
      <c r="E17" s="13" t="s">
        <v>11</v>
      </c>
      <c r="F17" s="9" t="s">
        <v>12</v>
      </c>
      <c r="G17" s="15" t="s">
        <v>17</v>
      </c>
      <c r="H17" s="3">
        <f>-(F18*0.0077)</f>
        <v>-18932.375</v>
      </c>
    </row>
    <row r="18" spans="1:8" x14ac:dyDescent="0.25">
      <c r="F18" s="21">
        <v>2458750</v>
      </c>
    </row>
    <row r="19" spans="1:8" ht="16.5" thickBot="1" x14ac:dyDescent="0.3">
      <c r="A19" t="s">
        <v>8</v>
      </c>
      <c r="B19" s="9" t="s">
        <v>7</v>
      </c>
      <c r="C19" s="8">
        <f>D3*0.004</f>
        <v>190.4</v>
      </c>
      <c r="F19" s="9" t="s">
        <v>13</v>
      </c>
      <c r="G19" s="16">
        <v>0.35</v>
      </c>
      <c r="H19" s="17">
        <f>-(F20*0.35)</f>
        <v>-4888.3600000000006</v>
      </c>
    </row>
    <row r="20" spans="1:8" x14ac:dyDescent="0.25">
      <c r="F20" s="21">
        <f>H15</f>
        <v>13966.742857142859</v>
      </c>
    </row>
    <row r="21" spans="1:8" ht="15.75" x14ac:dyDescent="0.25">
      <c r="A21" t="s">
        <v>9</v>
      </c>
      <c r="B21" s="9" t="s">
        <v>7</v>
      </c>
      <c r="C21" s="10"/>
      <c r="G21" s="13" t="s">
        <v>14</v>
      </c>
      <c r="H21" s="6">
        <f>H15+H17+H19</f>
        <v>-9853.9921428571415</v>
      </c>
    </row>
    <row r="22" spans="1:8" ht="15.75" thickBot="1" x14ac:dyDescent="0.3">
      <c r="A22" s="16"/>
      <c r="B22" s="14"/>
      <c r="C22" s="7"/>
    </row>
    <row r="23" spans="1:8" x14ac:dyDescent="0.25">
      <c r="E23" t="s">
        <v>100</v>
      </c>
      <c r="H23" s="20">
        <f>H21*0.4</f>
        <v>-3941.5968571428566</v>
      </c>
    </row>
    <row r="24" spans="1:8" ht="15.75" x14ac:dyDescent="0.25">
      <c r="A24" t="s">
        <v>10</v>
      </c>
      <c r="C24" s="10">
        <f>C15-C17-C19-C21</f>
        <v>13966.742857142859</v>
      </c>
      <c r="H24" s="18"/>
    </row>
    <row r="25" spans="1:8" x14ac:dyDescent="0.25">
      <c r="H25" s="3"/>
    </row>
    <row r="26" spans="1:8" x14ac:dyDescent="0.25">
      <c r="H26" s="18"/>
    </row>
    <row r="27" spans="1:8" x14ac:dyDescent="0.25">
      <c r="G27" t="s">
        <v>232</v>
      </c>
    </row>
  </sheetData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E0A07-A0D9-4BA4-8DD7-E3A72F2CAB22}">
  <dimension ref="A1:H27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541</v>
      </c>
    </row>
    <row r="3" spans="1:8" ht="21" x14ac:dyDescent="0.35">
      <c r="A3" s="2" t="s">
        <v>1</v>
      </c>
      <c r="D3" s="11">
        <v>141848</v>
      </c>
      <c r="F3" s="12" t="s">
        <v>3</v>
      </c>
      <c r="H3" s="11">
        <f>(D3/1.19)*0.19</f>
        <v>22648</v>
      </c>
    </row>
    <row r="4" spans="1:8" x14ac:dyDescent="0.25">
      <c r="A4" s="13" t="s">
        <v>29</v>
      </c>
      <c r="C4" s="28">
        <v>667</v>
      </c>
    </row>
    <row r="5" spans="1:8" ht="21" x14ac:dyDescent="0.35">
      <c r="A5" s="2" t="s">
        <v>2</v>
      </c>
    </row>
    <row r="7" spans="1:8" ht="18.75" x14ac:dyDescent="0.3">
      <c r="A7" s="5" t="s">
        <v>209</v>
      </c>
      <c r="D7" s="4">
        <v>31702</v>
      </c>
      <c r="H7" s="4">
        <f t="shared" ref="H7:H8" si="0">(D7/1.19)*0.19</f>
        <v>5061.6638655462193</v>
      </c>
    </row>
    <row r="8" spans="1:8" ht="18.75" x14ac:dyDescent="0.3">
      <c r="A8" s="5" t="s">
        <v>542</v>
      </c>
      <c r="D8" s="4">
        <v>64000</v>
      </c>
      <c r="H8" s="4">
        <f t="shared" si="0"/>
        <v>10218.487394957985</v>
      </c>
    </row>
    <row r="9" spans="1:8" ht="19.5" thickBot="1" x14ac:dyDescent="0.35">
      <c r="A9" s="5"/>
      <c r="D9" s="35"/>
      <c r="E9" s="27"/>
      <c r="H9" s="35">
        <f>(D9/1.19)*0.19</f>
        <v>0</v>
      </c>
    </row>
    <row r="10" spans="1:8" ht="19.5" thickTop="1" x14ac:dyDescent="0.3">
      <c r="D10" s="4">
        <f>SUM(D7:D9)</f>
        <v>95702</v>
      </c>
      <c r="H10" s="33">
        <f>SUM(H7:H9)</f>
        <v>15280.151260504204</v>
      </c>
    </row>
    <row r="12" spans="1:8" ht="18.75" x14ac:dyDescent="0.3">
      <c r="C12" t="s">
        <v>4</v>
      </c>
      <c r="D12" s="4">
        <f>D3-D10</f>
        <v>46146</v>
      </c>
      <c r="G12" t="s">
        <v>5</v>
      </c>
      <c r="H12" s="4">
        <f>H3-H10</f>
        <v>7367.8487394957956</v>
      </c>
    </row>
    <row r="14" spans="1:8" x14ac:dyDescent="0.25">
      <c r="G14" t="s">
        <v>454</v>
      </c>
    </row>
    <row r="15" spans="1:8" ht="15.75" x14ac:dyDescent="0.25">
      <c r="A15" t="s">
        <v>6</v>
      </c>
      <c r="C15" s="8">
        <f>D12</f>
        <v>46146</v>
      </c>
      <c r="E15" t="s">
        <v>10</v>
      </c>
      <c r="H15" s="6">
        <f>C24</f>
        <v>38210.759260504208</v>
      </c>
    </row>
    <row r="17" spans="1:8" ht="15.75" x14ac:dyDescent="0.25">
      <c r="A17" t="s">
        <v>5</v>
      </c>
      <c r="B17" s="9" t="s">
        <v>7</v>
      </c>
      <c r="C17" s="8">
        <f>H12</f>
        <v>7367.8487394957956</v>
      </c>
      <c r="E17" s="13" t="s">
        <v>11</v>
      </c>
      <c r="F17" s="9" t="s">
        <v>12</v>
      </c>
      <c r="G17" s="15" t="s">
        <v>17</v>
      </c>
      <c r="H17" s="3">
        <f>-(F18*0.0077)</f>
        <v>-917.84</v>
      </c>
    </row>
    <row r="18" spans="1:8" x14ac:dyDescent="0.25">
      <c r="F18" s="21">
        <f>D3-H3</f>
        <v>119200</v>
      </c>
    </row>
    <row r="19" spans="1:8" ht="16.5" thickBot="1" x14ac:dyDescent="0.3">
      <c r="A19" t="s">
        <v>8</v>
      </c>
      <c r="B19" s="9" t="s">
        <v>7</v>
      </c>
      <c r="C19" s="8">
        <f>D3*0.004</f>
        <v>567.39200000000005</v>
      </c>
      <c r="F19" s="9" t="s">
        <v>13</v>
      </c>
      <c r="G19" s="16">
        <v>0.35</v>
      </c>
      <c r="H19" s="17">
        <f>-(F20*0.35)</f>
        <v>-13373.765741176472</v>
      </c>
    </row>
    <row r="20" spans="1:8" x14ac:dyDescent="0.25">
      <c r="F20" s="21">
        <f>H15</f>
        <v>38210.759260504208</v>
      </c>
    </row>
    <row r="21" spans="1:8" ht="15.75" x14ac:dyDescent="0.25">
      <c r="A21" t="s">
        <v>9</v>
      </c>
      <c r="B21" s="9" t="s">
        <v>7</v>
      </c>
      <c r="C21" s="10"/>
      <c r="G21" s="13" t="s">
        <v>14</v>
      </c>
      <c r="H21" s="6">
        <f>H15+H17+H19</f>
        <v>23919.153519327738</v>
      </c>
    </row>
    <row r="22" spans="1:8" ht="15.75" thickBot="1" x14ac:dyDescent="0.3">
      <c r="A22" s="16"/>
      <c r="B22" s="14"/>
      <c r="C22" s="7"/>
    </row>
    <row r="23" spans="1:8" x14ac:dyDescent="0.25">
      <c r="E23" t="s">
        <v>100</v>
      </c>
      <c r="H23" s="20">
        <f>H21*0.4</f>
        <v>9567.6614077310951</v>
      </c>
    </row>
    <row r="24" spans="1:8" ht="15.75" x14ac:dyDescent="0.25">
      <c r="A24" t="s">
        <v>10</v>
      </c>
      <c r="C24" s="10">
        <f>C15-C17-C19-C21</f>
        <v>38210.759260504208</v>
      </c>
      <c r="H24" s="18"/>
    </row>
    <row r="25" spans="1:8" x14ac:dyDescent="0.25">
      <c r="H25" s="3"/>
    </row>
    <row r="26" spans="1:8" x14ac:dyDescent="0.25">
      <c r="H26" s="18"/>
    </row>
    <row r="27" spans="1:8" x14ac:dyDescent="0.25">
      <c r="G27" t="s">
        <v>232</v>
      </c>
    </row>
  </sheetData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8F2EC-5F5C-4D16-BB1F-C7467CCF4015}">
  <dimension ref="A1:H27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543</v>
      </c>
    </row>
    <row r="3" spans="1:8" ht="21" x14ac:dyDescent="0.35">
      <c r="A3" s="2" t="s">
        <v>1</v>
      </c>
      <c r="D3" s="11">
        <v>461125</v>
      </c>
      <c r="F3" s="12" t="s">
        <v>3</v>
      </c>
      <c r="H3" s="11">
        <f>(D3/1.19)*0.19</f>
        <v>73625</v>
      </c>
    </row>
    <row r="4" spans="1:8" x14ac:dyDescent="0.25">
      <c r="A4" s="13" t="s">
        <v>29</v>
      </c>
      <c r="C4" s="28">
        <v>669</v>
      </c>
    </row>
    <row r="5" spans="1:8" ht="21" x14ac:dyDescent="0.35">
      <c r="A5" s="2" t="s">
        <v>2</v>
      </c>
    </row>
    <row r="7" spans="1:8" ht="18.75" x14ac:dyDescent="0.3">
      <c r="A7" s="5" t="s">
        <v>544</v>
      </c>
      <c r="D7" s="4">
        <v>219890</v>
      </c>
      <c r="H7" s="4">
        <f t="shared" ref="H7" si="0">(D7/1.19)*0.19</f>
        <v>35108.487394957985</v>
      </c>
    </row>
    <row r="8" spans="1:8" ht="18.75" x14ac:dyDescent="0.3">
      <c r="A8" s="5"/>
      <c r="D8" s="4"/>
      <c r="H8" s="4"/>
    </row>
    <row r="9" spans="1:8" ht="19.5" thickBot="1" x14ac:dyDescent="0.35">
      <c r="A9" s="5"/>
      <c r="D9" s="35"/>
      <c r="E9" s="27"/>
      <c r="H9" s="35">
        <f>(D9/1.19)*0.19</f>
        <v>0</v>
      </c>
    </row>
    <row r="10" spans="1:8" ht="19.5" thickTop="1" x14ac:dyDescent="0.3">
      <c r="D10" s="4">
        <f>SUM(D7:D9)</f>
        <v>219890</v>
      </c>
      <c r="H10" s="33">
        <f>SUM(H7:H9)</f>
        <v>35108.487394957985</v>
      </c>
    </row>
    <row r="12" spans="1:8" ht="18.75" x14ac:dyDescent="0.3">
      <c r="C12" t="s">
        <v>4</v>
      </c>
      <c r="D12" s="4">
        <f>D3-D10</f>
        <v>241235</v>
      </c>
      <c r="G12" t="s">
        <v>5</v>
      </c>
      <c r="H12" s="4">
        <f>H3-H10</f>
        <v>38516.512605042015</v>
      </c>
    </row>
    <row r="14" spans="1:8" x14ac:dyDescent="0.25">
      <c r="G14" t="s">
        <v>454</v>
      </c>
    </row>
    <row r="15" spans="1:8" ht="15.75" x14ac:dyDescent="0.25">
      <c r="A15" t="s">
        <v>6</v>
      </c>
      <c r="C15" s="8">
        <f>D12</f>
        <v>241235</v>
      </c>
      <c r="E15" t="s">
        <v>10</v>
      </c>
      <c r="H15" s="6">
        <f>C24</f>
        <v>200873.98739495798</v>
      </c>
    </row>
    <row r="17" spans="1:8" ht="15.75" x14ac:dyDescent="0.25">
      <c r="A17" t="s">
        <v>5</v>
      </c>
      <c r="B17" s="9" t="s">
        <v>7</v>
      </c>
      <c r="C17" s="8">
        <f>H12</f>
        <v>38516.512605042015</v>
      </c>
      <c r="E17" s="13" t="s">
        <v>11</v>
      </c>
      <c r="F17" s="9" t="s">
        <v>12</v>
      </c>
      <c r="G17" s="15" t="s">
        <v>17</v>
      </c>
      <c r="H17" s="3">
        <f>-(F18*0.0077)</f>
        <v>-2983.75</v>
      </c>
    </row>
    <row r="18" spans="1:8" x14ac:dyDescent="0.25">
      <c r="F18" s="21">
        <f>D3-H3</f>
        <v>387500</v>
      </c>
    </row>
    <row r="19" spans="1:8" ht="16.5" thickBot="1" x14ac:dyDescent="0.3">
      <c r="A19" t="s">
        <v>8</v>
      </c>
      <c r="B19" s="9" t="s">
        <v>7</v>
      </c>
      <c r="C19" s="8">
        <f>D3*0.004</f>
        <v>1844.5</v>
      </c>
      <c r="F19" s="9" t="s">
        <v>13</v>
      </c>
      <c r="G19" s="16">
        <v>0.35</v>
      </c>
      <c r="H19" s="17">
        <f>-(F20*0.35)</f>
        <v>-70305.895588235289</v>
      </c>
    </row>
    <row r="20" spans="1:8" x14ac:dyDescent="0.25">
      <c r="F20" s="21">
        <f>H15</f>
        <v>200873.98739495798</v>
      </c>
    </row>
    <row r="21" spans="1:8" ht="15.75" x14ac:dyDescent="0.25">
      <c r="A21" t="s">
        <v>9</v>
      </c>
      <c r="B21" s="9" t="s">
        <v>7</v>
      </c>
      <c r="C21" s="10"/>
      <c r="G21" s="13" t="s">
        <v>14</v>
      </c>
      <c r="H21" s="6">
        <f>H15+H17+H19</f>
        <v>127584.34180672269</v>
      </c>
    </row>
    <row r="22" spans="1:8" ht="15.75" thickBot="1" x14ac:dyDescent="0.3">
      <c r="A22" s="16"/>
      <c r="B22" s="14"/>
      <c r="C22" s="7"/>
    </row>
    <row r="23" spans="1:8" x14ac:dyDescent="0.25">
      <c r="E23" t="s">
        <v>100</v>
      </c>
      <c r="H23" s="20">
        <f>H21*0.4</f>
        <v>51033.736722689078</v>
      </c>
    </row>
    <row r="24" spans="1:8" ht="15.75" x14ac:dyDescent="0.25">
      <c r="A24" t="s">
        <v>10</v>
      </c>
      <c r="C24" s="10">
        <f>C15-C17-C19-C21</f>
        <v>200873.98739495798</v>
      </c>
      <c r="H24" s="18"/>
    </row>
    <row r="25" spans="1:8" x14ac:dyDescent="0.25">
      <c r="H25" s="3"/>
    </row>
    <row r="26" spans="1:8" x14ac:dyDescent="0.25">
      <c r="H26" s="18"/>
    </row>
    <row r="27" spans="1:8" x14ac:dyDescent="0.25">
      <c r="G27" t="s">
        <v>232</v>
      </c>
    </row>
  </sheetData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8068A-DA64-468E-ACF9-76CA19C0D76A}">
  <dimension ref="A1:H27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545</v>
      </c>
    </row>
    <row r="3" spans="1:8" ht="21" x14ac:dyDescent="0.35">
      <c r="A3" s="2" t="s">
        <v>1</v>
      </c>
      <c r="D3" s="11">
        <v>117810</v>
      </c>
      <c r="F3" s="12" t="s">
        <v>3</v>
      </c>
      <c r="H3" s="11">
        <f>(D3/1.19)*0.19</f>
        <v>18810</v>
      </c>
    </row>
    <row r="4" spans="1:8" x14ac:dyDescent="0.25">
      <c r="A4" s="13" t="s">
        <v>29</v>
      </c>
      <c r="C4" s="28">
        <v>671</v>
      </c>
    </row>
    <row r="5" spans="1:8" ht="21" x14ac:dyDescent="0.35">
      <c r="A5" s="2" t="s">
        <v>2</v>
      </c>
    </row>
    <row r="7" spans="1:8" ht="18.75" x14ac:dyDescent="0.3">
      <c r="A7" s="5" t="s">
        <v>544</v>
      </c>
      <c r="D7" s="4">
        <v>67485</v>
      </c>
      <c r="H7" s="4">
        <f t="shared" ref="H7" si="0">(D7/1.19)*0.19</f>
        <v>10774.915966386556</v>
      </c>
    </row>
    <row r="8" spans="1:8" ht="18.75" x14ac:dyDescent="0.3">
      <c r="A8" s="5"/>
      <c r="D8" s="4"/>
      <c r="H8" s="4"/>
    </row>
    <row r="9" spans="1:8" ht="19.5" thickBot="1" x14ac:dyDescent="0.35">
      <c r="A9" s="5"/>
      <c r="D9" s="35"/>
      <c r="E9" s="27"/>
      <c r="H9" s="35">
        <f>(D9/1.19)*0.19</f>
        <v>0</v>
      </c>
    </row>
    <row r="10" spans="1:8" ht="19.5" thickTop="1" x14ac:dyDescent="0.3">
      <c r="D10" s="4">
        <f>SUM(D7:D9)</f>
        <v>67485</v>
      </c>
      <c r="H10" s="33">
        <f>SUM(H7:H9)</f>
        <v>10774.915966386556</v>
      </c>
    </row>
    <row r="12" spans="1:8" ht="18.75" x14ac:dyDescent="0.3">
      <c r="C12" t="s">
        <v>4</v>
      </c>
      <c r="D12" s="4">
        <f>D3-D10</f>
        <v>50325</v>
      </c>
      <c r="G12" t="s">
        <v>5</v>
      </c>
      <c r="H12" s="4">
        <f>H3-H10</f>
        <v>8035.0840336134443</v>
      </c>
    </row>
    <row r="14" spans="1:8" x14ac:dyDescent="0.25">
      <c r="G14" t="s">
        <v>454</v>
      </c>
    </row>
    <row r="15" spans="1:8" ht="15.75" x14ac:dyDescent="0.25">
      <c r="A15" t="s">
        <v>6</v>
      </c>
      <c r="C15" s="8">
        <f>D12</f>
        <v>50325</v>
      </c>
      <c r="E15" t="s">
        <v>10</v>
      </c>
      <c r="H15" s="6">
        <f>C24</f>
        <v>41818.67596638656</v>
      </c>
    </row>
    <row r="17" spans="1:8" ht="15.75" x14ac:dyDescent="0.25">
      <c r="A17" t="s">
        <v>5</v>
      </c>
      <c r="B17" s="9" t="s">
        <v>7</v>
      </c>
      <c r="C17" s="8">
        <f>H12</f>
        <v>8035.0840336134443</v>
      </c>
      <c r="E17" s="13" t="s">
        <v>11</v>
      </c>
      <c r="F17" s="9" t="s">
        <v>12</v>
      </c>
      <c r="G17" s="15" t="s">
        <v>17</v>
      </c>
      <c r="H17" s="3">
        <f>-(F18*0.0077)</f>
        <v>-762.30000000000007</v>
      </c>
    </row>
    <row r="18" spans="1:8" x14ac:dyDescent="0.25">
      <c r="F18" s="21">
        <f>D3-H3</f>
        <v>99000</v>
      </c>
    </row>
    <row r="19" spans="1:8" ht="16.5" thickBot="1" x14ac:dyDescent="0.3">
      <c r="A19" t="s">
        <v>8</v>
      </c>
      <c r="B19" s="9" t="s">
        <v>7</v>
      </c>
      <c r="C19" s="8">
        <f>D3*0.004</f>
        <v>471.24</v>
      </c>
      <c r="F19" s="9" t="s">
        <v>13</v>
      </c>
      <c r="G19" s="16">
        <v>0.35</v>
      </c>
      <c r="H19" s="17">
        <f>-(F20*0.35)</f>
        <v>-14636.536588235294</v>
      </c>
    </row>
    <row r="20" spans="1:8" x14ac:dyDescent="0.25">
      <c r="F20" s="21">
        <f>H15</f>
        <v>41818.67596638656</v>
      </c>
    </row>
    <row r="21" spans="1:8" ht="15.75" x14ac:dyDescent="0.25">
      <c r="A21" t="s">
        <v>9</v>
      </c>
      <c r="B21" s="9" t="s">
        <v>7</v>
      </c>
      <c r="C21" s="10"/>
      <c r="G21" s="13" t="s">
        <v>14</v>
      </c>
      <c r="H21" s="6">
        <f>H15+H17+H19</f>
        <v>26419.839378151264</v>
      </c>
    </row>
    <row r="22" spans="1:8" ht="15.75" thickBot="1" x14ac:dyDescent="0.3">
      <c r="A22" s="16"/>
      <c r="B22" s="14"/>
      <c r="C22" s="7"/>
    </row>
    <row r="23" spans="1:8" x14ac:dyDescent="0.25">
      <c r="E23" t="s">
        <v>100</v>
      </c>
      <c r="H23" s="20">
        <f>H21*0.4</f>
        <v>10567.935751260506</v>
      </c>
    </row>
    <row r="24" spans="1:8" ht="15.75" x14ac:dyDescent="0.25">
      <c r="A24" t="s">
        <v>10</v>
      </c>
      <c r="C24" s="10">
        <f>C15-C17-C19-C21</f>
        <v>41818.67596638656</v>
      </c>
      <c r="H24" s="18"/>
    </row>
    <row r="25" spans="1:8" x14ac:dyDescent="0.25">
      <c r="H25" s="3"/>
    </row>
    <row r="26" spans="1:8" x14ac:dyDescent="0.25">
      <c r="H26" s="18"/>
    </row>
    <row r="27" spans="1:8" x14ac:dyDescent="0.25">
      <c r="G27" t="s">
        <v>232</v>
      </c>
    </row>
  </sheetData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414D0-EA7C-4B8A-A4EB-865B820C6C56}">
  <dimension ref="A1:H27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546</v>
      </c>
    </row>
    <row r="3" spans="1:8" ht="21" x14ac:dyDescent="0.35">
      <c r="A3" s="2" t="s">
        <v>1</v>
      </c>
      <c r="D3" s="11">
        <v>55930</v>
      </c>
      <c r="F3" s="12" t="s">
        <v>3</v>
      </c>
      <c r="H3" s="11">
        <f>(D3/1.19)*0.19</f>
        <v>8930</v>
      </c>
    </row>
    <row r="4" spans="1:8" x14ac:dyDescent="0.25">
      <c r="A4" s="13" t="s">
        <v>29</v>
      </c>
      <c r="C4" s="28">
        <v>671</v>
      </c>
    </row>
    <row r="5" spans="1:8" ht="21" x14ac:dyDescent="0.35">
      <c r="A5" s="2" t="s">
        <v>2</v>
      </c>
    </row>
    <row r="7" spans="1:8" ht="18.75" x14ac:dyDescent="0.3">
      <c r="A7" s="5" t="s">
        <v>544</v>
      </c>
      <c r="D7" s="4">
        <v>31500</v>
      </c>
      <c r="H7" s="4">
        <f t="shared" ref="H7" si="0">(D7/1.19)*0.19</f>
        <v>5029.4117647058829</v>
      </c>
    </row>
    <row r="8" spans="1:8" ht="18.75" x14ac:dyDescent="0.3">
      <c r="A8" s="5"/>
      <c r="D8" s="4"/>
      <c r="H8" s="4"/>
    </row>
    <row r="9" spans="1:8" ht="19.5" thickBot="1" x14ac:dyDescent="0.35">
      <c r="A9" s="5"/>
      <c r="D9" s="35"/>
      <c r="E9" s="27"/>
      <c r="H9" s="35">
        <f>(D9/1.19)*0.19</f>
        <v>0</v>
      </c>
    </row>
    <row r="10" spans="1:8" ht="19.5" thickTop="1" x14ac:dyDescent="0.3">
      <c r="D10" s="4">
        <f>SUM(D7:D9)</f>
        <v>31500</v>
      </c>
      <c r="H10" s="33">
        <f>SUM(H7:H9)</f>
        <v>5029.4117647058829</v>
      </c>
    </row>
    <row r="12" spans="1:8" ht="18.75" x14ac:dyDescent="0.3">
      <c r="C12" t="s">
        <v>4</v>
      </c>
      <c r="D12" s="4">
        <f>D3-D10</f>
        <v>24430</v>
      </c>
      <c r="G12" t="s">
        <v>5</v>
      </c>
      <c r="H12" s="4">
        <f>H3-H10</f>
        <v>3900.5882352941171</v>
      </c>
    </row>
    <row r="14" spans="1:8" x14ac:dyDescent="0.25">
      <c r="G14" t="s">
        <v>454</v>
      </c>
    </row>
    <row r="15" spans="1:8" ht="15.75" x14ac:dyDescent="0.25">
      <c r="A15" t="s">
        <v>6</v>
      </c>
      <c r="C15" s="8">
        <f>D12</f>
        <v>24430</v>
      </c>
      <c r="E15" t="s">
        <v>10</v>
      </c>
      <c r="H15" s="6">
        <f>C24</f>
        <v>20305.69176470588</v>
      </c>
    </row>
    <row r="17" spans="1:8" ht="15.75" x14ac:dyDescent="0.25">
      <c r="A17" t="s">
        <v>5</v>
      </c>
      <c r="B17" s="9" t="s">
        <v>7</v>
      </c>
      <c r="C17" s="8">
        <f>H12</f>
        <v>3900.5882352941171</v>
      </c>
      <c r="E17" s="13" t="s">
        <v>11</v>
      </c>
      <c r="F17" s="9" t="s">
        <v>12</v>
      </c>
      <c r="G17" s="15" t="s">
        <v>17</v>
      </c>
      <c r="H17" s="3">
        <f>-(F18*0.0077)</f>
        <v>-361.90000000000003</v>
      </c>
    </row>
    <row r="18" spans="1:8" x14ac:dyDescent="0.25">
      <c r="F18" s="21">
        <f>D3-H3</f>
        <v>47000</v>
      </c>
    </row>
    <row r="19" spans="1:8" ht="16.5" thickBot="1" x14ac:dyDescent="0.3">
      <c r="A19" t="s">
        <v>8</v>
      </c>
      <c r="B19" s="9" t="s">
        <v>7</v>
      </c>
      <c r="C19" s="8">
        <f>D3*0.004</f>
        <v>223.72</v>
      </c>
      <c r="F19" s="9" t="s">
        <v>13</v>
      </c>
      <c r="G19" s="16">
        <v>0.35</v>
      </c>
      <c r="H19" s="17">
        <f>-(F20*0.35)</f>
        <v>-7106.992117647058</v>
      </c>
    </row>
    <row r="20" spans="1:8" x14ac:dyDescent="0.25">
      <c r="F20" s="21">
        <f>H15</f>
        <v>20305.69176470588</v>
      </c>
    </row>
    <row r="21" spans="1:8" ht="15.75" x14ac:dyDescent="0.25">
      <c r="A21" t="s">
        <v>9</v>
      </c>
      <c r="B21" s="9" t="s">
        <v>7</v>
      </c>
      <c r="C21" s="10"/>
      <c r="G21" s="13" t="s">
        <v>14</v>
      </c>
      <c r="H21" s="6">
        <f>H15+H17+H19</f>
        <v>12836.79964705882</v>
      </c>
    </row>
    <row r="22" spans="1:8" ht="15.75" thickBot="1" x14ac:dyDescent="0.3">
      <c r="A22" s="16"/>
      <c r="B22" s="14"/>
      <c r="C22" s="7"/>
    </row>
    <row r="23" spans="1:8" x14ac:dyDescent="0.25">
      <c r="E23" t="s">
        <v>100</v>
      </c>
      <c r="H23" s="20">
        <f>H21*0.4</f>
        <v>5134.7198588235287</v>
      </c>
    </row>
    <row r="24" spans="1:8" ht="15.75" x14ac:dyDescent="0.25">
      <c r="A24" t="s">
        <v>10</v>
      </c>
      <c r="C24" s="10">
        <f>C15-C17-C19-C21</f>
        <v>20305.69176470588</v>
      </c>
      <c r="H24" s="18"/>
    </row>
    <row r="25" spans="1:8" x14ac:dyDescent="0.25">
      <c r="H25" s="3"/>
    </row>
    <row r="26" spans="1:8" x14ac:dyDescent="0.25">
      <c r="H26" s="18"/>
    </row>
    <row r="27" spans="1:8" x14ac:dyDescent="0.25">
      <c r="G27" t="s">
        <v>232</v>
      </c>
    </row>
  </sheetData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CEC9A-1935-4CC0-8618-69C30D6AAC11}">
  <dimension ref="A1:H27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547</v>
      </c>
    </row>
    <row r="3" spans="1:8" ht="21" x14ac:dyDescent="0.35">
      <c r="A3" s="2" t="s">
        <v>1</v>
      </c>
      <c r="D3" s="11">
        <v>606900</v>
      </c>
      <c r="F3" s="12" t="s">
        <v>3</v>
      </c>
      <c r="H3" s="11">
        <f>(D3/1.19)*0.19</f>
        <v>96900</v>
      </c>
    </row>
    <row r="4" spans="1:8" x14ac:dyDescent="0.25">
      <c r="A4" s="13" t="s">
        <v>29</v>
      </c>
      <c r="C4" s="28">
        <v>675</v>
      </c>
    </row>
    <row r="5" spans="1:8" ht="21" x14ac:dyDescent="0.35">
      <c r="A5" s="2" t="s">
        <v>2</v>
      </c>
      <c r="C5" t="s">
        <v>232</v>
      </c>
    </row>
    <row r="7" spans="1:8" ht="18.75" x14ac:dyDescent="0.3">
      <c r="A7" s="5" t="s">
        <v>544</v>
      </c>
      <c r="D7" s="4">
        <v>249900</v>
      </c>
      <c r="H7" s="4">
        <f t="shared" ref="H7" si="0">(D7/1.19)*0.19</f>
        <v>39900</v>
      </c>
    </row>
    <row r="8" spans="1:8" ht="18.75" x14ac:dyDescent="0.3">
      <c r="A8" s="5"/>
      <c r="D8" s="4"/>
      <c r="H8" s="4"/>
    </row>
    <row r="9" spans="1:8" ht="19.5" thickBot="1" x14ac:dyDescent="0.35">
      <c r="A9" s="5"/>
      <c r="D9" s="35"/>
      <c r="E9" s="27"/>
      <c r="H9" s="35">
        <f>(D9/1.19)*0.19</f>
        <v>0</v>
      </c>
    </row>
    <row r="10" spans="1:8" ht="19.5" thickTop="1" x14ac:dyDescent="0.3">
      <c r="D10" s="4">
        <f>SUM(D7:D9)</f>
        <v>249900</v>
      </c>
      <c r="H10" s="33">
        <f>SUM(H7:H9)</f>
        <v>39900</v>
      </c>
    </row>
    <row r="12" spans="1:8" ht="18.75" x14ac:dyDescent="0.3">
      <c r="C12" t="s">
        <v>4</v>
      </c>
      <c r="D12" s="4">
        <f>D3-D10</f>
        <v>357000</v>
      </c>
      <c r="G12" t="s">
        <v>5</v>
      </c>
      <c r="H12" s="4">
        <f>H3-H10</f>
        <v>57000</v>
      </c>
    </row>
    <row r="14" spans="1:8" x14ac:dyDescent="0.25">
      <c r="G14" t="s">
        <v>454</v>
      </c>
    </row>
    <row r="15" spans="1:8" ht="15.75" x14ac:dyDescent="0.25">
      <c r="A15" t="s">
        <v>6</v>
      </c>
      <c r="C15" s="8">
        <f>D12</f>
        <v>357000</v>
      </c>
      <c r="E15" t="s">
        <v>10</v>
      </c>
      <c r="H15" s="6">
        <f>C24</f>
        <v>297572.40000000002</v>
      </c>
    </row>
    <row r="17" spans="1:8" ht="15.75" x14ac:dyDescent="0.25">
      <c r="A17" t="s">
        <v>5</v>
      </c>
      <c r="B17" s="9" t="s">
        <v>7</v>
      </c>
      <c r="C17" s="8">
        <f>H12</f>
        <v>57000</v>
      </c>
      <c r="E17" s="13" t="s">
        <v>11</v>
      </c>
      <c r="F17" s="9" t="s">
        <v>12</v>
      </c>
      <c r="G17" s="15" t="s">
        <v>17</v>
      </c>
      <c r="H17" s="3">
        <f>-(F18*0.0077)</f>
        <v>-3927</v>
      </c>
    </row>
    <row r="18" spans="1:8" x14ac:dyDescent="0.25">
      <c r="F18" s="21">
        <f>D3-H3</f>
        <v>510000</v>
      </c>
    </row>
    <row r="19" spans="1:8" ht="16.5" thickBot="1" x14ac:dyDescent="0.3">
      <c r="A19" t="s">
        <v>8</v>
      </c>
      <c r="B19" s="9" t="s">
        <v>7</v>
      </c>
      <c r="C19" s="8">
        <f>D3*0.004</f>
        <v>2427.6</v>
      </c>
      <c r="F19" s="9" t="s">
        <v>13</v>
      </c>
      <c r="G19" s="16">
        <v>0.35</v>
      </c>
      <c r="H19" s="17">
        <f>-(F20*0.35)</f>
        <v>-104150.34</v>
      </c>
    </row>
    <row r="20" spans="1:8" x14ac:dyDescent="0.25">
      <c r="F20" s="21">
        <f>H15</f>
        <v>297572.40000000002</v>
      </c>
    </row>
    <row r="21" spans="1:8" ht="15.75" x14ac:dyDescent="0.25">
      <c r="A21" t="s">
        <v>9</v>
      </c>
      <c r="B21" s="9" t="s">
        <v>7</v>
      </c>
      <c r="C21" s="10"/>
      <c r="G21" s="13" t="s">
        <v>14</v>
      </c>
      <c r="H21" s="6">
        <f>H15+H17+H19</f>
        <v>189495.06000000003</v>
      </c>
    </row>
    <row r="22" spans="1:8" ht="15.75" thickBot="1" x14ac:dyDescent="0.3">
      <c r="A22" s="16"/>
      <c r="B22" s="14"/>
      <c r="C22" s="7"/>
    </row>
    <row r="23" spans="1:8" x14ac:dyDescent="0.25">
      <c r="E23" t="s">
        <v>100</v>
      </c>
      <c r="H23" s="20">
        <f>H21*0.4</f>
        <v>75798.024000000019</v>
      </c>
    </row>
    <row r="24" spans="1:8" ht="15.75" x14ac:dyDescent="0.25">
      <c r="A24" t="s">
        <v>10</v>
      </c>
      <c r="C24" s="10">
        <f>C15-C17-C19-C21</f>
        <v>297572.40000000002</v>
      </c>
      <c r="H24" s="18"/>
    </row>
    <row r="25" spans="1:8" x14ac:dyDescent="0.25">
      <c r="H25" s="3"/>
    </row>
    <row r="26" spans="1:8" x14ac:dyDescent="0.25">
      <c r="H26" s="18"/>
    </row>
    <row r="27" spans="1:8" x14ac:dyDescent="0.25">
      <c r="G27" t="s">
        <v>232</v>
      </c>
    </row>
  </sheetData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7F9D2-8082-419C-A277-2839DD3EB87B}">
  <dimension ref="A1:H27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548</v>
      </c>
    </row>
    <row r="3" spans="1:8" ht="21" x14ac:dyDescent="0.35">
      <c r="A3" s="2" t="s">
        <v>1</v>
      </c>
      <c r="D3" s="11">
        <v>2335010</v>
      </c>
      <c r="F3" s="12" t="s">
        <v>3</v>
      </c>
      <c r="H3" s="11">
        <f>(D3/1.19)*0.19</f>
        <v>372816.72268907563</v>
      </c>
    </row>
    <row r="4" spans="1:8" x14ac:dyDescent="0.25">
      <c r="A4" s="13" t="s">
        <v>29</v>
      </c>
      <c r="C4" s="28">
        <v>676</v>
      </c>
    </row>
    <row r="5" spans="1:8" ht="21" x14ac:dyDescent="0.35">
      <c r="A5" s="2" t="s">
        <v>2</v>
      </c>
      <c r="C5" t="s">
        <v>232</v>
      </c>
    </row>
    <row r="7" spans="1:8" ht="18.75" x14ac:dyDescent="0.3">
      <c r="A7" s="5" t="s">
        <v>544</v>
      </c>
      <c r="D7" s="4">
        <v>1242949</v>
      </c>
      <c r="H7" s="4">
        <f t="shared" ref="H7:H9" si="0">(D7/1.19)*0.19</f>
        <v>198454.04201680675</v>
      </c>
    </row>
    <row r="8" spans="1:8" ht="18.75" x14ac:dyDescent="0.3">
      <c r="A8" s="5" t="s">
        <v>549</v>
      </c>
      <c r="D8" s="4">
        <v>482902</v>
      </c>
      <c r="H8" s="4">
        <f t="shared" si="0"/>
        <v>77102</v>
      </c>
    </row>
    <row r="9" spans="1:8" ht="19.5" thickBot="1" x14ac:dyDescent="0.35">
      <c r="A9" s="5"/>
      <c r="D9" s="35"/>
      <c r="E9" s="27"/>
      <c r="H9" s="35">
        <f t="shared" si="0"/>
        <v>0</v>
      </c>
    </row>
    <row r="10" spans="1:8" ht="19.5" thickTop="1" x14ac:dyDescent="0.3">
      <c r="D10" s="4">
        <f>SUM(D7:D9)</f>
        <v>1725851</v>
      </c>
      <c r="H10" s="33">
        <f>SUM(H7:H9)</f>
        <v>275556.04201680678</v>
      </c>
    </row>
    <row r="12" spans="1:8" ht="18.75" x14ac:dyDescent="0.3">
      <c r="C12" t="s">
        <v>4</v>
      </c>
      <c r="D12" s="4">
        <f>D3-D10</f>
        <v>609159</v>
      </c>
      <c r="G12" t="s">
        <v>5</v>
      </c>
      <c r="H12" s="4">
        <f>H3-H10</f>
        <v>97260.680672268849</v>
      </c>
    </row>
    <row r="14" spans="1:8" x14ac:dyDescent="0.25">
      <c r="G14" t="s">
        <v>454</v>
      </c>
    </row>
    <row r="15" spans="1:8" ht="15.75" x14ac:dyDescent="0.25">
      <c r="A15" t="s">
        <v>6</v>
      </c>
      <c r="C15" s="8">
        <f>D12</f>
        <v>609159</v>
      </c>
      <c r="E15" t="s">
        <v>10</v>
      </c>
      <c r="H15" s="6">
        <f>C24</f>
        <v>502558.27932773117</v>
      </c>
    </row>
    <row r="17" spans="1:8" ht="15.75" x14ac:dyDescent="0.25">
      <c r="A17" t="s">
        <v>5</v>
      </c>
      <c r="B17" s="9" t="s">
        <v>7</v>
      </c>
      <c r="C17" s="8">
        <f>H12</f>
        <v>97260.680672268849</v>
      </c>
      <c r="E17" s="13" t="s">
        <v>11</v>
      </c>
      <c r="F17" s="9" t="s">
        <v>12</v>
      </c>
      <c r="G17" s="15" t="s">
        <v>17</v>
      </c>
      <c r="H17" s="3">
        <f>-(F18*0.0077)</f>
        <v>-15433.11</v>
      </c>
    </row>
    <row r="18" spans="1:8" x14ac:dyDescent="0.25">
      <c r="F18" s="21">
        <v>2004300</v>
      </c>
    </row>
    <row r="19" spans="1:8" ht="16.5" thickBot="1" x14ac:dyDescent="0.3">
      <c r="A19" t="s">
        <v>8</v>
      </c>
      <c r="B19" s="9" t="s">
        <v>7</v>
      </c>
      <c r="C19" s="8">
        <f>D3*0.004</f>
        <v>9340.0400000000009</v>
      </c>
      <c r="F19" s="9" t="s">
        <v>13</v>
      </c>
      <c r="G19" s="16">
        <v>0.35</v>
      </c>
      <c r="H19" s="17">
        <f>-(F20*0.35)</f>
        <v>-175895.39776470591</v>
      </c>
    </row>
    <row r="20" spans="1:8" x14ac:dyDescent="0.25">
      <c r="F20" s="21">
        <f>H15</f>
        <v>502558.27932773117</v>
      </c>
    </row>
    <row r="21" spans="1:8" ht="15.75" x14ac:dyDescent="0.25">
      <c r="A21" t="s">
        <v>9</v>
      </c>
      <c r="B21" s="9" t="s">
        <v>7</v>
      </c>
      <c r="C21" s="10"/>
      <c r="G21" s="13" t="s">
        <v>14</v>
      </c>
      <c r="H21" s="6">
        <f>H15+H17+H19</f>
        <v>311229.77156302531</v>
      </c>
    </row>
    <row r="22" spans="1:8" ht="15.75" thickBot="1" x14ac:dyDescent="0.3">
      <c r="A22" s="16"/>
      <c r="B22" s="14"/>
      <c r="C22" s="7"/>
    </row>
    <row r="23" spans="1:8" x14ac:dyDescent="0.25">
      <c r="E23" t="s">
        <v>100</v>
      </c>
      <c r="H23" s="20">
        <f>H21*0.4</f>
        <v>124491.90862521013</v>
      </c>
    </row>
    <row r="24" spans="1:8" ht="15.75" x14ac:dyDescent="0.25">
      <c r="A24" t="s">
        <v>10</v>
      </c>
      <c r="C24" s="10">
        <f>C15-C17-C19-C21</f>
        <v>502558.27932773117</v>
      </c>
      <c r="H24" s="18"/>
    </row>
    <row r="25" spans="1:8" x14ac:dyDescent="0.25">
      <c r="H25" s="3"/>
    </row>
    <row r="26" spans="1:8" x14ac:dyDescent="0.25">
      <c r="H26" s="18"/>
    </row>
    <row r="27" spans="1:8" x14ac:dyDescent="0.25">
      <c r="G27" t="s">
        <v>232</v>
      </c>
    </row>
  </sheetData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174A7-84D5-416B-855C-F0A6B180A450}">
  <dimension ref="A1:H27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550</v>
      </c>
    </row>
    <row r="3" spans="1:8" ht="21" x14ac:dyDescent="0.35">
      <c r="A3" s="2" t="s">
        <v>1</v>
      </c>
      <c r="D3" s="11">
        <v>486115</v>
      </c>
      <c r="F3" s="12" t="s">
        <v>3</v>
      </c>
      <c r="H3" s="11">
        <f>(D3/1.19)*0.19</f>
        <v>77615</v>
      </c>
    </row>
    <row r="4" spans="1:8" x14ac:dyDescent="0.25">
      <c r="A4" s="13" t="s">
        <v>29</v>
      </c>
      <c r="C4" s="28">
        <v>683</v>
      </c>
    </row>
    <row r="5" spans="1:8" ht="21" x14ac:dyDescent="0.35">
      <c r="A5" s="2" t="s">
        <v>2</v>
      </c>
      <c r="C5" t="s">
        <v>232</v>
      </c>
    </row>
    <row r="7" spans="1:8" ht="18.75" x14ac:dyDescent="0.3">
      <c r="A7" s="5" t="s">
        <v>551</v>
      </c>
      <c r="D7" s="4">
        <v>255728</v>
      </c>
      <c r="H7" s="4">
        <f t="shared" ref="H7:H9" si="0">(D7/1.19)*0.19</f>
        <v>40830.521008403361</v>
      </c>
    </row>
    <row r="8" spans="1:8" ht="18.75" x14ac:dyDescent="0.3">
      <c r="A8" s="5" t="s">
        <v>397</v>
      </c>
      <c r="D8" s="4">
        <v>89370</v>
      </c>
      <c r="H8" s="4">
        <f t="shared" si="0"/>
        <v>14269.159663865546</v>
      </c>
    </row>
    <row r="9" spans="1:8" ht="19.5" thickBot="1" x14ac:dyDescent="0.35">
      <c r="A9" s="5"/>
      <c r="D9" s="35"/>
      <c r="E9" s="27"/>
      <c r="H9" s="35">
        <f t="shared" si="0"/>
        <v>0</v>
      </c>
    </row>
    <row r="10" spans="1:8" ht="19.5" thickTop="1" x14ac:dyDescent="0.3">
      <c r="D10" s="4">
        <f>SUM(D7:D9)</f>
        <v>345098</v>
      </c>
      <c r="H10" s="33">
        <f>SUM(H7:H9)</f>
        <v>55099.680672268907</v>
      </c>
    </row>
    <row r="12" spans="1:8" ht="18.75" x14ac:dyDescent="0.3">
      <c r="C12" t="s">
        <v>4</v>
      </c>
      <c r="D12" s="4">
        <f>D3-D10</f>
        <v>141017</v>
      </c>
      <c r="G12" t="s">
        <v>5</v>
      </c>
      <c r="H12" s="4">
        <f>H3-H10</f>
        <v>22515.319327731093</v>
      </c>
    </row>
    <row r="14" spans="1:8" x14ac:dyDescent="0.25">
      <c r="G14" t="s">
        <v>454</v>
      </c>
    </row>
    <row r="15" spans="1:8" ht="15.75" x14ac:dyDescent="0.25">
      <c r="A15" t="s">
        <v>6</v>
      </c>
      <c r="C15" s="8">
        <f>D12</f>
        <v>141017</v>
      </c>
      <c r="E15" t="s">
        <v>10</v>
      </c>
      <c r="H15" s="6">
        <f>C24</f>
        <v>116557.2206722689</v>
      </c>
    </row>
    <row r="17" spans="1:8" ht="15.75" x14ac:dyDescent="0.25">
      <c r="A17" t="s">
        <v>5</v>
      </c>
      <c r="B17" s="9" t="s">
        <v>7</v>
      </c>
      <c r="C17" s="8">
        <f>H12</f>
        <v>22515.319327731093</v>
      </c>
      <c r="E17" s="13" t="s">
        <v>11</v>
      </c>
      <c r="F17" s="9" t="s">
        <v>12</v>
      </c>
      <c r="G17" s="15" t="s">
        <v>17</v>
      </c>
      <c r="H17" s="3">
        <f>-(F18*0.0077)</f>
        <v>-3145.4500000000003</v>
      </c>
    </row>
    <row r="18" spans="1:8" x14ac:dyDescent="0.25">
      <c r="F18" s="21">
        <f>D3-H3</f>
        <v>408500</v>
      </c>
    </row>
    <row r="19" spans="1:8" ht="16.5" thickBot="1" x14ac:dyDescent="0.3">
      <c r="A19" t="s">
        <v>8</v>
      </c>
      <c r="B19" s="9" t="s">
        <v>7</v>
      </c>
      <c r="C19" s="8">
        <f>D3*0.004</f>
        <v>1944.46</v>
      </c>
      <c r="F19" s="9" t="s">
        <v>13</v>
      </c>
      <c r="G19" s="16">
        <v>0.35</v>
      </c>
      <c r="H19" s="17">
        <f>-(F20*0.35)</f>
        <v>-40795.02723529411</v>
      </c>
    </row>
    <row r="20" spans="1:8" x14ac:dyDescent="0.25">
      <c r="F20" s="21">
        <f>H15</f>
        <v>116557.2206722689</v>
      </c>
    </row>
    <row r="21" spans="1:8" ht="15.75" x14ac:dyDescent="0.25">
      <c r="A21" t="s">
        <v>9</v>
      </c>
      <c r="B21" s="9" t="s">
        <v>7</v>
      </c>
      <c r="C21" s="10"/>
      <c r="G21" s="13" t="s">
        <v>14</v>
      </c>
      <c r="H21" s="6">
        <f>H15+H17+H19</f>
        <v>72616.743436974793</v>
      </c>
    </row>
    <row r="22" spans="1:8" ht="15.75" thickBot="1" x14ac:dyDescent="0.3">
      <c r="A22" s="16"/>
      <c r="B22" s="14"/>
      <c r="C22" s="7"/>
    </row>
    <row r="23" spans="1:8" x14ac:dyDescent="0.25">
      <c r="E23" t="s">
        <v>100</v>
      </c>
      <c r="H23" s="20">
        <f>H21*0.4</f>
        <v>29046.697374789917</v>
      </c>
    </row>
    <row r="24" spans="1:8" ht="15.75" x14ac:dyDescent="0.25">
      <c r="A24" t="s">
        <v>10</v>
      </c>
      <c r="C24" s="10">
        <f>C15-C17-C19-C21</f>
        <v>116557.2206722689</v>
      </c>
      <c r="H24" s="18"/>
    </row>
    <row r="25" spans="1:8" x14ac:dyDescent="0.25">
      <c r="H25" s="3"/>
    </row>
    <row r="26" spans="1:8" x14ac:dyDescent="0.25">
      <c r="H26" s="18"/>
    </row>
    <row r="27" spans="1:8" x14ac:dyDescent="0.25">
      <c r="G27" t="s">
        <v>232</v>
      </c>
    </row>
  </sheetData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10CDB-7A56-41EB-B644-F409ED50A21A}">
  <dimension ref="A1:H27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552</v>
      </c>
    </row>
    <row r="3" spans="1:8" ht="21" x14ac:dyDescent="0.35">
      <c r="A3" s="2" t="s">
        <v>1</v>
      </c>
      <c r="D3" s="11">
        <v>57120</v>
      </c>
      <c r="F3" s="12" t="s">
        <v>3</v>
      </c>
      <c r="H3" s="11">
        <f>(D3/1.19)*0.19</f>
        <v>9120</v>
      </c>
    </row>
    <row r="4" spans="1:8" x14ac:dyDescent="0.25">
      <c r="A4" s="13" t="s">
        <v>29</v>
      </c>
      <c r="C4" s="28">
        <v>692</v>
      </c>
    </row>
    <row r="5" spans="1:8" ht="21" x14ac:dyDescent="0.35">
      <c r="A5" s="2" t="s">
        <v>2</v>
      </c>
      <c r="C5" t="s">
        <v>232</v>
      </c>
    </row>
    <row r="7" spans="1:8" ht="18.75" x14ac:dyDescent="0.3">
      <c r="A7" s="5" t="s">
        <v>397</v>
      </c>
      <c r="D7" s="4">
        <v>22134</v>
      </c>
      <c r="H7" s="4">
        <f t="shared" ref="H7:H9" si="0">(D7/1.19)*0.19</f>
        <v>3534</v>
      </c>
    </row>
    <row r="8" spans="1:8" ht="18.75" x14ac:dyDescent="0.3">
      <c r="A8" s="5"/>
      <c r="D8" s="4"/>
      <c r="H8" s="4"/>
    </row>
    <row r="9" spans="1:8" ht="19.5" thickBot="1" x14ac:dyDescent="0.35">
      <c r="A9" s="5"/>
      <c r="D9" s="35"/>
      <c r="E9" s="27"/>
      <c r="H9" s="35">
        <f t="shared" si="0"/>
        <v>0</v>
      </c>
    </row>
    <row r="10" spans="1:8" ht="19.5" thickTop="1" x14ac:dyDescent="0.3">
      <c r="D10" s="4">
        <f>SUM(D7:D9)</f>
        <v>22134</v>
      </c>
      <c r="H10" s="33">
        <f>SUM(H7:H9)</f>
        <v>3534</v>
      </c>
    </row>
    <row r="12" spans="1:8" ht="18.75" x14ac:dyDescent="0.3">
      <c r="C12" t="s">
        <v>4</v>
      </c>
      <c r="D12" s="4">
        <f>D3-D10</f>
        <v>34986</v>
      </c>
      <c r="G12" t="s">
        <v>5</v>
      </c>
      <c r="H12" s="4">
        <f>H3-H10</f>
        <v>5586</v>
      </c>
    </row>
    <row r="14" spans="1:8" x14ac:dyDescent="0.25">
      <c r="G14" t="s">
        <v>454</v>
      </c>
    </row>
    <row r="15" spans="1:8" ht="15.75" x14ac:dyDescent="0.25">
      <c r="A15" t="s">
        <v>6</v>
      </c>
      <c r="C15" s="8">
        <f>D12</f>
        <v>34986</v>
      </c>
      <c r="E15" t="s">
        <v>10</v>
      </c>
      <c r="H15" s="6">
        <f>C24</f>
        <v>29171.52</v>
      </c>
    </row>
    <row r="17" spans="1:8" ht="15.75" x14ac:dyDescent="0.25">
      <c r="A17" t="s">
        <v>5</v>
      </c>
      <c r="B17" s="9" t="s">
        <v>7</v>
      </c>
      <c r="C17" s="8">
        <f>H12</f>
        <v>5586</v>
      </c>
      <c r="E17" s="13" t="s">
        <v>11</v>
      </c>
      <c r="F17" s="9" t="s">
        <v>12</v>
      </c>
      <c r="G17" s="15" t="s">
        <v>17</v>
      </c>
      <c r="H17" s="3">
        <f>-(F18*0.0077)</f>
        <v>-369.6</v>
      </c>
    </row>
    <row r="18" spans="1:8" x14ac:dyDescent="0.25">
      <c r="F18" s="21">
        <f>D3-H3</f>
        <v>48000</v>
      </c>
    </row>
    <row r="19" spans="1:8" ht="16.5" thickBot="1" x14ac:dyDescent="0.3">
      <c r="A19" t="s">
        <v>8</v>
      </c>
      <c r="B19" s="9" t="s">
        <v>7</v>
      </c>
      <c r="C19" s="8">
        <f>D3*0.004</f>
        <v>228.48000000000002</v>
      </c>
      <c r="F19" s="9" t="s">
        <v>13</v>
      </c>
      <c r="G19" s="16">
        <v>0.35</v>
      </c>
      <c r="H19" s="17">
        <f>-(F20*0.35)</f>
        <v>-10210.031999999999</v>
      </c>
    </row>
    <row r="20" spans="1:8" x14ac:dyDescent="0.25">
      <c r="F20" s="21">
        <f>H15</f>
        <v>29171.52</v>
      </c>
    </row>
    <row r="21" spans="1:8" ht="15.75" x14ac:dyDescent="0.25">
      <c r="A21" t="s">
        <v>9</v>
      </c>
      <c r="B21" s="9" t="s">
        <v>7</v>
      </c>
      <c r="C21" s="10"/>
      <c r="G21" s="13" t="s">
        <v>14</v>
      </c>
      <c r="H21" s="6">
        <f>H15+H17+H19</f>
        <v>18591.888000000003</v>
      </c>
    </row>
    <row r="22" spans="1:8" ht="15.75" thickBot="1" x14ac:dyDescent="0.3">
      <c r="A22" s="16"/>
      <c r="B22" s="14"/>
      <c r="C22" s="7"/>
    </row>
    <row r="23" spans="1:8" x14ac:dyDescent="0.25">
      <c r="E23" t="s">
        <v>100</v>
      </c>
      <c r="H23" s="20">
        <f>H21*0.4</f>
        <v>7436.7552000000014</v>
      </c>
    </row>
    <row r="24" spans="1:8" ht="15.75" x14ac:dyDescent="0.25">
      <c r="A24" t="s">
        <v>10</v>
      </c>
      <c r="C24" s="10">
        <f>C15-C17-C19-C21</f>
        <v>29171.52</v>
      </c>
      <c r="H24" s="18"/>
    </row>
    <row r="25" spans="1:8" x14ac:dyDescent="0.25">
      <c r="H25" s="3"/>
    </row>
    <row r="26" spans="1:8" x14ac:dyDescent="0.25">
      <c r="H26" s="18"/>
    </row>
    <row r="27" spans="1:8" x14ac:dyDescent="0.25">
      <c r="G27" t="s">
        <v>232</v>
      </c>
    </row>
  </sheetData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CB32B-B0D7-473A-9F24-5AA0D71FCF14}">
  <dimension ref="A1:H27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553</v>
      </c>
    </row>
    <row r="3" spans="1:8" ht="21" x14ac:dyDescent="0.35">
      <c r="A3" s="2" t="s">
        <v>1</v>
      </c>
      <c r="D3" s="11">
        <v>570129</v>
      </c>
      <c r="F3" s="12" t="s">
        <v>3</v>
      </c>
      <c r="H3" s="11">
        <f>(D3/1.19)*0.19</f>
        <v>91029</v>
      </c>
    </row>
    <row r="4" spans="1:8" x14ac:dyDescent="0.25">
      <c r="A4" s="13" t="s">
        <v>29</v>
      </c>
      <c r="C4" s="28">
        <v>695</v>
      </c>
    </row>
    <row r="5" spans="1:8" ht="21" x14ac:dyDescent="0.35">
      <c r="A5" s="2" t="s">
        <v>2</v>
      </c>
      <c r="C5" t="s">
        <v>232</v>
      </c>
    </row>
    <row r="7" spans="1:8" ht="18.75" x14ac:dyDescent="0.3">
      <c r="A7" s="5" t="s">
        <v>554</v>
      </c>
      <c r="D7" s="4">
        <v>247289</v>
      </c>
      <c r="H7" s="4">
        <f t="shared" ref="H7:H9" si="0">(D7/1.19)*0.19</f>
        <v>39483.117647058825</v>
      </c>
    </row>
    <row r="8" spans="1:8" ht="18.75" x14ac:dyDescent="0.3">
      <c r="A8" s="5" t="s">
        <v>397</v>
      </c>
      <c r="D8" s="4">
        <v>14970</v>
      </c>
      <c r="H8" s="4">
        <f t="shared" si="0"/>
        <v>2390.1680672268908</v>
      </c>
    </row>
    <row r="9" spans="1:8" ht="19.5" thickBot="1" x14ac:dyDescent="0.35">
      <c r="A9" s="5" t="s">
        <v>167</v>
      </c>
      <c r="D9" s="35">
        <v>40824</v>
      </c>
      <c r="E9" s="27"/>
      <c r="H9" s="35">
        <f t="shared" si="0"/>
        <v>6518.1176470588234</v>
      </c>
    </row>
    <row r="10" spans="1:8" ht="19.5" thickTop="1" x14ac:dyDescent="0.3">
      <c r="D10" s="4">
        <f>SUM(D7:D9)</f>
        <v>303083</v>
      </c>
      <c r="H10" s="33">
        <f>SUM(H7:H9)</f>
        <v>48391.403361344543</v>
      </c>
    </row>
    <row r="12" spans="1:8" ht="18.75" x14ac:dyDescent="0.3">
      <c r="C12" t="s">
        <v>4</v>
      </c>
      <c r="D12" s="4">
        <f>D3-D10</f>
        <v>267046</v>
      </c>
      <c r="G12" t="s">
        <v>5</v>
      </c>
      <c r="H12" s="4">
        <f>H3-H10</f>
        <v>42637.596638655457</v>
      </c>
    </row>
    <row r="14" spans="1:8" x14ac:dyDescent="0.25">
      <c r="G14" t="s">
        <v>454</v>
      </c>
    </row>
    <row r="15" spans="1:8" ht="15.75" x14ac:dyDescent="0.25">
      <c r="A15" t="s">
        <v>6</v>
      </c>
      <c r="C15" s="8">
        <f>D12</f>
        <v>267046</v>
      </c>
      <c r="E15" t="s">
        <v>10</v>
      </c>
      <c r="H15" s="6">
        <f>C24</f>
        <v>222127.88736134453</v>
      </c>
    </row>
    <row r="17" spans="1:8" ht="15.75" x14ac:dyDescent="0.25">
      <c r="A17" t="s">
        <v>5</v>
      </c>
      <c r="B17" s="9" t="s">
        <v>7</v>
      </c>
      <c r="C17" s="8">
        <f>H12</f>
        <v>42637.596638655457</v>
      </c>
      <c r="E17" s="13" t="s">
        <v>11</v>
      </c>
      <c r="F17" s="9" t="s">
        <v>12</v>
      </c>
      <c r="G17" s="15" t="s">
        <v>17</v>
      </c>
      <c r="H17" s="3">
        <f>-(F18*0.0077)</f>
        <v>-3689.07</v>
      </c>
    </row>
    <row r="18" spans="1:8" x14ac:dyDescent="0.25">
      <c r="F18" s="21">
        <f>D3-H3</f>
        <v>479100</v>
      </c>
    </row>
    <row r="19" spans="1:8" ht="16.5" thickBot="1" x14ac:dyDescent="0.3">
      <c r="A19" t="s">
        <v>8</v>
      </c>
      <c r="B19" s="9" t="s">
        <v>7</v>
      </c>
      <c r="C19" s="8">
        <f>D3*0.004</f>
        <v>2280.5160000000001</v>
      </c>
      <c r="F19" s="9" t="s">
        <v>13</v>
      </c>
      <c r="G19" s="16">
        <v>0.35</v>
      </c>
      <c r="H19" s="17">
        <f>-(F20*0.35)</f>
        <v>-77744.76057647058</v>
      </c>
    </row>
    <row r="20" spans="1:8" x14ac:dyDescent="0.25">
      <c r="F20" s="21">
        <f>H15</f>
        <v>222127.88736134453</v>
      </c>
    </row>
    <row r="21" spans="1:8" ht="15.75" x14ac:dyDescent="0.25">
      <c r="A21" t="s">
        <v>9</v>
      </c>
      <c r="B21" s="9" t="s">
        <v>7</v>
      </c>
      <c r="C21" s="10"/>
      <c r="G21" s="13" t="s">
        <v>14</v>
      </c>
      <c r="H21" s="6">
        <f>H15+H17+H19</f>
        <v>140694.05678487394</v>
      </c>
    </row>
    <row r="22" spans="1:8" ht="15.75" thickBot="1" x14ac:dyDescent="0.3">
      <c r="A22" s="16"/>
      <c r="B22" s="14"/>
      <c r="C22" s="7"/>
    </row>
    <row r="23" spans="1:8" x14ac:dyDescent="0.25">
      <c r="E23" t="s">
        <v>100</v>
      </c>
      <c r="H23" s="20">
        <f>H21*0.4</f>
        <v>56277.622713949582</v>
      </c>
    </row>
    <row r="24" spans="1:8" ht="15.75" x14ac:dyDescent="0.25">
      <c r="A24" t="s">
        <v>10</v>
      </c>
      <c r="C24" s="10">
        <f>C15-C17-C19-C21</f>
        <v>222127.88736134453</v>
      </c>
      <c r="H24" s="18"/>
    </row>
    <row r="25" spans="1:8" x14ac:dyDescent="0.25">
      <c r="H25" s="3"/>
    </row>
    <row r="26" spans="1:8" x14ac:dyDescent="0.25">
      <c r="H26" s="18"/>
    </row>
    <row r="27" spans="1:8" x14ac:dyDescent="0.25">
      <c r="G27" t="s">
        <v>232</v>
      </c>
    </row>
  </sheetData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9AA0B-CE3D-470C-8BA7-85C21487C21A}">
  <dimension ref="A1:H27"/>
  <sheetViews>
    <sheetView workbookViewId="0">
      <selection activeCell="I16" sqref="I1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555</v>
      </c>
    </row>
    <row r="3" spans="1:8" ht="21" x14ac:dyDescent="0.35">
      <c r="A3" s="2" t="s">
        <v>1</v>
      </c>
      <c r="D3" s="11">
        <v>813126</v>
      </c>
      <c r="F3" s="12" t="s">
        <v>3</v>
      </c>
      <c r="H3" s="11">
        <f>(D3/1.19)*0.19</f>
        <v>129826.84033613447</v>
      </c>
    </row>
    <row r="4" spans="1:8" x14ac:dyDescent="0.25">
      <c r="A4" s="13" t="s">
        <v>29</v>
      </c>
      <c r="C4" s="28">
        <v>698</v>
      </c>
    </row>
    <row r="5" spans="1:8" ht="21" x14ac:dyDescent="0.35">
      <c r="A5" s="2" t="s">
        <v>2</v>
      </c>
      <c r="C5" t="s">
        <v>232</v>
      </c>
    </row>
    <row r="7" spans="1:8" ht="18.75" x14ac:dyDescent="0.3">
      <c r="A7" s="5"/>
      <c r="D7" s="4"/>
      <c r="H7" s="4"/>
    </row>
    <row r="8" spans="1:8" ht="18.75" x14ac:dyDescent="0.3">
      <c r="A8" s="5"/>
      <c r="D8" s="4"/>
      <c r="H8" s="4"/>
    </row>
    <row r="9" spans="1:8" ht="19.5" thickBot="1" x14ac:dyDescent="0.35">
      <c r="A9" s="5" t="s">
        <v>167</v>
      </c>
      <c r="D9" s="35">
        <v>532840</v>
      </c>
      <c r="E9" s="27"/>
      <c r="H9" s="35">
        <f t="shared" ref="H9" si="0">(D9/1.19)*0.19</f>
        <v>85075.294117647063</v>
      </c>
    </row>
    <row r="10" spans="1:8" ht="19.5" thickTop="1" x14ac:dyDescent="0.3">
      <c r="D10" s="4">
        <f>SUM(D7:D9)</f>
        <v>532840</v>
      </c>
      <c r="H10" s="33">
        <f>SUM(H7:H9)</f>
        <v>85075.294117647063</v>
      </c>
    </row>
    <row r="12" spans="1:8" ht="18.75" x14ac:dyDescent="0.3">
      <c r="C12" t="s">
        <v>4</v>
      </c>
      <c r="D12" s="4">
        <f>D3-D10</f>
        <v>280286</v>
      </c>
      <c r="G12" t="s">
        <v>5</v>
      </c>
      <c r="H12" s="4">
        <f>H3-H10</f>
        <v>44751.546218487405</v>
      </c>
    </row>
    <row r="14" spans="1:8" x14ac:dyDescent="0.25">
      <c r="G14" t="s">
        <v>454</v>
      </c>
    </row>
    <row r="15" spans="1:8" ht="15.75" x14ac:dyDescent="0.25">
      <c r="A15" t="s">
        <v>6</v>
      </c>
      <c r="C15" s="8">
        <f>D12</f>
        <v>280286</v>
      </c>
      <c r="E15" t="s">
        <v>10</v>
      </c>
      <c r="H15" s="6">
        <f>C24</f>
        <v>232281.94978151261</v>
      </c>
    </row>
    <row r="17" spans="1:8" ht="15.75" x14ac:dyDescent="0.25">
      <c r="A17" t="s">
        <v>5</v>
      </c>
      <c r="B17" s="9" t="s">
        <v>7</v>
      </c>
      <c r="C17" s="8">
        <f>H12</f>
        <v>44751.546218487405</v>
      </c>
      <c r="E17" s="13" t="s">
        <v>11</v>
      </c>
      <c r="F17" s="9" t="s">
        <v>12</v>
      </c>
      <c r="G17" s="15" t="s">
        <v>17</v>
      </c>
      <c r="H17" s="3">
        <f>-(F18*0.0077)</f>
        <v>-5261.4035294117648</v>
      </c>
    </row>
    <row r="18" spans="1:8" x14ac:dyDescent="0.25">
      <c r="F18" s="21">
        <f>D3-H3</f>
        <v>683299.15966386558</v>
      </c>
    </row>
    <row r="19" spans="1:8" ht="16.5" thickBot="1" x14ac:dyDescent="0.3">
      <c r="A19" t="s">
        <v>8</v>
      </c>
      <c r="B19" s="9" t="s">
        <v>7</v>
      </c>
      <c r="C19" s="8">
        <f>D3*0.004</f>
        <v>3252.5039999999999</v>
      </c>
      <c r="F19" s="9" t="s">
        <v>13</v>
      </c>
      <c r="G19" s="16">
        <v>0.35</v>
      </c>
      <c r="H19" s="17">
        <f>-(F20*0.35)</f>
        <v>-81298.682423529404</v>
      </c>
    </row>
    <row r="20" spans="1:8" x14ac:dyDescent="0.25">
      <c r="F20" s="21">
        <f>H15</f>
        <v>232281.94978151261</v>
      </c>
    </row>
    <row r="21" spans="1:8" ht="15.75" x14ac:dyDescent="0.25">
      <c r="A21" t="s">
        <v>9</v>
      </c>
      <c r="B21" s="9" t="s">
        <v>7</v>
      </c>
      <c r="C21" s="10"/>
      <c r="G21" s="13" t="s">
        <v>14</v>
      </c>
      <c r="H21" s="6">
        <f>H15+H17+H19</f>
        <v>145721.86382857146</v>
      </c>
    </row>
    <row r="22" spans="1:8" ht="15.75" thickBot="1" x14ac:dyDescent="0.3">
      <c r="A22" s="16"/>
      <c r="B22" s="14"/>
      <c r="C22" s="7"/>
    </row>
    <row r="23" spans="1:8" x14ac:dyDescent="0.25">
      <c r="E23" t="s">
        <v>100</v>
      </c>
      <c r="H23" s="20">
        <f>H21*0.4</f>
        <v>58288.745531428583</v>
      </c>
    </row>
    <row r="24" spans="1:8" ht="15.75" x14ac:dyDescent="0.25">
      <c r="A24" t="s">
        <v>10</v>
      </c>
      <c r="C24" s="10">
        <f>C15-C17-C19-C21</f>
        <v>232281.94978151261</v>
      </c>
      <c r="H24" s="18"/>
    </row>
    <row r="25" spans="1:8" x14ac:dyDescent="0.25">
      <c r="H25" s="3"/>
    </row>
    <row r="26" spans="1:8" x14ac:dyDescent="0.25">
      <c r="H26" s="18"/>
    </row>
    <row r="27" spans="1:8" x14ac:dyDescent="0.25">
      <c r="G27" t="s">
        <v>232</v>
      </c>
    </row>
  </sheetData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B65C8-2BAA-4C1F-8C27-5826692CBAB1}">
  <dimension ref="A1:H27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556</v>
      </c>
    </row>
    <row r="3" spans="1:8" ht="21" x14ac:dyDescent="0.35">
      <c r="A3" s="2" t="s">
        <v>1</v>
      </c>
      <c r="D3" s="11">
        <v>170765</v>
      </c>
      <c r="F3" s="12" t="s">
        <v>3</v>
      </c>
      <c r="H3" s="11">
        <f>(D3/1.19)*0.19</f>
        <v>27265</v>
      </c>
    </row>
    <row r="4" spans="1:8" x14ac:dyDescent="0.25">
      <c r="A4" s="13" t="s">
        <v>29</v>
      </c>
      <c r="C4" s="28">
        <v>699</v>
      </c>
    </row>
    <row r="5" spans="1:8" ht="21" x14ac:dyDescent="0.35">
      <c r="A5" s="2" t="s">
        <v>2</v>
      </c>
      <c r="C5" t="s">
        <v>232</v>
      </c>
    </row>
    <row r="7" spans="1:8" ht="18.75" x14ac:dyDescent="0.3">
      <c r="A7" s="5"/>
      <c r="D7" s="4"/>
      <c r="H7" s="4"/>
    </row>
    <row r="8" spans="1:8" ht="18.75" x14ac:dyDescent="0.3">
      <c r="A8" s="5" t="s">
        <v>397</v>
      </c>
      <c r="D8" s="4">
        <v>18389</v>
      </c>
      <c r="H8" s="30">
        <f t="shared" ref="H8:H9" si="0">(D8/1.19)*0.19</f>
        <v>2936.0588235294122</v>
      </c>
    </row>
    <row r="9" spans="1:8" ht="19.5" thickBot="1" x14ac:dyDescent="0.35">
      <c r="A9" s="5" t="s">
        <v>167</v>
      </c>
      <c r="D9" s="35">
        <v>84400</v>
      </c>
      <c r="E9" s="27"/>
      <c r="H9" s="35">
        <f t="shared" si="0"/>
        <v>13475.630252100842</v>
      </c>
    </row>
    <row r="10" spans="1:8" ht="19.5" thickTop="1" x14ac:dyDescent="0.3">
      <c r="D10" s="4">
        <f>SUM(D7:D9)</f>
        <v>102789</v>
      </c>
      <c r="H10" s="33">
        <f>SUM(H7:H9)</f>
        <v>16411.689075630253</v>
      </c>
    </row>
    <row r="12" spans="1:8" ht="18.75" x14ac:dyDescent="0.3">
      <c r="C12" t="s">
        <v>4</v>
      </c>
      <c r="D12" s="4">
        <f>D3-D10</f>
        <v>67976</v>
      </c>
      <c r="G12" t="s">
        <v>5</v>
      </c>
      <c r="H12" s="4">
        <f>H3-H10</f>
        <v>10853.310924369747</v>
      </c>
    </row>
    <row r="14" spans="1:8" x14ac:dyDescent="0.25">
      <c r="G14" t="s">
        <v>454</v>
      </c>
    </row>
    <row r="15" spans="1:8" ht="15.75" x14ac:dyDescent="0.25">
      <c r="A15" t="s">
        <v>6</v>
      </c>
      <c r="C15" s="8">
        <f>D12</f>
        <v>67976</v>
      </c>
      <c r="E15" t="s">
        <v>10</v>
      </c>
      <c r="H15" s="6">
        <f>C24</f>
        <v>56439.629075630255</v>
      </c>
    </row>
    <row r="17" spans="1:8" ht="15.75" x14ac:dyDescent="0.25">
      <c r="A17" t="s">
        <v>5</v>
      </c>
      <c r="B17" s="9" t="s">
        <v>7</v>
      </c>
      <c r="C17" s="8">
        <f>H12</f>
        <v>10853.310924369747</v>
      </c>
      <c r="E17" s="13" t="s">
        <v>11</v>
      </c>
      <c r="F17" s="9" t="s">
        <v>12</v>
      </c>
      <c r="G17" s="15" t="s">
        <v>17</v>
      </c>
      <c r="H17" s="3">
        <f>-(F18*0.0077)</f>
        <v>-1104.95</v>
      </c>
    </row>
    <row r="18" spans="1:8" x14ac:dyDescent="0.25">
      <c r="F18" s="21">
        <f>D3-H3</f>
        <v>143500</v>
      </c>
    </row>
    <row r="19" spans="1:8" ht="16.5" thickBot="1" x14ac:dyDescent="0.3">
      <c r="A19" t="s">
        <v>8</v>
      </c>
      <c r="B19" s="9" t="s">
        <v>7</v>
      </c>
      <c r="C19" s="8">
        <f>D3*0.004</f>
        <v>683.06000000000006</v>
      </c>
      <c r="F19" s="9" t="s">
        <v>13</v>
      </c>
      <c r="G19" s="16">
        <v>0.35</v>
      </c>
      <c r="H19" s="17">
        <f>-(F20*0.35)</f>
        <v>-19753.870176470587</v>
      </c>
    </row>
    <row r="20" spans="1:8" x14ac:dyDescent="0.25">
      <c r="F20" s="21">
        <f>H15</f>
        <v>56439.629075630255</v>
      </c>
    </row>
    <row r="21" spans="1:8" ht="15.75" x14ac:dyDescent="0.25">
      <c r="A21" t="s">
        <v>9</v>
      </c>
      <c r="B21" s="9" t="s">
        <v>7</v>
      </c>
      <c r="C21" s="10"/>
      <c r="G21" s="13" t="s">
        <v>14</v>
      </c>
      <c r="H21" s="6">
        <f>H15+H17+H19</f>
        <v>35580.808899159674</v>
      </c>
    </row>
    <row r="22" spans="1:8" ht="15.75" thickBot="1" x14ac:dyDescent="0.3">
      <c r="A22" s="16"/>
      <c r="B22" s="14"/>
      <c r="C22" s="7"/>
    </row>
    <row r="23" spans="1:8" x14ac:dyDescent="0.25">
      <c r="E23" t="s">
        <v>100</v>
      </c>
      <c r="H23" s="20">
        <f>H21*0.4</f>
        <v>14232.32355966387</v>
      </c>
    </row>
    <row r="24" spans="1:8" ht="15.75" x14ac:dyDescent="0.25">
      <c r="A24" t="s">
        <v>10</v>
      </c>
      <c r="C24" s="10">
        <f>C15-C17-C19-C21</f>
        <v>56439.629075630255</v>
      </c>
      <c r="H24" s="18"/>
    </row>
    <row r="25" spans="1:8" x14ac:dyDescent="0.25">
      <c r="H25" s="3"/>
    </row>
    <row r="26" spans="1:8" x14ac:dyDescent="0.25">
      <c r="H26" s="18"/>
    </row>
    <row r="27" spans="1:8" x14ac:dyDescent="0.25">
      <c r="G27" t="s">
        <v>232</v>
      </c>
    </row>
  </sheetData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2442E-75B2-4BDC-BC13-E33F952C0A88}">
  <dimension ref="A1:H27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557</v>
      </c>
    </row>
    <row r="3" spans="1:8" ht="21" x14ac:dyDescent="0.35">
      <c r="A3" s="2" t="s">
        <v>1</v>
      </c>
      <c r="D3" s="11">
        <v>1145435</v>
      </c>
      <c r="F3" s="12" t="s">
        <v>3</v>
      </c>
      <c r="H3" s="11">
        <f>(D3/1.19)*0.19</f>
        <v>182884.57983193276</v>
      </c>
    </row>
    <row r="4" spans="1:8" x14ac:dyDescent="0.25">
      <c r="A4" s="13" t="s">
        <v>29</v>
      </c>
      <c r="C4" s="28">
        <v>709</v>
      </c>
    </row>
    <row r="5" spans="1:8" ht="21" x14ac:dyDescent="0.35">
      <c r="A5" s="2" t="s">
        <v>2</v>
      </c>
      <c r="C5" t="s">
        <v>232</v>
      </c>
    </row>
    <row r="7" spans="1:8" ht="18.75" x14ac:dyDescent="0.3">
      <c r="A7" s="5"/>
      <c r="D7" s="4"/>
      <c r="H7" s="4"/>
    </row>
    <row r="8" spans="1:8" ht="18.75" x14ac:dyDescent="0.3">
      <c r="A8" s="5" t="s">
        <v>222</v>
      </c>
      <c r="D8" s="4">
        <v>447859</v>
      </c>
      <c r="H8" s="30">
        <f t="shared" ref="H8:H9" si="0">(D8/1.19)*0.19</f>
        <v>71506.899159663881</v>
      </c>
    </row>
    <row r="9" spans="1:8" ht="19.5" thickBot="1" x14ac:dyDescent="0.35">
      <c r="A9" s="5" t="s">
        <v>62</v>
      </c>
      <c r="D9" s="35">
        <v>309400</v>
      </c>
      <c r="E9" s="27"/>
      <c r="H9" s="35">
        <f t="shared" si="0"/>
        <v>49400</v>
      </c>
    </row>
    <row r="10" spans="1:8" ht="19.5" thickTop="1" x14ac:dyDescent="0.3">
      <c r="D10" s="4">
        <f>SUM(D7:D9)</f>
        <v>757259</v>
      </c>
      <c r="H10" s="33">
        <f>SUM(H7:H9)</f>
        <v>120906.89915966388</v>
      </c>
    </row>
    <row r="12" spans="1:8" ht="18.75" x14ac:dyDescent="0.3">
      <c r="C12" t="s">
        <v>4</v>
      </c>
      <c r="D12" s="4">
        <f>D3-D10</f>
        <v>388176</v>
      </c>
      <c r="G12" t="s">
        <v>5</v>
      </c>
      <c r="H12" s="4">
        <f>H3-H10</f>
        <v>61977.680672268878</v>
      </c>
    </row>
    <row r="14" spans="1:8" x14ac:dyDescent="0.25">
      <c r="G14" t="s">
        <v>454</v>
      </c>
    </row>
    <row r="15" spans="1:8" ht="15.75" x14ac:dyDescent="0.25">
      <c r="A15" t="s">
        <v>6</v>
      </c>
      <c r="C15" s="8">
        <f>D12</f>
        <v>388176</v>
      </c>
      <c r="E15" t="s">
        <v>10</v>
      </c>
      <c r="H15" s="6">
        <f>C24</f>
        <v>321616.57932773116</v>
      </c>
    </row>
    <row r="17" spans="1:8" ht="15.75" x14ac:dyDescent="0.25">
      <c r="A17" t="s">
        <v>5</v>
      </c>
      <c r="B17" s="9" t="s">
        <v>7</v>
      </c>
      <c r="C17" s="8">
        <f>H12</f>
        <v>61977.680672268878</v>
      </c>
      <c r="E17" s="13" t="s">
        <v>11</v>
      </c>
      <c r="F17" s="9" t="s">
        <v>12</v>
      </c>
      <c r="G17" s="15" t="s">
        <v>17</v>
      </c>
      <c r="H17" s="3">
        <f>-(F18*0.0077)</f>
        <v>-7411.6382352941182</v>
      </c>
    </row>
    <row r="18" spans="1:8" x14ac:dyDescent="0.25">
      <c r="F18" s="21">
        <f>D3-H3</f>
        <v>962550.42016806721</v>
      </c>
    </row>
    <row r="19" spans="1:8" ht="16.5" thickBot="1" x14ac:dyDescent="0.3">
      <c r="A19" t="s">
        <v>8</v>
      </c>
      <c r="B19" s="9" t="s">
        <v>7</v>
      </c>
      <c r="C19" s="8">
        <f>D3*0.004</f>
        <v>4581.74</v>
      </c>
      <c r="F19" s="9" t="s">
        <v>13</v>
      </c>
      <c r="G19" s="16">
        <v>0.35</v>
      </c>
      <c r="H19" s="17">
        <f>-(F20*0.35)</f>
        <v>-112565.80276470591</v>
      </c>
    </row>
    <row r="20" spans="1:8" x14ac:dyDescent="0.25">
      <c r="F20" s="21">
        <f>H15</f>
        <v>321616.57932773116</v>
      </c>
    </row>
    <row r="21" spans="1:8" ht="15.75" x14ac:dyDescent="0.25">
      <c r="A21" t="s">
        <v>9</v>
      </c>
      <c r="B21" s="9" t="s">
        <v>7</v>
      </c>
      <c r="C21" s="10"/>
      <c r="G21" s="13" t="s">
        <v>14</v>
      </c>
      <c r="H21" s="6">
        <f>H15+H17+H19</f>
        <v>201639.13832773111</v>
      </c>
    </row>
    <row r="22" spans="1:8" ht="15.75" thickBot="1" x14ac:dyDescent="0.3">
      <c r="A22" s="16"/>
      <c r="B22" s="14"/>
      <c r="C22" s="7"/>
    </row>
    <row r="23" spans="1:8" x14ac:dyDescent="0.25">
      <c r="E23" t="s">
        <v>100</v>
      </c>
      <c r="H23" s="20">
        <f>H21*0.4</f>
        <v>80655.65533109245</v>
      </c>
    </row>
    <row r="24" spans="1:8" ht="15.75" x14ac:dyDescent="0.25">
      <c r="A24" t="s">
        <v>10</v>
      </c>
      <c r="C24" s="10">
        <f>C15-C17-C19-C21</f>
        <v>321616.57932773116</v>
      </c>
      <c r="H24" s="18"/>
    </row>
    <row r="25" spans="1:8" x14ac:dyDescent="0.25">
      <c r="H25" s="3"/>
    </row>
    <row r="26" spans="1:8" x14ac:dyDescent="0.25">
      <c r="H26" s="18"/>
    </row>
    <row r="27" spans="1:8" x14ac:dyDescent="0.25">
      <c r="G27" t="s">
        <v>232</v>
      </c>
    </row>
  </sheetData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B6D75-B51D-4168-8F52-7E8A061DF9DE}">
  <dimension ref="A1:H27"/>
  <sheetViews>
    <sheetView workbookViewId="0">
      <selection activeCell="C5" sqref="C5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558</v>
      </c>
    </row>
    <row r="3" spans="1:8" ht="21" x14ac:dyDescent="0.35">
      <c r="A3" s="2" t="s">
        <v>1</v>
      </c>
      <c r="D3" s="11">
        <v>130365</v>
      </c>
      <c r="F3" s="12" t="s">
        <v>3</v>
      </c>
      <c r="H3" s="11">
        <f>(D3/1.19)*0.19</f>
        <v>20814.579831932773</v>
      </c>
    </row>
    <row r="4" spans="1:8" x14ac:dyDescent="0.25">
      <c r="A4" s="13" t="s">
        <v>29</v>
      </c>
      <c r="C4" s="28">
        <v>710</v>
      </c>
    </row>
    <row r="5" spans="1:8" ht="21" x14ac:dyDescent="0.35">
      <c r="A5" s="2" t="s">
        <v>2</v>
      </c>
      <c r="C5" t="s">
        <v>232</v>
      </c>
    </row>
    <row r="7" spans="1:8" ht="18.75" x14ac:dyDescent="0.3">
      <c r="A7" s="5"/>
      <c r="D7" s="4"/>
      <c r="H7" s="4"/>
    </row>
    <row r="8" spans="1:8" ht="18.75" x14ac:dyDescent="0.3">
      <c r="A8" s="5" t="s">
        <v>397</v>
      </c>
      <c r="D8" s="4">
        <v>94826</v>
      </c>
      <c r="H8" s="30">
        <f t="shared" ref="H8" si="0">(D8/1.19)*0.19</f>
        <v>15140.285714285716</v>
      </c>
    </row>
    <row r="9" spans="1:8" ht="19.5" thickBot="1" x14ac:dyDescent="0.35">
      <c r="A9" s="5"/>
      <c r="D9" s="35"/>
      <c r="E9" s="27"/>
      <c r="H9" s="35"/>
    </row>
    <row r="10" spans="1:8" ht="19.5" thickTop="1" x14ac:dyDescent="0.3">
      <c r="D10" s="4">
        <f>SUM(D7:D9)</f>
        <v>94826</v>
      </c>
      <c r="H10" s="33">
        <f>SUM(H7:H9)</f>
        <v>15140.285714285716</v>
      </c>
    </row>
    <row r="12" spans="1:8" ht="18.75" x14ac:dyDescent="0.3">
      <c r="C12" t="s">
        <v>4</v>
      </c>
      <c r="D12" s="4">
        <f>D3-D10</f>
        <v>35539</v>
      </c>
      <c r="G12" t="s">
        <v>5</v>
      </c>
      <c r="H12" s="4">
        <f>H3-H10</f>
        <v>5674.2941176470576</v>
      </c>
    </row>
    <row r="14" spans="1:8" x14ac:dyDescent="0.25">
      <c r="G14" t="s">
        <v>454</v>
      </c>
    </row>
    <row r="15" spans="1:8" ht="15.75" x14ac:dyDescent="0.25">
      <c r="A15" t="s">
        <v>6</v>
      </c>
      <c r="C15" s="8">
        <f>D12</f>
        <v>35539</v>
      </c>
      <c r="E15" t="s">
        <v>10</v>
      </c>
      <c r="H15" s="6">
        <f>C24</f>
        <v>29343.245882352945</v>
      </c>
    </row>
    <row r="17" spans="1:8" ht="15.75" x14ac:dyDescent="0.25">
      <c r="A17" t="s">
        <v>5</v>
      </c>
      <c r="B17" s="9" t="s">
        <v>7</v>
      </c>
      <c r="C17" s="8">
        <f>H12</f>
        <v>5674.2941176470576</v>
      </c>
      <c r="E17" s="13" t="s">
        <v>11</v>
      </c>
      <c r="F17" s="9" t="s">
        <v>12</v>
      </c>
      <c r="G17" s="15" t="s">
        <v>17</v>
      </c>
      <c r="H17" s="3">
        <f>-(F18*0.0077)</f>
        <v>-843.53823529411773</v>
      </c>
    </row>
    <row r="18" spans="1:8" x14ac:dyDescent="0.25">
      <c r="F18" s="21">
        <f>D3-H3</f>
        <v>109550.42016806723</v>
      </c>
    </row>
    <row r="19" spans="1:8" ht="16.5" thickBot="1" x14ac:dyDescent="0.3">
      <c r="A19" t="s">
        <v>8</v>
      </c>
      <c r="B19" s="9" t="s">
        <v>7</v>
      </c>
      <c r="C19" s="8">
        <f>D3*0.004</f>
        <v>521.46</v>
      </c>
      <c r="F19" s="9" t="s">
        <v>13</v>
      </c>
      <c r="G19" s="16">
        <v>0.35</v>
      </c>
      <c r="H19" s="17">
        <f>-(F20*0.35)</f>
        <v>-10270.136058823529</v>
      </c>
    </row>
    <row r="20" spans="1:8" x14ac:dyDescent="0.25">
      <c r="F20" s="21">
        <f>H15</f>
        <v>29343.245882352945</v>
      </c>
    </row>
    <row r="21" spans="1:8" ht="15.75" x14ac:dyDescent="0.25">
      <c r="A21" t="s">
        <v>9</v>
      </c>
      <c r="B21" s="9" t="s">
        <v>7</v>
      </c>
      <c r="C21" s="10"/>
      <c r="G21" s="13" t="s">
        <v>14</v>
      </c>
      <c r="H21" s="6">
        <f>H15+H17+H19</f>
        <v>18229.5715882353</v>
      </c>
    </row>
    <row r="22" spans="1:8" ht="15.75" thickBot="1" x14ac:dyDescent="0.3">
      <c r="A22" s="16"/>
      <c r="B22" s="14"/>
      <c r="C22" s="7"/>
    </row>
    <row r="23" spans="1:8" x14ac:dyDescent="0.25">
      <c r="E23" t="s">
        <v>100</v>
      </c>
      <c r="H23" s="20">
        <f>H21*0.4</f>
        <v>7291.8286352941204</v>
      </c>
    </row>
    <row r="24" spans="1:8" ht="15.75" x14ac:dyDescent="0.25">
      <c r="A24" t="s">
        <v>10</v>
      </c>
      <c r="C24" s="10">
        <f>C15-C17-C19-C21</f>
        <v>29343.245882352945</v>
      </c>
      <c r="H24" s="18"/>
    </row>
    <row r="25" spans="1:8" x14ac:dyDescent="0.25">
      <c r="H25" s="3"/>
    </row>
    <row r="26" spans="1:8" x14ac:dyDescent="0.25">
      <c r="H26" s="18"/>
    </row>
    <row r="27" spans="1:8" x14ac:dyDescent="0.25">
      <c r="G27" t="s">
        <v>232</v>
      </c>
    </row>
  </sheetData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E2DDE-75BB-4CE8-BC28-2B5ECC573ABA}">
  <dimension ref="A1:H27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557</v>
      </c>
    </row>
    <row r="3" spans="1:8" ht="21" x14ac:dyDescent="0.35">
      <c r="A3" s="2" t="s">
        <v>1</v>
      </c>
      <c r="D3" s="11">
        <v>502775</v>
      </c>
      <c r="F3" s="12" t="s">
        <v>3</v>
      </c>
      <c r="H3" s="11">
        <f>(D3/1.19)*0.19</f>
        <v>80275</v>
      </c>
    </row>
    <row r="4" spans="1:8" x14ac:dyDescent="0.25">
      <c r="A4" s="13" t="s">
        <v>29</v>
      </c>
      <c r="C4" s="28">
        <v>711</v>
      </c>
    </row>
    <row r="5" spans="1:8" ht="21" x14ac:dyDescent="0.35">
      <c r="A5" s="2" t="s">
        <v>2</v>
      </c>
      <c r="C5" t="s">
        <v>232</v>
      </c>
    </row>
    <row r="7" spans="1:8" ht="18.75" x14ac:dyDescent="0.3">
      <c r="A7" s="5"/>
      <c r="D7" s="4"/>
      <c r="H7" s="4"/>
    </row>
    <row r="8" spans="1:8" ht="18.75" x14ac:dyDescent="0.3">
      <c r="A8" s="5" t="s">
        <v>222</v>
      </c>
      <c r="D8" s="4">
        <v>347362</v>
      </c>
      <c r="H8" s="30">
        <f t="shared" ref="H8" si="0">(D8/1.19)*0.19</f>
        <v>55461.159663865554</v>
      </c>
    </row>
    <row r="9" spans="1:8" ht="19.5" thickBot="1" x14ac:dyDescent="0.35">
      <c r="A9" s="5"/>
      <c r="D9" s="35"/>
      <c r="E9" s="27"/>
      <c r="H9" s="35"/>
    </row>
    <row r="10" spans="1:8" ht="19.5" thickTop="1" x14ac:dyDescent="0.3">
      <c r="D10" s="4">
        <f>SUM(D7:D9)</f>
        <v>347362</v>
      </c>
      <c r="H10" s="33">
        <f>SUM(H7:H9)</f>
        <v>55461.159663865554</v>
      </c>
    </row>
    <row r="12" spans="1:8" ht="18.75" x14ac:dyDescent="0.3">
      <c r="C12" t="s">
        <v>4</v>
      </c>
      <c r="D12" s="4">
        <f>D3-D10</f>
        <v>155413</v>
      </c>
      <c r="G12" t="s">
        <v>5</v>
      </c>
      <c r="H12" s="4">
        <f>H3-H10</f>
        <v>24813.840336134446</v>
      </c>
    </row>
    <row r="14" spans="1:8" x14ac:dyDescent="0.25">
      <c r="G14" t="s">
        <v>454</v>
      </c>
    </row>
    <row r="15" spans="1:8" ht="15.75" x14ac:dyDescent="0.25">
      <c r="A15" t="s">
        <v>6</v>
      </c>
      <c r="C15" s="8">
        <f>D12</f>
        <v>155413</v>
      </c>
      <c r="E15" t="s">
        <v>10</v>
      </c>
      <c r="H15" s="6">
        <f>C24</f>
        <v>128588.05966386554</v>
      </c>
    </row>
    <row r="17" spans="1:8" ht="15.75" x14ac:dyDescent="0.25">
      <c r="A17" t="s">
        <v>5</v>
      </c>
      <c r="B17" s="9" t="s">
        <v>7</v>
      </c>
      <c r="C17" s="8">
        <f>H12</f>
        <v>24813.840336134446</v>
      </c>
      <c r="E17" s="13" t="s">
        <v>11</v>
      </c>
      <c r="F17" s="9" t="s">
        <v>12</v>
      </c>
      <c r="G17" s="15" t="s">
        <v>17</v>
      </c>
      <c r="H17" s="3">
        <f>-(F18*0.0077)</f>
        <v>-3253.25</v>
      </c>
    </row>
    <row r="18" spans="1:8" x14ac:dyDescent="0.25">
      <c r="F18" s="21">
        <f>D3-H3</f>
        <v>422500</v>
      </c>
    </row>
    <row r="19" spans="1:8" ht="16.5" thickBot="1" x14ac:dyDescent="0.3">
      <c r="A19" t="s">
        <v>8</v>
      </c>
      <c r="B19" s="9" t="s">
        <v>7</v>
      </c>
      <c r="C19" s="8">
        <f>D3*0.004</f>
        <v>2011.1000000000001</v>
      </c>
      <c r="F19" s="9" t="s">
        <v>13</v>
      </c>
      <c r="G19" s="16">
        <v>0.35</v>
      </c>
      <c r="H19" s="17">
        <f>-(F20*0.35)</f>
        <v>-45005.820882352935</v>
      </c>
    </row>
    <row r="20" spans="1:8" x14ac:dyDescent="0.25">
      <c r="F20" s="21">
        <f>H15</f>
        <v>128588.05966386554</v>
      </c>
    </row>
    <row r="21" spans="1:8" ht="15.75" x14ac:dyDescent="0.25">
      <c r="A21" t="s">
        <v>9</v>
      </c>
      <c r="B21" s="9" t="s">
        <v>7</v>
      </c>
      <c r="C21" s="10"/>
      <c r="G21" s="13" t="s">
        <v>14</v>
      </c>
      <c r="H21" s="6">
        <f>H15+H17+H19</f>
        <v>80328.988781512599</v>
      </c>
    </row>
    <row r="22" spans="1:8" ht="15.75" thickBot="1" x14ac:dyDescent="0.3">
      <c r="A22" s="16"/>
      <c r="B22" s="14"/>
      <c r="C22" s="7"/>
    </row>
    <row r="23" spans="1:8" x14ac:dyDescent="0.25">
      <c r="E23" t="s">
        <v>100</v>
      </c>
      <c r="H23" s="20">
        <f>H21*0.4</f>
        <v>32131.595512605039</v>
      </c>
    </row>
    <row r="24" spans="1:8" ht="15.75" x14ac:dyDescent="0.25">
      <c r="A24" t="s">
        <v>10</v>
      </c>
      <c r="C24" s="10">
        <f>C15-C17-C19-C21</f>
        <v>128588.05966386554</v>
      </c>
      <c r="H24" s="18"/>
    </row>
    <row r="25" spans="1:8" x14ac:dyDescent="0.25">
      <c r="H25" s="3"/>
    </row>
    <row r="26" spans="1:8" x14ac:dyDescent="0.25">
      <c r="H26" s="18"/>
    </row>
    <row r="27" spans="1:8" x14ac:dyDescent="0.25">
      <c r="G27" t="s">
        <v>232</v>
      </c>
    </row>
  </sheetData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614AE-5AB6-4319-B080-22FF3EF2775C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46B00-D978-4D64-9E88-610CEAF15D41}">
  <dimension ref="A1:H27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559</v>
      </c>
    </row>
    <row r="3" spans="1:8" ht="21" x14ac:dyDescent="0.35">
      <c r="A3" s="2" t="s">
        <v>1</v>
      </c>
      <c r="D3" s="11">
        <v>4729900</v>
      </c>
      <c r="F3" s="12" t="s">
        <v>3</v>
      </c>
      <c r="H3" s="11">
        <f>(D3/1.19)*0.19</f>
        <v>755194.1176470588</v>
      </c>
    </row>
    <row r="4" spans="1:8" x14ac:dyDescent="0.25">
      <c r="A4" s="13" t="s">
        <v>29</v>
      </c>
      <c r="C4" s="28">
        <v>712</v>
      </c>
    </row>
    <row r="5" spans="1:8" ht="21" x14ac:dyDescent="0.35">
      <c r="A5" s="2" t="s">
        <v>2</v>
      </c>
      <c r="C5" t="s">
        <v>232</v>
      </c>
    </row>
    <row r="7" spans="1:8" ht="18.75" x14ac:dyDescent="0.3">
      <c r="A7" s="5" t="s">
        <v>561</v>
      </c>
      <c r="D7" s="4">
        <v>246330</v>
      </c>
      <c r="H7" s="4">
        <f>(D7/1.19)*0.19</f>
        <v>39330</v>
      </c>
    </row>
    <row r="8" spans="1:8" ht="18.75" x14ac:dyDescent="0.3">
      <c r="A8" s="5" t="s">
        <v>560</v>
      </c>
      <c r="D8" s="4">
        <v>2257311</v>
      </c>
      <c r="H8" s="30">
        <f t="shared" ref="H8" si="0">(D8/1.19)*0.19</f>
        <v>360411</v>
      </c>
    </row>
    <row r="9" spans="1:8" ht="19.5" thickBot="1" x14ac:dyDescent="0.35">
      <c r="A9" s="5" t="s">
        <v>562</v>
      </c>
      <c r="D9" s="35">
        <v>30000</v>
      </c>
      <c r="E9" s="27"/>
      <c r="H9" s="35"/>
    </row>
    <row r="10" spans="1:8" ht="19.5" thickTop="1" x14ac:dyDescent="0.3">
      <c r="D10" s="4">
        <f>SUM(D7:D9)</f>
        <v>2533641</v>
      </c>
      <c r="H10" s="33">
        <f>SUM(H7:H9)</f>
        <v>399741</v>
      </c>
    </row>
    <row r="12" spans="1:8" ht="18.75" x14ac:dyDescent="0.3">
      <c r="C12" t="s">
        <v>4</v>
      </c>
      <c r="D12" s="4">
        <f>D3-D10</f>
        <v>2196259</v>
      </c>
      <c r="G12" t="s">
        <v>5</v>
      </c>
      <c r="H12" s="4">
        <f>H3-H10</f>
        <v>355453.1176470588</v>
      </c>
    </row>
    <row r="14" spans="1:8" x14ac:dyDescent="0.25">
      <c r="G14" t="s">
        <v>454</v>
      </c>
    </row>
    <row r="15" spans="1:8" ht="15.75" x14ac:dyDescent="0.25">
      <c r="A15" t="s">
        <v>6</v>
      </c>
      <c r="C15" s="8">
        <f>D12</f>
        <v>2196259</v>
      </c>
      <c r="E15" t="s">
        <v>10</v>
      </c>
      <c r="H15" s="6">
        <f>C24</f>
        <v>1821886.2823529411</v>
      </c>
    </row>
    <row r="17" spans="1:8" ht="15.75" x14ac:dyDescent="0.25">
      <c r="A17" t="s">
        <v>5</v>
      </c>
      <c r="B17" s="9" t="s">
        <v>7</v>
      </c>
      <c r="C17" s="8">
        <f>H12</f>
        <v>355453.1176470588</v>
      </c>
      <c r="E17" s="13" t="s">
        <v>11</v>
      </c>
      <c r="F17" s="9" t="s">
        <v>12</v>
      </c>
      <c r="G17" s="15" t="s">
        <v>17</v>
      </c>
      <c r="H17" s="3">
        <f>-(F18*0.0077)</f>
        <v>-31262</v>
      </c>
    </row>
    <row r="18" spans="1:8" x14ac:dyDescent="0.25">
      <c r="F18" s="21">
        <v>4060000</v>
      </c>
    </row>
    <row r="19" spans="1:8" ht="16.5" thickBot="1" x14ac:dyDescent="0.3">
      <c r="A19" t="s">
        <v>8</v>
      </c>
      <c r="B19" s="9" t="s">
        <v>7</v>
      </c>
      <c r="C19" s="8">
        <f>D3*0.004</f>
        <v>18919.600000000002</v>
      </c>
      <c r="F19" s="9" t="s">
        <v>13</v>
      </c>
      <c r="G19" s="16">
        <v>0.35</v>
      </c>
      <c r="H19" s="17">
        <f>-(F20*0.35)</f>
        <v>-637660.1988235293</v>
      </c>
    </row>
    <row r="20" spans="1:8" x14ac:dyDescent="0.25">
      <c r="F20" s="21">
        <f>H15</f>
        <v>1821886.2823529411</v>
      </c>
    </row>
    <row r="21" spans="1:8" ht="15.75" x14ac:dyDescent="0.25">
      <c r="A21" t="s">
        <v>9</v>
      </c>
      <c r="B21" s="9" t="s">
        <v>7</v>
      </c>
      <c r="C21" s="10"/>
      <c r="G21" s="13" t="s">
        <v>14</v>
      </c>
      <c r="H21" s="6">
        <f>H15+H17+H19</f>
        <v>1152964.0835294118</v>
      </c>
    </row>
    <row r="22" spans="1:8" ht="15.75" thickBot="1" x14ac:dyDescent="0.3">
      <c r="A22" s="16"/>
      <c r="B22" s="14"/>
      <c r="C22" s="7"/>
    </row>
    <row r="23" spans="1:8" x14ac:dyDescent="0.25">
      <c r="E23" t="s">
        <v>100</v>
      </c>
      <c r="H23" s="20">
        <f>H21*0.4</f>
        <v>461185.63341176475</v>
      </c>
    </row>
    <row r="24" spans="1:8" ht="15.75" x14ac:dyDescent="0.25">
      <c r="A24" t="s">
        <v>10</v>
      </c>
      <c r="C24" s="10">
        <f>C15-C17-C19-C21</f>
        <v>1821886.2823529411</v>
      </c>
      <c r="H24" s="18"/>
    </row>
    <row r="25" spans="1:8" x14ac:dyDescent="0.25">
      <c r="H25" s="3"/>
    </row>
    <row r="26" spans="1:8" x14ac:dyDescent="0.25">
      <c r="H26" s="18"/>
    </row>
    <row r="27" spans="1:8" x14ac:dyDescent="0.25">
      <c r="G27" t="s">
        <v>232</v>
      </c>
    </row>
  </sheetData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D3CFC-D71A-4330-836C-9926E277256C}">
  <dimension ref="A1:H27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563</v>
      </c>
    </row>
    <row r="3" spans="1:8" ht="21" x14ac:dyDescent="0.35">
      <c r="A3" s="2" t="s">
        <v>1</v>
      </c>
      <c r="D3" s="11">
        <v>242257</v>
      </c>
      <c r="F3" s="12" t="s">
        <v>3</v>
      </c>
      <c r="H3" s="11">
        <f>(D3/1.19)*0.19</f>
        <v>38679.689075630253</v>
      </c>
    </row>
    <row r="4" spans="1:8" x14ac:dyDescent="0.25">
      <c r="A4" s="13" t="s">
        <v>29</v>
      </c>
      <c r="C4" s="28">
        <v>714</v>
      </c>
    </row>
    <row r="5" spans="1:8" ht="21" x14ac:dyDescent="0.35">
      <c r="A5" s="2" t="s">
        <v>2</v>
      </c>
      <c r="C5" t="s">
        <v>232</v>
      </c>
    </row>
    <row r="7" spans="1:8" ht="18.75" x14ac:dyDescent="0.3">
      <c r="A7" s="5" t="s">
        <v>310</v>
      </c>
      <c r="D7" s="4">
        <v>182500</v>
      </c>
      <c r="H7" s="4">
        <f>(D7/1.19)*0.19</f>
        <v>29138.655462184877</v>
      </c>
    </row>
    <row r="8" spans="1:8" ht="18.75" x14ac:dyDescent="0.3">
      <c r="A8" s="5"/>
      <c r="D8" s="4"/>
      <c r="H8" s="30"/>
    </row>
    <row r="9" spans="1:8" ht="19.5" thickBot="1" x14ac:dyDescent="0.35">
      <c r="A9" s="5"/>
      <c r="D9" s="35"/>
      <c r="E9" s="27"/>
      <c r="H9" s="35"/>
    </row>
    <row r="10" spans="1:8" ht="19.5" thickTop="1" x14ac:dyDescent="0.3">
      <c r="D10" s="4">
        <f>SUM(D7:D9)</f>
        <v>182500</v>
      </c>
      <c r="H10" s="33">
        <f>SUM(H7:H9)</f>
        <v>29138.655462184877</v>
      </c>
    </row>
    <row r="12" spans="1:8" ht="18.75" x14ac:dyDescent="0.3">
      <c r="C12" t="s">
        <v>4</v>
      </c>
      <c r="D12" s="4">
        <f>D3-D10</f>
        <v>59757</v>
      </c>
      <c r="G12" t="s">
        <v>5</v>
      </c>
      <c r="H12" s="4">
        <f>H3-H10</f>
        <v>9541.0336134453755</v>
      </c>
    </row>
    <row r="14" spans="1:8" x14ac:dyDescent="0.25">
      <c r="G14" t="s">
        <v>454</v>
      </c>
    </row>
    <row r="15" spans="1:8" ht="15.75" x14ac:dyDescent="0.25">
      <c r="A15" t="s">
        <v>6</v>
      </c>
      <c r="C15" s="8">
        <f>D12</f>
        <v>59757</v>
      </c>
      <c r="E15" t="s">
        <v>10</v>
      </c>
      <c r="H15" s="6">
        <f>C24</f>
        <v>49246.938386554626</v>
      </c>
    </row>
    <row r="17" spans="1:8" ht="15.75" x14ac:dyDescent="0.25">
      <c r="A17" t="s">
        <v>5</v>
      </c>
      <c r="B17" s="9" t="s">
        <v>7</v>
      </c>
      <c r="C17" s="8">
        <f>H12</f>
        <v>9541.0336134453755</v>
      </c>
      <c r="E17" s="13" t="s">
        <v>11</v>
      </c>
      <c r="F17" s="9" t="s">
        <v>12</v>
      </c>
      <c r="G17" s="15" t="s">
        <v>17</v>
      </c>
      <c r="H17" s="3">
        <f>-(F18*0.0077)</f>
        <v>-1567.5452941176472</v>
      </c>
    </row>
    <row r="18" spans="1:8" x14ac:dyDescent="0.25">
      <c r="F18" s="21">
        <f>D3-H3</f>
        <v>203577.31092436975</v>
      </c>
    </row>
    <row r="19" spans="1:8" ht="16.5" thickBot="1" x14ac:dyDescent="0.3">
      <c r="A19" t="s">
        <v>8</v>
      </c>
      <c r="B19" s="9" t="s">
        <v>7</v>
      </c>
      <c r="C19" s="8">
        <f>D3*0.004</f>
        <v>969.02800000000002</v>
      </c>
      <c r="F19" s="9" t="s">
        <v>13</v>
      </c>
      <c r="G19" s="16">
        <v>0.35</v>
      </c>
      <c r="H19" s="17">
        <f>-(F20*0.35)</f>
        <v>-17236.428435294118</v>
      </c>
    </row>
    <row r="20" spans="1:8" x14ac:dyDescent="0.25">
      <c r="F20" s="21">
        <f>H15</f>
        <v>49246.938386554626</v>
      </c>
    </row>
    <row r="21" spans="1:8" ht="15.75" x14ac:dyDescent="0.25">
      <c r="A21" t="s">
        <v>9</v>
      </c>
      <c r="B21" s="9" t="s">
        <v>7</v>
      </c>
      <c r="C21" s="10"/>
      <c r="G21" s="13" t="s">
        <v>14</v>
      </c>
      <c r="H21" s="6">
        <f>H15+H17+H19</f>
        <v>30442.96465714286</v>
      </c>
    </row>
    <row r="22" spans="1:8" ht="15.75" thickBot="1" x14ac:dyDescent="0.3">
      <c r="A22" s="16"/>
      <c r="B22" s="14"/>
      <c r="C22" s="7"/>
    </row>
    <row r="23" spans="1:8" x14ac:dyDescent="0.25">
      <c r="E23" t="s">
        <v>100</v>
      </c>
      <c r="H23" s="20">
        <f>H21*0.4</f>
        <v>12177.185862857144</v>
      </c>
    </row>
    <row r="24" spans="1:8" ht="15.75" x14ac:dyDescent="0.25">
      <c r="A24" t="s">
        <v>10</v>
      </c>
      <c r="C24" s="10">
        <f>C15-C17-C19-C21</f>
        <v>49246.938386554626</v>
      </c>
      <c r="H24" s="18"/>
    </row>
    <row r="25" spans="1:8" x14ac:dyDescent="0.25">
      <c r="H25" s="3"/>
    </row>
    <row r="26" spans="1:8" x14ac:dyDescent="0.25">
      <c r="H26" s="18"/>
    </row>
    <row r="27" spans="1:8" x14ac:dyDescent="0.25">
      <c r="G27" t="s">
        <v>232</v>
      </c>
    </row>
  </sheetData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C6A02-7BC5-4BC7-9CBF-8DA18E022580}">
  <dimension ref="A1:H27"/>
  <sheetViews>
    <sheetView topLeftCell="A4" workbookViewId="0">
      <selection activeCell="A4"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564</v>
      </c>
    </row>
    <row r="3" spans="1:8" ht="21" x14ac:dyDescent="0.35">
      <c r="A3" s="2" t="s">
        <v>1</v>
      </c>
      <c r="D3" s="11">
        <v>313732</v>
      </c>
      <c r="F3" s="12" t="s">
        <v>3</v>
      </c>
      <c r="H3" s="11">
        <f>(D3/1.19)*0.19</f>
        <v>50091.663865546216</v>
      </c>
    </row>
    <row r="4" spans="1:8" x14ac:dyDescent="0.25">
      <c r="A4" s="13" t="s">
        <v>29</v>
      </c>
      <c r="C4" s="28">
        <v>716</v>
      </c>
    </row>
    <row r="5" spans="1:8" ht="21" x14ac:dyDescent="0.35">
      <c r="A5" s="2" t="s">
        <v>2</v>
      </c>
      <c r="C5" t="s">
        <v>232</v>
      </c>
    </row>
    <row r="7" spans="1:8" ht="18.75" x14ac:dyDescent="0.3">
      <c r="A7" s="5" t="s">
        <v>565</v>
      </c>
      <c r="D7" s="4">
        <v>214200</v>
      </c>
      <c r="H7" s="4">
        <f>(D7/1.19)*0.19</f>
        <v>34200</v>
      </c>
    </row>
    <row r="8" spans="1:8" ht="18.75" x14ac:dyDescent="0.3">
      <c r="A8" s="5" t="s">
        <v>397</v>
      </c>
      <c r="D8" s="4">
        <v>40635</v>
      </c>
      <c r="H8" s="4">
        <f>(D8/1.19)*0.19</f>
        <v>6487.9411764705883</v>
      </c>
    </row>
    <row r="9" spans="1:8" ht="19.5" thickBot="1" x14ac:dyDescent="0.35">
      <c r="A9" s="5"/>
      <c r="D9" s="35"/>
      <c r="E9" s="27"/>
      <c r="H9" s="35"/>
    </row>
    <row r="10" spans="1:8" ht="19.5" thickTop="1" x14ac:dyDescent="0.3">
      <c r="D10" s="4">
        <f>SUM(D7:D9)</f>
        <v>254835</v>
      </c>
      <c r="H10" s="33">
        <f>SUM(H7:H9)</f>
        <v>40687.941176470587</v>
      </c>
    </row>
    <row r="12" spans="1:8" ht="18.75" x14ac:dyDescent="0.3">
      <c r="C12" t="s">
        <v>4</v>
      </c>
      <c r="D12" s="4">
        <f>D3-D10</f>
        <v>58897</v>
      </c>
      <c r="G12" t="s">
        <v>5</v>
      </c>
      <c r="H12" s="4">
        <f>H3-H10</f>
        <v>9403.7226890756283</v>
      </c>
    </row>
    <row r="14" spans="1:8" x14ac:dyDescent="0.25">
      <c r="G14" t="s">
        <v>454</v>
      </c>
    </row>
    <row r="15" spans="1:8" ht="15.75" x14ac:dyDescent="0.25">
      <c r="A15" t="s">
        <v>6</v>
      </c>
      <c r="C15" s="8">
        <f>D12</f>
        <v>58897</v>
      </c>
      <c r="E15" t="s">
        <v>10</v>
      </c>
      <c r="H15" s="6">
        <f>C24</f>
        <v>48238.349310924372</v>
      </c>
    </row>
    <row r="17" spans="1:8" ht="15.75" x14ac:dyDescent="0.25">
      <c r="A17" t="s">
        <v>5</v>
      </c>
      <c r="B17" s="9" t="s">
        <v>7</v>
      </c>
      <c r="C17" s="8">
        <f>H12</f>
        <v>9403.7226890756283</v>
      </c>
      <c r="E17" s="13" t="s">
        <v>11</v>
      </c>
      <c r="F17" s="9" t="s">
        <v>12</v>
      </c>
      <c r="G17" s="15" t="s">
        <v>17</v>
      </c>
      <c r="H17" s="3">
        <f>-(F18*0.0077)</f>
        <v>-2030.0305882352941</v>
      </c>
    </row>
    <row r="18" spans="1:8" x14ac:dyDescent="0.25">
      <c r="F18" s="21">
        <f>D3-H3</f>
        <v>263640.33613445377</v>
      </c>
    </row>
    <row r="19" spans="1:8" ht="16.5" thickBot="1" x14ac:dyDescent="0.3">
      <c r="A19" t="s">
        <v>8</v>
      </c>
      <c r="B19" s="9" t="s">
        <v>7</v>
      </c>
      <c r="C19" s="8">
        <f>D3*0.004</f>
        <v>1254.9280000000001</v>
      </c>
      <c r="F19" s="9" t="s">
        <v>13</v>
      </c>
      <c r="G19" s="16">
        <v>0.35</v>
      </c>
      <c r="H19" s="17">
        <f>-(F20*0.35)</f>
        <v>-16883.422258823528</v>
      </c>
    </row>
    <row r="20" spans="1:8" x14ac:dyDescent="0.25">
      <c r="F20" s="21">
        <f>H15</f>
        <v>48238.349310924372</v>
      </c>
    </row>
    <row r="21" spans="1:8" ht="15.75" x14ac:dyDescent="0.25">
      <c r="A21" t="s">
        <v>9</v>
      </c>
      <c r="B21" s="9" t="s">
        <v>7</v>
      </c>
      <c r="C21" s="10"/>
      <c r="G21" s="13" t="s">
        <v>14</v>
      </c>
      <c r="H21" s="6">
        <f>H15+H17+H19</f>
        <v>29324.896463865553</v>
      </c>
    </row>
    <row r="22" spans="1:8" ht="15.75" thickBot="1" x14ac:dyDescent="0.3">
      <c r="A22" s="16"/>
      <c r="B22" s="14"/>
      <c r="C22" s="7"/>
    </row>
    <row r="23" spans="1:8" x14ac:dyDescent="0.25">
      <c r="E23" t="s">
        <v>100</v>
      </c>
      <c r="H23" s="20">
        <f>H21*0.4</f>
        <v>11729.958585546221</v>
      </c>
    </row>
    <row r="24" spans="1:8" ht="15.75" x14ac:dyDescent="0.25">
      <c r="A24" t="s">
        <v>10</v>
      </c>
      <c r="C24" s="10">
        <f>C15-C17-C19-C21</f>
        <v>48238.349310924372</v>
      </c>
      <c r="H24" s="18"/>
    </row>
    <row r="25" spans="1:8" x14ac:dyDescent="0.25">
      <c r="H25" s="3"/>
    </row>
    <row r="26" spans="1:8" x14ac:dyDescent="0.25">
      <c r="H26" s="18"/>
    </row>
    <row r="27" spans="1:8" x14ac:dyDescent="0.25">
      <c r="G27" t="s">
        <v>232</v>
      </c>
    </row>
  </sheetData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53D83-69A9-462D-9414-B1C12780400C}">
  <dimension ref="A1:H27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566</v>
      </c>
    </row>
    <row r="3" spans="1:8" ht="21" x14ac:dyDescent="0.35">
      <c r="A3" s="2" t="s">
        <v>1</v>
      </c>
      <c r="D3" s="11">
        <v>502775</v>
      </c>
      <c r="F3" s="12" t="s">
        <v>3</v>
      </c>
      <c r="H3" s="11">
        <f>(D3/1.19)*0.19</f>
        <v>80275</v>
      </c>
    </row>
    <row r="4" spans="1:8" x14ac:dyDescent="0.25">
      <c r="A4" s="13" t="s">
        <v>29</v>
      </c>
      <c r="C4" s="28">
        <v>719</v>
      </c>
    </row>
    <row r="5" spans="1:8" ht="21" x14ac:dyDescent="0.35">
      <c r="A5" s="2" t="s">
        <v>2</v>
      </c>
      <c r="C5" t="s">
        <v>232</v>
      </c>
    </row>
    <row r="7" spans="1:8" ht="18.75" x14ac:dyDescent="0.3">
      <c r="A7" s="5" t="s">
        <v>222</v>
      </c>
      <c r="D7" s="4">
        <v>347362</v>
      </c>
      <c r="H7" s="4">
        <f>(D7/1.19)*0.19</f>
        <v>55461.159663865554</v>
      </c>
    </row>
    <row r="8" spans="1:8" ht="18.75" x14ac:dyDescent="0.3">
      <c r="A8" s="5"/>
      <c r="D8" s="4"/>
      <c r="H8" s="4"/>
    </row>
    <row r="9" spans="1:8" ht="19.5" thickBot="1" x14ac:dyDescent="0.35">
      <c r="A9" s="5"/>
      <c r="D9" s="35"/>
      <c r="E9" s="27"/>
      <c r="H9" s="35"/>
    </row>
    <row r="10" spans="1:8" ht="19.5" thickTop="1" x14ac:dyDescent="0.3">
      <c r="D10" s="4">
        <f>SUM(D7:D9)</f>
        <v>347362</v>
      </c>
      <c r="H10" s="33">
        <f>SUM(H7:H9)</f>
        <v>55461.159663865554</v>
      </c>
    </row>
    <row r="12" spans="1:8" ht="18.75" x14ac:dyDescent="0.3">
      <c r="C12" t="s">
        <v>4</v>
      </c>
      <c r="D12" s="4">
        <f>D3-D10</f>
        <v>155413</v>
      </c>
      <c r="G12" t="s">
        <v>5</v>
      </c>
      <c r="H12" s="4">
        <f>H3-H10</f>
        <v>24813.840336134446</v>
      </c>
    </row>
    <row r="14" spans="1:8" x14ac:dyDescent="0.25">
      <c r="G14" t="s">
        <v>454</v>
      </c>
    </row>
    <row r="15" spans="1:8" ht="15.75" x14ac:dyDescent="0.25">
      <c r="A15" t="s">
        <v>6</v>
      </c>
      <c r="C15" s="8">
        <f>D12</f>
        <v>155413</v>
      </c>
      <c r="E15" t="s">
        <v>10</v>
      </c>
      <c r="H15" s="6">
        <f>C24</f>
        <v>128588.05966386554</v>
      </c>
    </row>
    <row r="17" spans="1:8" ht="15.75" x14ac:dyDescent="0.25">
      <c r="A17" t="s">
        <v>5</v>
      </c>
      <c r="B17" s="9" t="s">
        <v>7</v>
      </c>
      <c r="C17" s="8">
        <f>H12</f>
        <v>24813.840336134446</v>
      </c>
      <c r="E17" s="13" t="s">
        <v>11</v>
      </c>
      <c r="F17" s="9" t="s">
        <v>12</v>
      </c>
      <c r="G17" s="15" t="s">
        <v>17</v>
      </c>
      <c r="H17" s="3">
        <f>-(F18*0.0077)</f>
        <v>-3253.25</v>
      </c>
    </row>
    <row r="18" spans="1:8" x14ac:dyDescent="0.25">
      <c r="F18" s="21">
        <f>D3-H3</f>
        <v>422500</v>
      </c>
    </row>
    <row r="19" spans="1:8" ht="16.5" thickBot="1" x14ac:dyDescent="0.3">
      <c r="A19" t="s">
        <v>8</v>
      </c>
      <c r="B19" s="9" t="s">
        <v>7</v>
      </c>
      <c r="C19" s="8">
        <f>D3*0.004</f>
        <v>2011.1000000000001</v>
      </c>
      <c r="F19" s="9" t="s">
        <v>13</v>
      </c>
      <c r="G19" s="16">
        <v>0.35</v>
      </c>
      <c r="H19" s="17">
        <f>-(F20*0.35)</f>
        <v>-45005.820882352935</v>
      </c>
    </row>
    <row r="20" spans="1:8" x14ac:dyDescent="0.25">
      <c r="F20" s="21">
        <f>H15</f>
        <v>128588.05966386554</v>
      </c>
    </row>
    <row r="21" spans="1:8" ht="15.75" x14ac:dyDescent="0.25">
      <c r="A21" t="s">
        <v>9</v>
      </c>
      <c r="B21" s="9" t="s">
        <v>7</v>
      </c>
      <c r="C21" s="10"/>
      <c r="G21" s="13" t="s">
        <v>14</v>
      </c>
      <c r="H21" s="6">
        <f>H15+H17+H19</f>
        <v>80328.988781512599</v>
      </c>
    </row>
    <row r="22" spans="1:8" ht="15.75" thickBot="1" x14ac:dyDescent="0.3">
      <c r="A22" s="16"/>
      <c r="B22" s="14"/>
      <c r="C22" s="7"/>
    </row>
    <row r="23" spans="1:8" x14ac:dyDescent="0.25">
      <c r="E23" t="s">
        <v>100</v>
      </c>
      <c r="H23" s="20">
        <f>H21*0.4</f>
        <v>32131.595512605039</v>
      </c>
    </row>
    <row r="24" spans="1:8" ht="15.75" x14ac:dyDescent="0.25">
      <c r="A24" t="s">
        <v>10</v>
      </c>
      <c r="C24" s="10">
        <f>C15-C17-C19-C21</f>
        <v>128588.05966386554</v>
      </c>
      <c r="H24" s="18"/>
    </row>
    <row r="25" spans="1:8" x14ac:dyDescent="0.25">
      <c r="H25" s="3"/>
    </row>
    <row r="26" spans="1:8" x14ac:dyDescent="0.25">
      <c r="H26" s="18"/>
    </row>
    <row r="27" spans="1:8" x14ac:dyDescent="0.25">
      <c r="G27" t="s">
        <v>232</v>
      </c>
    </row>
  </sheetData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96A66-3698-4A69-9475-63413376B017}">
  <dimension ref="A1:H27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567</v>
      </c>
    </row>
    <row r="3" spans="1:8" ht="21" x14ac:dyDescent="0.35">
      <c r="A3" s="2" t="s">
        <v>1</v>
      </c>
      <c r="D3" s="11">
        <v>12019</v>
      </c>
      <c r="F3" s="12" t="s">
        <v>3</v>
      </c>
      <c r="H3" s="11">
        <f>(D3/1.19)*0.19</f>
        <v>1919</v>
      </c>
    </row>
    <row r="4" spans="1:8" x14ac:dyDescent="0.25">
      <c r="A4" s="13" t="s">
        <v>29</v>
      </c>
      <c r="C4" s="28">
        <v>720</v>
      </c>
    </row>
    <row r="5" spans="1:8" ht="21" x14ac:dyDescent="0.35">
      <c r="A5" s="2" t="s">
        <v>2</v>
      </c>
      <c r="C5" t="s">
        <v>232</v>
      </c>
    </row>
    <row r="7" spans="1:8" ht="18.75" x14ac:dyDescent="0.3">
      <c r="A7" s="5" t="s">
        <v>310</v>
      </c>
      <c r="D7" s="4">
        <v>7460</v>
      </c>
      <c r="H7" s="4">
        <f>(D7/1.19)*0.19</f>
        <v>1191.09243697479</v>
      </c>
    </row>
    <row r="8" spans="1:8" ht="18.75" x14ac:dyDescent="0.3">
      <c r="A8" s="5"/>
      <c r="D8" s="4"/>
      <c r="H8" s="4"/>
    </row>
    <row r="9" spans="1:8" ht="19.5" thickBot="1" x14ac:dyDescent="0.35">
      <c r="A9" s="5"/>
      <c r="D9" s="35"/>
      <c r="E9" s="27"/>
      <c r="H9" s="35"/>
    </row>
    <row r="10" spans="1:8" ht="19.5" thickTop="1" x14ac:dyDescent="0.3">
      <c r="D10" s="4">
        <f>SUM(D7:D9)</f>
        <v>7460</v>
      </c>
      <c r="H10" s="33">
        <f>SUM(H7:H9)</f>
        <v>1191.09243697479</v>
      </c>
    </row>
    <row r="12" spans="1:8" ht="18.75" x14ac:dyDescent="0.3">
      <c r="C12" t="s">
        <v>4</v>
      </c>
      <c r="D12" s="4">
        <f>D3-D10</f>
        <v>4559</v>
      </c>
      <c r="G12" t="s">
        <v>5</v>
      </c>
      <c r="H12" s="4">
        <f>H3-H10</f>
        <v>727.90756302521004</v>
      </c>
    </row>
    <row r="14" spans="1:8" x14ac:dyDescent="0.25">
      <c r="G14" t="s">
        <v>454</v>
      </c>
    </row>
    <row r="15" spans="1:8" ht="15.75" x14ac:dyDescent="0.25">
      <c r="A15" t="s">
        <v>6</v>
      </c>
      <c r="C15" s="8">
        <f>D12</f>
        <v>4559</v>
      </c>
      <c r="E15" t="s">
        <v>10</v>
      </c>
      <c r="H15" s="6">
        <f>C24</f>
        <v>3783.0164369747899</v>
      </c>
    </row>
    <row r="17" spans="1:8" ht="15.75" x14ac:dyDescent="0.25">
      <c r="A17" t="s">
        <v>5</v>
      </c>
      <c r="B17" s="9" t="s">
        <v>7</v>
      </c>
      <c r="C17" s="8">
        <f>H12</f>
        <v>727.90756302521004</v>
      </c>
      <c r="E17" s="13" t="s">
        <v>11</v>
      </c>
      <c r="F17" s="9" t="s">
        <v>12</v>
      </c>
      <c r="G17" s="15" t="s">
        <v>17</v>
      </c>
      <c r="H17" s="3">
        <f>-(F18*0.0077)</f>
        <v>-77.77</v>
      </c>
    </row>
    <row r="18" spans="1:8" x14ac:dyDescent="0.25">
      <c r="F18" s="21">
        <f>D3-H3</f>
        <v>10100</v>
      </c>
    </row>
    <row r="19" spans="1:8" ht="16.5" thickBot="1" x14ac:dyDescent="0.3">
      <c r="A19" t="s">
        <v>8</v>
      </c>
      <c r="B19" s="9" t="s">
        <v>7</v>
      </c>
      <c r="C19" s="8">
        <f>D3*0.004</f>
        <v>48.076000000000001</v>
      </c>
      <c r="F19" s="9" t="s">
        <v>13</v>
      </c>
      <c r="G19" s="16">
        <v>0.35</v>
      </c>
      <c r="H19" s="17">
        <f>-(F20*0.35)</f>
        <v>-1324.0557529411765</v>
      </c>
    </row>
    <row r="20" spans="1:8" x14ac:dyDescent="0.25">
      <c r="F20" s="21">
        <f>H15</f>
        <v>3783.0164369747899</v>
      </c>
    </row>
    <row r="21" spans="1:8" ht="15.75" x14ac:dyDescent="0.25">
      <c r="A21" t="s">
        <v>9</v>
      </c>
      <c r="B21" s="9" t="s">
        <v>7</v>
      </c>
      <c r="C21" s="10"/>
      <c r="G21" s="13" t="s">
        <v>14</v>
      </c>
      <c r="H21" s="6">
        <f>H15+H17+H19</f>
        <v>2381.1906840336133</v>
      </c>
    </row>
    <row r="22" spans="1:8" ht="15.75" thickBot="1" x14ac:dyDescent="0.3">
      <c r="A22" s="16"/>
      <c r="B22" s="14"/>
      <c r="C22" s="7"/>
    </row>
    <row r="23" spans="1:8" x14ac:dyDescent="0.25">
      <c r="E23" t="s">
        <v>100</v>
      </c>
      <c r="H23" s="20">
        <f>H21*0.4</f>
        <v>952.4762736134453</v>
      </c>
    </row>
    <row r="24" spans="1:8" ht="15.75" x14ac:dyDescent="0.25">
      <c r="A24" t="s">
        <v>10</v>
      </c>
      <c r="C24" s="10">
        <f>C15-C17-C19-C21</f>
        <v>3783.0164369747899</v>
      </c>
      <c r="H24" s="18"/>
    </row>
    <row r="25" spans="1:8" x14ac:dyDescent="0.25">
      <c r="H25" s="3"/>
    </row>
    <row r="26" spans="1:8" x14ac:dyDescent="0.25">
      <c r="H26" s="18"/>
    </row>
    <row r="27" spans="1:8" x14ac:dyDescent="0.25">
      <c r="G27" t="s">
        <v>232</v>
      </c>
    </row>
  </sheetData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2CC5E-9EBD-4072-8DED-B4521ED9524F}">
  <dimension ref="A1:H27"/>
  <sheetViews>
    <sheetView workbookViewId="0">
      <selection activeCell="C4" sqref="C4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568</v>
      </c>
    </row>
    <row r="3" spans="1:8" ht="21" x14ac:dyDescent="0.35">
      <c r="A3" s="2" t="s">
        <v>1</v>
      </c>
      <c r="D3" s="11">
        <v>359083</v>
      </c>
      <c r="F3" s="12" t="s">
        <v>3</v>
      </c>
      <c r="H3" s="11">
        <f>(D3/1.19)*0.19</f>
        <v>57332.579831932773</v>
      </c>
    </row>
    <row r="4" spans="1:8" x14ac:dyDescent="0.25">
      <c r="A4" s="13" t="s">
        <v>29</v>
      </c>
      <c r="C4" s="28">
        <v>721</v>
      </c>
    </row>
    <row r="5" spans="1:8" ht="21" x14ac:dyDescent="0.35">
      <c r="A5" s="2" t="s">
        <v>2</v>
      </c>
      <c r="C5" t="s">
        <v>232</v>
      </c>
    </row>
    <row r="7" spans="1:8" ht="18.75" x14ac:dyDescent="0.3">
      <c r="A7" s="5" t="s">
        <v>310</v>
      </c>
      <c r="D7" s="4">
        <v>215960</v>
      </c>
      <c r="H7" s="4">
        <f>(D7/1.19)*0.19</f>
        <v>34481.008403361346</v>
      </c>
    </row>
    <row r="8" spans="1:8" ht="18.75" x14ac:dyDescent="0.3">
      <c r="A8" s="5"/>
      <c r="D8" s="4"/>
      <c r="H8" s="4"/>
    </row>
    <row r="9" spans="1:8" ht="19.5" thickBot="1" x14ac:dyDescent="0.35">
      <c r="A9" s="5"/>
      <c r="D9" s="35"/>
      <c r="E9" s="27"/>
      <c r="H9" s="35"/>
    </row>
    <row r="10" spans="1:8" ht="19.5" thickTop="1" x14ac:dyDescent="0.3">
      <c r="D10" s="4">
        <f>SUM(D7:D9)</f>
        <v>215960</v>
      </c>
      <c r="H10" s="33">
        <f>SUM(H7:H9)</f>
        <v>34481.008403361346</v>
      </c>
    </row>
    <row r="12" spans="1:8" ht="18.75" x14ac:dyDescent="0.3">
      <c r="C12" t="s">
        <v>4</v>
      </c>
      <c r="D12" s="4">
        <f>D3-D10</f>
        <v>143123</v>
      </c>
      <c r="G12" t="s">
        <v>5</v>
      </c>
      <c r="H12" s="4">
        <f>H3-H10</f>
        <v>22851.571428571428</v>
      </c>
    </row>
    <row r="14" spans="1:8" x14ac:dyDescent="0.25">
      <c r="G14" t="s">
        <v>454</v>
      </c>
    </row>
    <row r="15" spans="1:8" ht="15.75" x14ac:dyDescent="0.25">
      <c r="A15" t="s">
        <v>6</v>
      </c>
      <c r="C15" s="8">
        <f>D12</f>
        <v>143123</v>
      </c>
      <c r="E15" t="s">
        <v>10</v>
      </c>
      <c r="H15" s="6">
        <f>C24</f>
        <v>118835.09657142858</v>
      </c>
    </row>
    <row r="17" spans="1:8" ht="15.75" x14ac:dyDescent="0.25">
      <c r="A17" t="s">
        <v>5</v>
      </c>
      <c r="B17" s="9" t="s">
        <v>7</v>
      </c>
      <c r="C17" s="8">
        <f>H12</f>
        <v>22851.571428571428</v>
      </c>
      <c r="E17" s="13" t="s">
        <v>11</v>
      </c>
      <c r="F17" s="9" t="s">
        <v>12</v>
      </c>
      <c r="G17" s="15" t="s">
        <v>17</v>
      </c>
      <c r="H17" s="3">
        <f>-(F18*0.0077)</f>
        <v>-2323.4782352941174</v>
      </c>
    </row>
    <row r="18" spans="1:8" x14ac:dyDescent="0.25">
      <c r="F18" s="21">
        <f>D3-H3</f>
        <v>301750.42016806721</v>
      </c>
    </row>
    <row r="19" spans="1:8" ht="16.5" thickBot="1" x14ac:dyDescent="0.3">
      <c r="A19" t="s">
        <v>8</v>
      </c>
      <c r="B19" s="9" t="s">
        <v>7</v>
      </c>
      <c r="C19" s="8">
        <f>D3*0.004</f>
        <v>1436.3320000000001</v>
      </c>
      <c r="F19" s="9" t="s">
        <v>13</v>
      </c>
      <c r="G19" s="16">
        <v>0.35</v>
      </c>
      <c r="H19" s="17">
        <f>-(F20*0.35)</f>
        <v>-41592.283800000005</v>
      </c>
    </row>
    <row r="20" spans="1:8" x14ac:dyDescent="0.25">
      <c r="F20" s="21">
        <f>H15</f>
        <v>118835.09657142858</v>
      </c>
    </row>
    <row r="21" spans="1:8" ht="15.75" x14ac:dyDescent="0.25">
      <c r="A21" t="s">
        <v>9</v>
      </c>
      <c r="B21" s="9" t="s">
        <v>7</v>
      </c>
      <c r="C21" s="10"/>
      <c r="G21" s="13" t="s">
        <v>14</v>
      </c>
      <c r="H21" s="6">
        <f>H15+H17+H19</f>
        <v>74919.334536134469</v>
      </c>
    </row>
    <row r="22" spans="1:8" ht="15.75" thickBot="1" x14ac:dyDescent="0.3">
      <c r="A22" s="16"/>
      <c r="B22" s="14"/>
      <c r="C22" s="7"/>
    </row>
    <row r="23" spans="1:8" x14ac:dyDescent="0.25">
      <c r="E23" t="s">
        <v>100</v>
      </c>
      <c r="H23" s="20">
        <f>H21*0.4</f>
        <v>29967.73381445379</v>
      </c>
    </row>
    <row r="24" spans="1:8" ht="15.75" x14ac:dyDescent="0.25">
      <c r="A24" t="s">
        <v>10</v>
      </c>
      <c r="C24" s="10">
        <f>C15-C17-C19-C21</f>
        <v>118835.09657142858</v>
      </c>
      <c r="H24" s="18"/>
    </row>
    <row r="25" spans="1:8" x14ac:dyDescent="0.25">
      <c r="H25" s="3"/>
    </row>
    <row r="26" spans="1:8" x14ac:dyDescent="0.25">
      <c r="H26" s="18"/>
    </row>
    <row r="27" spans="1:8" x14ac:dyDescent="0.25">
      <c r="G27" t="s">
        <v>232</v>
      </c>
    </row>
  </sheetData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0E9AD-7AD8-4F0B-9117-CCC6E09F0149}">
  <dimension ref="A1:H27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569</v>
      </c>
    </row>
    <row r="3" spans="1:8" ht="21" x14ac:dyDescent="0.35">
      <c r="A3" s="2" t="s">
        <v>1</v>
      </c>
      <c r="D3" s="11">
        <v>86632</v>
      </c>
      <c r="F3" s="12" t="s">
        <v>3</v>
      </c>
      <c r="H3" s="11">
        <f>(D3/1.19)*0.19</f>
        <v>13832</v>
      </c>
    </row>
    <row r="4" spans="1:8" x14ac:dyDescent="0.25">
      <c r="A4" s="13" t="s">
        <v>29</v>
      </c>
      <c r="C4" s="28">
        <v>722</v>
      </c>
    </row>
    <row r="5" spans="1:8" ht="21" x14ac:dyDescent="0.35">
      <c r="A5" s="2" t="s">
        <v>2</v>
      </c>
      <c r="C5" t="s">
        <v>232</v>
      </c>
    </row>
    <row r="7" spans="1:8" ht="18.75" x14ac:dyDescent="0.3">
      <c r="A7" s="5" t="s">
        <v>208</v>
      </c>
      <c r="D7" s="4">
        <v>65746</v>
      </c>
      <c r="H7" s="4">
        <f>(D7/1.19)*0.19</f>
        <v>10497.26050420168</v>
      </c>
    </row>
    <row r="8" spans="1:8" ht="18.75" x14ac:dyDescent="0.3">
      <c r="A8" s="5"/>
      <c r="D8" s="4"/>
      <c r="H8" s="4"/>
    </row>
    <row r="9" spans="1:8" ht="19.5" thickBot="1" x14ac:dyDescent="0.35">
      <c r="A9" s="5"/>
      <c r="D9" s="35"/>
      <c r="E9" s="27"/>
      <c r="H9" s="35"/>
    </row>
    <row r="10" spans="1:8" ht="19.5" thickTop="1" x14ac:dyDescent="0.3">
      <c r="D10" s="4">
        <f>SUM(D7:D9)</f>
        <v>65746</v>
      </c>
      <c r="H10" s="33">
        <f>SUM(H7:H9)</f>
        <v>10497.26050420168</v>
      </c>
    </row>
    <row r="12" spans="1:8" ht="18.75" x14ac:dyDescent="0.3">
      <c r="C12" t="s">
        <v>4</v>
      </c>
      <c r="D12" s="4">
        <f>D3-D10</f>
        <v>20886</v>
      </c>
      <c r="G12" t="s">
        <v>5</v>
      </c>
      <c r="H12" s="4">
        <f>H3-H10</f>
        <v>3334.7394957983197</v>
      </c>
    </row>
    <row r="14" spans="1:8" x14ac:dyDescent="0.25">
      <c r="G14" t="s">
        <v>454</v>
      </c>
    </row>
    <row r="15" spans="1:8" ht="15.75" x14ac:dyDescent="0.25">
      <c r="A15" t="s">
        <v>6</v>
      </c>
      <c r="C15" s="8">
        <f>D12</f>
        <v>20886</v>
      </c>
      <c r="E15" t="s">
        <v>10</v>
      </c>
      <c r="H15" s="6">
        <f>C24</f>
        <v>17204.732504201682</v>
      </c>
    </row>
    <row r="17" spans="1:8" ht="15.75" x14ac:dyDescent="0.25">
      <c r="A17" t="s">
        <v>5</v>
      </c>
      <c r="B17" s="9" t="s">
        <v>7</v>
      </c>
      <c r="C17" s="8">
        <f>H12</f>
        <v>3334.7394957983197</v>
      </c>
      <c r="E17" s="13" t="s">
        <v>11</v>
      </c>
      <c r="F17" s="9" t="s">
        <v>12</v>
      </c>
      <c r="G17" s="15" t="s">
        <v>17</v>
      </c>
      <c r="H17" s="3">
        <f>-(F18*0.0077)</f>
        <v>-560.56000000000006</v>
      </c>
    </row>
    <row r="18" spans="1:8" x14ac:dyDescent="0.25">
      <c r="F18" s="21">
        <f>D3-H3</f>
        <v>72800</v>
      </c>
    </row>
    <row r="19" spans="1:8" ht="16.5" thickBot="1" x14ac:dyDescent="0.3">
      <c r="A19" t="s">
        <v>8</v>
      </c>
      <c r="B19" s="9" t="s">
        <v>7</v>
      </c>
      <c r="C19" s="8">
        <f>D3*0.004</f>
        <v>346.52800000000002</v>
      </c>
      <c r="F19" s="9" t="s">
        <v>13</v>
      </c>
      <c r="G19" s="16">
        <v>0.35</v>
      </c>
      <c r="H19" s="17">
        <f>-(F20*0.35)</f>
        <v>-6021.6563764705879</v>
      </c>
    </row>
    <row r="20" spans="1:8" x14ac:dyDescent="0.25">
      <c r="F20" s="21">
        <f>H15</f>
        <v>17204.732504201682</v>
      </c>
    </row>
    <row r="21" spans="1:8" ht="15.75" x14ac:dyDescent="0.25">
      <c r="A21" t="s">
        <v>9</v>
      </c>
      <c r="B21" s="9" t="s">
        <v>7</v>
      </c>
      <c r="C21" s="10"/>
      <c r="G21" s="13" t="s">
        <v>14</v>
      </c>
      <c r="H21" s="6">
        <f>H15+H17+H19</f>
        <v>10622.516127731093</v>
      </c>
    </row>
    <row r="22" spans="1:8" ht="15.75" thickBot="1" x14ac:dyDescent="0.3">
      <c r="A22" s="16"/>
      <c r="B22" s="14"/>
      <c r="C22" s="7"/>
    </row>
    <row r="23" spans="1:8" x14ac:dyDescent="0.25">
      <c r="E23" t="s">
        <v>100</v>
      </c>
      <c r="H23" s="20">
        <f>H21*0.4</f>
        <v>4249.0064510924376</v>
      </c>
    </row>
    <row r="24" spans="1:8" ht="15.75" x14ac:dyDescent="0.25">
      <c r="A24" t="s">
        <v>10</v>
      </c>
      <c r="C24" s="10">
        <f>C15-C17-C19-C21</f>
        <v>17204.732504201682</v>
      </c>
      <c r="H24" s="18"/>
    </row>
    <row r="25" spans="1:8" x14ac:dyDescent="0.25">
      <c r="H25" s="3"/>
    </row>
    <row r="26" spans="1:8" x14ac:dyDescent="0.25">
      <c r="H26" s="18"/>
    </row>
    <row r="27" spans="1:8" x14ac:dyDescent="0.25">
      <c r="G27" t="s">
        <v>232</v>
      </c>
    </row>
  </sheetData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8A0DA-02AF-4A3E-B152-E7AA51EAFAD0}">
  <dimension ref="A1:H27"/>
  <sheetViews>
    <sheetView workbookViewId="0">
      <selection activeCell="G27" sqref="G27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570</v>
      </c>
    </row>
    <row r="3" spans="1:8" ht="21" x14ac:dyDescent="0.35">
      <c r="A3" s="2" t="s">
        <v>1</v>
      </c>
      <c r="D3" s="11">
        <v>101150</v>
      </c>
      <c r="F3" s="12" t="s">
        <v>3</v>
      </c>
      <c r="H3" s="11">
        <f>(D3/1.19)*0.19</f>
        <v>16150</v>
      </c>
    </row>
    <row r="4" spans="1:8" x14ac:dyDescent="0.25">
      <c r="A4" s="13" t="s">
        <v>29</v>
      </c>
      <c r="C4" s="28">
        <v>723</v>
      </c>
    </row>
    <row r="5" spans="1:8" ht="21" x14ac:dyDescent="0.35">
      <c r="A5" s="2" t="s">
        <v>2</v>
      </c>
      <c r="C5" t="s">
        <v>232</v>
      </c>
    </row>
    <row r="7" spans="1:8" ht="18.75" x14ac:dyDescent="0.3">
      <c r="A7" s="5" t="s">
        <v>208</v>
      </c>
      <c r="D7" s="4">
        <v>65450</v>
      </c>
      <c r="H7" s="4">
        <f>(D7/1.19)*0.19</f>
        <v>10450</v>
      </c>
    </row>
    <row r="8" spans="1:8" ht="18.75" x14ac:dyDescent="0.3">
      <c r="A8" s="5"/>
      <c r="D8" s="4"/>
      <c r="H8" s="4"/>
    </row>
    <row r="9" spans="1:8" ht="19.5" thickBot="1" x14ac:dyDescent="0.35">
      <c r="A9" s="5"/>
      <c r="D9" s="35"/>
      <c r="E9" s="27"/>
      <c r="H9" s="35"/>
    </row>
    <row r="10" spans="1:8" ht="19.5" thickTop="1" x14ac:dyDescent="0.3">
      <c r="D10" s="4">
        <f>SUM(D7:D9)</f>
        <v>65450</v>
      </c>
      <c r="H10" s="33">
        <f>SUM(H7:H9)</f>
        <v>10450</v>
      </c>
    </row>
    <row r="12" spans="1:8" ht="18.75" x14ac:dyDescent="0.3">
      <c r="C12" t="s">
        <v>4</v>
      </c>
      <c r="D12" s="4">
        <f>D3-D10</f>
        <v>35700</v>
      </c>
      <c r="G12" t="s">
        <v>5</v>
      </c>
      <c r="H12" s="4">
        <f>H3-H10</f>
        <v>5700</v>
      </c>
    </row>
    <row r="14" spans="1:8" x14ac:dyDescent="0.25">
      <c r="G14" t="s">
        <v>454</v>
      </c>
    </row>
    <row r="15" spans="1:8" ht="15.75" x14ac:dyDescent="0.25">
      <c r="A15" t="s">
        <v>6</v>
      </c>
      <c r="C15" s="8">
        <f>D12</f>
        <v>35700</v>
      </c>
      <c r="E15" t="s">
        <v>10</v>
      </c>
      <c r="H15" s="6">
        <f>C24</f>
        <v>29595.4</v>
      </c>
    </row>
    <row r="17" spans="1:8" ht="15.75" x14ac:dyDescent="0.25">
      <c r="A17" t="s">
        <v>5</v>
      </c>
      <c r="B17" s="9" t="s">
        <v>7</v>
      </c>
      <c r="C17" s="8">
        <f>H12</f>
        <v>5700</v>
      </c>
      <c r="E17" s="13" t="s">
        <v>11</v>
      </c>
      <c r="F17" s="9" t="s">
        <v>12</v>
      </c>
      <c r="G17" s="15" t="s">
        <v>17</v>
      </c>
      <c r="H17" s="3">
        <f>-(F18*0.0077)</f>
        <v>-654.5</v>
      </c>
    </row>
    <row r="18" spans="1:8" x14ac:dyDescent="0.25">
      <c r="F18" s="21">
        <f>D3-H3</f>
        <v>85000</v>
      </c>
    </row>
    <row r="19" spans="1:8" ht="16.5" thickBot="1" x14ac:dyDescent="0.3">
      <c r="A19" t="s">
        <v>8</v>
      </c>
      <c r="B19" s="9" t="s">
        <v>7</v>
      </c>
      <c r="C19" s="8">
        <f>D3*0.004</f>
        <v>404.6</v>
      </c>
      <c r="F19" s="9" t="s">
        <v>13</v>
      </c>
      <c r="G19" s="16">
        <v>0.35</v>
      </c>
      <c r="H19" s="17">
        <f>-(F20*0.35)</f>
        <v>-10358.39</v>
      </c>
    </row>
    <row r="20" spans="1:8" x14ac:dyDescent="0.25">
      <c r="F20" s="21">
        <f>H15</f>
        <v>29595.4</v>
      </c>
    </row>
    <row r="21" spans="1:8" ht="15.75" x14ac:dyDescent="0.25">
      <c r="A21" t="s">
        <v>9</v>
      </c>
      <c r="B21" s="9" t="s">
        <v>7</v>
      </c>
      <c r="C21" s="10"/>
      <c r="G21" s="13" t="s">
        <v>14</v>
      </c>
      <c r="H21" s="6">
        <f>H15+H17+H19</f>
        <v>18582.510000000002</v>
      </c>
    </row>
    <row r="22" spans="1:8" ht="15.75" thickBot="1" x14ac:dyDescent="0.3">
      <c r="A22" s="16"/>
      <c r="B22" s="14"/>
      <c r="C22" s="7"/>
    </row>
    <row r="23" spans="1:8" x14ac:dyDescent="0.25">
      <c r="E23" t="s">
        <v>100</v>
      </c>
      <c r="H23" s="20">
        <f>H21*0.4</f>
        <v>7433.0040000000008</v>
      </c>
    </row>
    <row r="24" spans="1:8" ht="15.75" x14ac:dyDescent="0.25">
      <c r="A24" t="s">
        <v>10</v>
      </c>
      <c r="C24" s="10">
        <f>C15-C17-C19-C21</f>
        <v>29595.4</v>
      </c>
      <c r="H24" s="18"/>
    </row>
    <row r="25" spans="1:8" x14ac:dyDescent="0.25">
      <c r="H25" s="3"/>
    </row>
    <row r="26" spans="1:8" x14ac:dyDescent="0.25">
      <c r="H26" s="18"/>
    </row>
    <row r="27" spans="1:8" x14ac:dyDescent="0.25">
      <c r="G27" t="s">
        <v>232</v>
      </c>
    </row>
  </sheetData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9779E-1E01-4431-BEC0-6AB8930C96A8}">
  <dimension ref="A1:H27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571</v>
      </c>
    </row>
    <row r="3" spans="1:8" ht="21" x14ac:dyDescent="0.35">
      <c r="A3" s="2" t="s">
        <v>1</v>
      </c>
      <c r="D3" s="11">
        <v>32725</v>
      </c>
      <c r="F3" s="12" t="s">
        <v>3</v>
      </c>
      <c r="H3" s="11">
        <f>(D3/1.19)*0.19</f>
        <v>5225</v>
      </c>
    </row>
    <row r="4" spans="1:8" x14ac:dyDescent="0.25">
      <c r="A4" s="13" t="s">
        <v>29</v>
      </c>
      <c r="C4" s="28">
        <v>726</v>
      </c>
    </row>
    <row r="5" spans="1:8" ht="21" x14ac:dyDescent="0.35">
      <c r="A5" s="2" t="s">
        <v>2</v>
      </c>
      <c r="C5" t="s">
        <v>232</v>
      </c>
    </row>
    <row r="7" spans="1:8" ht="18.75" x14ac:dyDescent="0.3">
      <c r="A7" s="5" t="s">
        <v>208</v>
      </c>
      <c r="D7" s="4">
        <v>19500</v>
      </c>
      <c r="H7" s="4">
        <f>(D7/1.19)*0.19</f>
        <v>3113.4453781512607</v>
      </c>
    </row>
    <row r="8" spans="1:8" ht="18.75" x14ac:dyDescent="0.3">
      <c r="A8" s="5"/>
      <c r="D8" s="4"/>
      <c r="H8" s="4"/>
    </row>
    <row r="9" spans="1:8" ht="19.5" thickBot="1" x14ac:dyDescent="0.35">
      <c r="A9" s="5"/>
      <c r="D9" s="35"/>
      <c r="E9" s="27"/>
      <c r="H9" s="35"/>
    </row>
    <row r="10" spans="1:8" ht="19.5" thickTop="1" x14ac:dyDescent="0.3">
      <c r="D10" s="4">
        <f>SUM(D7:D9)</f>
        <v>19500</v>
      </c>
      <c r="H10" s="33">
        <f>SUM(H7:H9)</f>
        <v>3113.4453781512607</v>
      </c>
    </row>
    <row r="12" spans="1:8" ht="18.75" x14ac:dyDescent="0.3">
      <c r="C12" t="s">
        <v>4</v>
      </c>
      <c r="D12" s="4">
        <f>D3-D10</f>
        <v>13225</v>
      </c>
      <c r="G12" t="s">
        <v>5</v>
      </c>
      <c r="H12" s="4">
        <f>H3-H10</f>
        <v>2111.5546218487393</v>
      </c>
    </row>
    <row r="14" spans="1:8" x14ac:dyDescent="0.25">
      <c r="G14" t="s">
        <v>454</v>
      </c>
    </row>
    <row r="15" spans="1:8" ht="15.75" x14ac:dyDescent="0.25">
      <c r="A15" t="s">
        <v>6</v>
      </c>
      <c r="C15" s="8">
        <f>D12</f>
        <v>13225</v>
      </c>
      <c r="E15" t="s">
        <v>10</v>
      </c>
      <c r="H15" s="6">
        <f>C24</f>
        <v>10982.545378151261</v>
      </c>
    </row>
    <row r="17" spans="1:8" ht="15.75" x14ac:dyDescent="0.25">
      <c r="A17" t="s">
        <v>5</v>
      </c>
      <c r="B17" s="9" t="s">
        <v>7</v>
      </c>
      <c r="C17" s="8">
        <f>H12</f>
        <v>2111.5546218487393</v>
      </c>
      <c r="E17" s="13" t="s">
        <v>11</v>
      </c>
      <c r="F17" s="9" t="s">
        <v>12</v>
      </c>
      <c r="G17" s="15" t="s">
        <v>17</v>
      </c>
      <c r="H17" s="3">
        <f>-(F18*0.0077)</f>
        <v>-211.75</v>
      </c>
    </row>
    <row r="18" spans="1:8" x14ac:dyDescent="0.25">
      <c r="F18" s="21">
        <f>D3-H3</f>
        <v>27500</v>
      </c>
    </row>
    <row r="19" spans="1:8" ht="16.5" thickBot="1" x14ac:dyDescent="0.3">
      <c r="A19" t="s">
        <v>8</v>
      </c>
      <c r="B19" s="9" t="s">
        <v>7</v>
      </c>
      <c r="C19" s="8">
        <f>D3*0.004</f>
        <v>130.9</v>
      </c>
      <c r="F19" s="9" t="s">
        <v>13</v>
      </c>
      <c r="G19" s="16">
        <v>0.35</v>
      </c>
      <c r="H19" s="17">
        <f>-(F20*0.35)</f>
        <v>-3843.8908823529409</v>
      </c>
    </row>
    <row r="20" spans="1:8" x14ac:dyDescent="0.25">
      <c r="F20" s="21">
        <f>H15</f>
        <v>10982.545378151261</v>
      </c>
    </row>
    <row r="21" spans="1:8" ht="15.75" x14ac:dyDescent="0.25">
      <c r="A21" t="s">
        <v>9</v>
      </c>
      <c r="B21" s="9" t="s">
        <v>7</v>
      </c>
      <c r="C21" s="10"/>
      <c r="G21" s="13" t="s">
        <v>14</v>
      </c>
      <c r="H21" s="6">
        <f>H15+H17+H19</f>
        <v>6926.9044957983197</v>
      </c>
    </row>
    <row r="22" spans="1:8" ht="15.75" thickBot="1" x14ac:dyDescent="0.3">
      <c r="A22" s="16"/>
      <c r="B22" s="14"/>
      <c r="C22" s="7"/>
    </row>
    <row r="23" spans="1:8" x14ac:dyDescent="0.25">
      <c r="E23" t="s">
        <v>100</v>
      </c>
      <c r="H23" s="20">
        <f>H21*0.4</f>
        <v>2770.7617983193281</v>
      </c>
    </row>
    <row r="24" spans="1:8" ht="15.75" x14ac:dyDescent="0.25">
      <c r="A24" t="s">
        <v>10</v>
      </c>
      <c r="C24" s="10">
        <f>C15-C17-C19-C21</f>
        <v>10982.545378151261</v>
      </c>
      <c r="H24" s="18"/>
    </row>
    <row r="25" spans="1:8" x14ac:dyDescent="0.25">
      <c r="H25" s="3"/>
    </row>
    <row r="26" spans="1:8" x14ac:dyDescent="0.25">
      <c r="H26" s="18"/>
    </row>
    <row r="27" spans="1:8" x14ac:dyDescent="0.25">
      <c r="G27" t="s">
        <v>232</v>
      </c>
    </row>
  </sheetData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2025C-1CDD-490F-9C1B-1B22D61DD141}">
  <dimension ref="A1:H27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572</v>
      </c>
    </row>
    <row r="3" spans="1:8" ht="21" x14ac:dyDescent="0.35">
      <c r="A3" s="2" t="s">
        <v>1</v>
      </c>
      <c r="D3" s="11">
        <v>55930</v>
      </c>
      <c r="F3" s="12" t="s">
        <v>3</v>
      </c>
      <c r="H3" s="11">
        <f>(D3/1.19)*0.19</f>
        <v>8930</v>
      </c>
    </row>
    <row r="4" spans="1:8" x14ac:dyDescent="0.25">
      <c r="A4" s="13" t="s">
        <v>29</v>
      </c>
      <c r="C4" s="28">
        <v>728</v>
      </c>
    </row>
    <row r="5" spans="1:8" ht="21" x14ac:dyDescent="0.35">
      <c r="A5" s="2" t="s">
        <v>2</v>
      </c>
      <c r="C5" t="s">
        <v>232</v>
      </c>
    </row>
    <row r="7" spans="1:8" ht="18.75" x14ac:dyDescent="0.3">
      <c r="A7" s="5" t="s">
        <v>208</v>
      </c>
      <c r="D7" s="4">
        <v>32000</v>
      </c>
      <c r="H7" s="4">
        <f>(D7/1.19)*0.19</f>
        <v>5109.2436974789925</v>
      </c>
    </row>
    <row r="8" spans="1:8" ht="18.75" x14ac:dyDescent="0.3">
      <c r="A8" s="5"/>
      <c r="D8" s="4"/>
      <c r="H8" s="4"/>
    </row>
    <row r="9" spans="1:8" ht="19.5" thickBot="1" x14ac:dyDescent="0.35">
      <c r="A9" s="5"/>
      <c r="D9" s="35"/>
      <c r="E9" s="27"/>
      <c r="H9" s="35"/>
    </row>
    <row r="10" spans="1:8" ht="19.5" thickTop="1" x14ac:dyDescent="0.3">
      <c r="D10" s="4">
        <f>SUM(D7:D9)</f>
        <v>32000</v>
      </c>
      <c r="H10" s="33">
        <f>SUM(H7:H9)</f>
        <v>5109.2436974789925</v>
      </c>
    </row>
    <row r="12" spans="1:8" ht="18.75" x14ac:dyDescent="0.3">
      <c r="C12" t="s">
        <v>4</v>
      </c>
      <c r="D12" s="4">
        <f>D3-D10</f>
        <v>23930</v>
      </c>
      <c r="G12" t="s">
        <v>5</v>
      </c>
      <c r="H12" s="4">
        <f>H3-H10</f>
        <v>3820.7563025210075</v>
      </c>
    </row>
    <row r="14" spans="1:8" x14ac:dyDescent="0.25">
      <c r="G14" t="s">
        <v>454</v>
      </c>
    </row>
    <row r="15" spans="1:8" ht="15.75" x14ac:dyDescent="0.25">
      <c r="A15" t="s">
        <v>6</v>
      </c>
      <c r="C15" s="8">
        <f>D12</f>
        <v>23930</v>
      </c>
      <c r="E15" t="s">
        <v>10</v>
      </c>
      <c r="H15" s="6">
        <f>C24</f>
        <v>19885.523697478991</v>
      </c>
    </row>
    <row r="17" spans="1:8" ht="15.75" x14ac:dyDescent="0.25">
      <c r="A17" t="s">
        <v>5</v>
      </c>
      <c r="B17" s="9" t="s">
        <v>7</v>
      </c>
      <c r="C17" s="8">
        <f>H12</f>
        <v>3820.7563025210075</v>
      </c>
      <c r="E17" s="13" t="s">
        <v>11</v>
      </c>
      <c r="F17" s="9" t="s">
        <v>12</v>
      </c>
      <c r="G17" s="15" t="s">
        <v>17</v>
      </c>
      <c r="H17" s="3">
        <f>-(F18*0.0077)</f>
        <v>-361.90000000000003</v>
      </c>
    </row>
    <row r="18" spans="1:8" x14ac:dyDescent="0.25">
      <c r="F18" s="21">
        <f>D3-H3</f>
        <v>47000</v>
      </c>
    </row>
    <row r="19" spans="1:8" ht="16.5" thickBot="1" x14ac:dyDescent="0.3">
      <c r="A19" t="s">
        <v>8</v>
      </c>
      <c r="B19" s="9" t="s">
        <v>7</v>
      </c>
      <c r="C19" s="8">
        <f>D3*0.004</f>
        <v>223.72</v>
      </c>
      <c r="F19" s="9" t="s">
        <v>13</v>
      </c>
      <c r="G19" s="16">
        <v>0.35</v>
      </c>
      <c r="H19" s="17">
        <f>-(F20*0.35)</f>
        <v>-6959.9332941176463</v>
      </c>
    </row>
    <row r="20" spans="1:8" x14ac:dyDescent="0.25">
      <c r="F20" s="21">
        <f>H15</f>
        <v>19885.523697478991</v>
      </c>
    </row>
    <row r="21" spans="1:8" ht="15.75" x14ac:dyDescent="0.25">
      <c r="A21" t="s">
        <v>9</v>
      </c>
      <c r="B21" s="9" t="s">
        <v>7</v>
      </c>
      <c r="C21" s="10"/>
      <c r="G21" s="13" t="s">
        <v>14</v>
      </c>
      <c r="H21" s="6">
        <f>H15+H17+H19</f>
        <v>12563.690403361343</v>
      </c>
    </row>
    <row r="22" spans="1:8" ht="15.75" thickBot="1" x14ac:dyDescent="0.3">
      <c r="A22" s="16"/>
      <c r="B22" s="14"/>
      <c r="C22" s="7"/>
    </row>
    <row r="23" spans="1:8" x14ac:dyDescent="0.25">
      <c r="E23" t="s">
        <v>100</v>
      </c>
      <c r="H23" s="20">
        <f>H21*0.4</f>
        <v>5025.4761613445371</v>
      </c>
    </row>
    <row r="24" spans="1:8" ht="15.75" x14ac:dyDescent="0.25">
      <c r="A24" t="s">
        <v>10</v>
      </c>
      <c r="C24" s="10">
        <f>C15-C17-C19-C21</f>
        <v>19885.523697478991</v>
      </c>
      <c r="H24" s="18"/>
    </row>
    <row r="25" spans="1:8" x14ac:dyDescent="0.25">
      <c r="H25" s="3"/>
    </row>
    <row r="26" spans="1:8" x14ac:dyDescent="0.25">
      <c r="H26" s="18"/>
    </row>
    <row r="27" spans="1:8" x14ac:dyDescent="0.25">
      <c r="G27" t="s">
        <v>232</v>
      </c>
    </row>
  </sheetData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01CC5-E0FF-4911-8513-CD55C857F9C8}">
  <dimension ref="A1:H27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573</v>
      </c>
    </row>
    <row r="3" spans="1:8" ht="21" x14ac:dyDescent="0.35">
      <c r="A3" s="2" t="s">
        <v>1</v>
      </c>
      <c r="D3" s="11">
        <v>513128</v>
      </c>
      <c r="F3" s="12" t="s">
        <v>3</v>
      </c>
      <c r="H3" s="11">
        <f>(D3/1.19)*0.19</f>
        <v>81928</v>
      </c>
    </row>
    <row r="4" spans="1:8" x14ac:dyDescent="0.25">
      <c r="A4" s="13" t="s">
        <v>29</v>
      </c>
      <c r="C4" s="28">
        <v>731</v>
      </c>
    </row>
    <row r="5" spans="1:8" ht="21" x14ac:dyDescent="0.35">
      <c r="A5" s="2" t="s">
        <v>2</v>
      </c>
      <c r="C5" t="s">
        <v>232</v>
      </c>
    </row>
    <row r="7" spans="1:8" ht="18.75" x14ac:dyDescent="0.3">
      <c r="A7" s="5" t="s">
        <v>208</v>
      </c>
      <c r="D7" s="4">
        <v>360000</v>
      </c>
      <c r="H7" s="4">
        <f>(D7/1.19)*0.19</f>
        <v>57478.991596638662</v>
      </c>
    </row>
    <row r="8" spans="1:8" ht="18.75" x14ac:dyDescent="0.3">
      <c r="A8" s="5"/>
      <c r="D8" s="4"/>
      <c r="H8" s="4"/>
    </row>
    <row r="9" spans="1:8" ht="19.5" thickBot="1" x14ac:dyDescent="0.35">
      <c r="A9" s="5"/>
      <c r="D9" s="35"/>
      <c r="E9" s="27"/>
      <c r="H9" s="35"/>
    </row>
    <row r="10" spans="1:8" ht="19.5" thickTop="1" x14ac:dyDescent="0.3">
      <c r="D10" s="4">
        <f>SUM(D7:D9)</f>
        <v>360000</v>
      </c>
      <c r="H10" s="33">
        <f>SUM(H7:H9)</f>
        <v>57478.991596638662</v>
      </c>
    </row>
    <row r="12" spans="1:8" ht="18.75" x14ac:dyDescent="0.3">
      <c r="C12" t="s">
        <v>4</v>
      </c>
      <c r="D12" s="4">
        <f>D3-D10</f>
        <v>153128</v>
      </c>
      <c r="G12" t="s">
        <v>5</v>
      </c>
      <c r="H12" s="4">
        <f>H3-H10</f>
        <v>24449.008403361338</v>
      </c>
    </row>
    <row r="14" spans="1:8" x14ac:dyDescent="0.25">
      <c r="G14" t="s">
        <v>454</v>
      </c>
    </row>
    <row r="15" spans="1:8" ht="15.75" x14ac:dyDescent="0.25">
      <c r="A15" t="s">
        <v>6</v>
      </c>
      <c r="C15" s="8">
        <f>D12</f>
        <v>153128</v>
      </c>
      <c r="E15" t="s">
        <v>10</v>
      </c>
      <c r="H15" s="6">
        <f>C24</f>
        <v>126626.47959663866</v>
      </c>
    </row>
    <row r="17" spans="1:8" ht="15.75" x14ac:dyDescent="0.25">
      <c r="A17" t="s">
        <v>5</v>
      </c>
      <c r="B17" s="9" t="s">
        <v>7</v>
      </c>
      <c r="C17" s="8">
        <f>H12</f>
        <v>24449.008403361338</v>
      </c>
      <c r="E17" s="13" t="s">
        <v>11</v>
      </c>
      <c r="F17" s="9" t="s">
        <v>12</v>
      </c>
      <c r="G17" s="15" t="s">
        <v>17</v>
      </c>
      <c r="H17" s="3">
        <f>-(F18*0.0077)</f>
        <v>-3320.2400000000002</v>
      </c>
    </row>
    <row r="18" spans="1:8" x14ac:dyDescent="0.25">
      <c r="F18" s="21">
        <f>D3-H3</f>
        <v>431200</v>
      </c>
    </row>
    <row r="19" spans="1:8" ht="16.5" thickBot="1" x14ac:dyDescent="0.3">
      <c r="A19" t="s">
        <v>8</v>
      </c>
      <c r="B19" s="9" t="s">
        <v>7</v>
      </c>
      <c r="C19" s="8">
        <f>D3*0.004</f>
        <v>2052.5120000000002</v>
      </c>
      <c r="F19" s="9" t="s">
        <v>13</v>
      </c>
      <c r="G19" s="16">
        <v>0.35</v>
      </c>
      <c r="H19" s="17">
        <f>-(F20*0.35)</f>
        <v>-44319.267858823529</v>
      </c>
    </row>
    <row r="20" spans="1:8" x14ac:dyDescent="0.25">
      <c r="F20" s="21">
        <f>H15</f>
        <v>126626.47959663866</v>
      </c>
    </row>
    <row r="21" spans="1:8" ht="15.75" x14ac:dyDescent="0.25">
      <c r="A21" t="s">
        <v>9</v>
      </c>
      <c r="B21" s="9" t="s">
        <v>7</v>
      </c>
      <c r="C21" s="10"/>
      <c r="G21" s="13" t="s">
        <v>14</v>
      </c>
      <c r="H21" s="6">
        <f>H15+H17+H19</f>
        <v>78986.971737815125</v>
      </c>
    </row>
    <row r="22" spans="1:8" ht="15.75" thickBot="1" x14ac:dyDescent="0.3">
      <c r="A22" s="16"/>
      <c r="B22" s="14"/>
      <c r="C22" s="7"/>
    </row>
    <row r="23" spans="1:8" x14ac:dyDescent="0.25">
      <c r="E23" t="s">
        <v>100</v>
      </c>
      <c r="H23" s="20">
        <f>H21*0.4</f>
        <v>31594.788695126052</v>
      </c>
    </row>
    <row r="24" spans="1:8" ht="15.75" x14ac:dyDescent="0.25">
      <c r="A24" t="s">
        <v>10</v>
      </c>
      <c r="C24" s="10">
        <f>C15-C17-C19-C21</f>
        <v>126626.47959663866</v>
      </c>
      <c r="H24" s="18"/>
    </row>
    <row r="25" spans="1:8" x14ac:dyDescent="0.25">
      <c r="H25" s="3"/>
    </row>
    <row r="26" spans="1:8" x14ac:dyDescent="0.25">
      <c r="H26" s="18"/>
    </row>
    <row r="27" spans="1:8" x14ac:dyDescent="0.25">
      <c r="G27" t="s">
        <v>232</v>
      </c>
    </row>
  </sheetData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FBA54-BB32-45FD-AA44-DA7886776263}">
  <dimension ref="A1:H27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574</v>
      </c>
    </row>
    <row r="3" spans="1:8" ht="21" x14ac:dyDescent="0.35">
      <c r="A3" s="2" t="s">
        <v>1</v>
      </c>
      <c r="D3" s="11">
        <v>53550</v>
      </c>
      <c r="F3" s="12" t="s">
        <v>3</v>
      </c>
      <c r="H3" s="11">
        <f>(D3/1.19)*0.19</f>
        <v>8550</v>
      </c>
    </row>
    <row r="4" spans="1:8" x14ac:dyDescent="0.25">
      <c r="A4" s="13" t="s">
        <v>29</v>
      </c>
      <c r="C4" s="28">
        <v>732</v>
      </c>
    </row>
    <row r="5" spans="1:8" ht="21" x14ac:dyDescent="0.35">
      <c r="A5" s="2" t="s">
        <v>2</v>
      </c>
      <c r="C5" t="s">
        <v>232</v>
      </c>
    </row>
    <row r="7" spans="1:8" ht="18.75" x14ac:dyDescent="0.3">
      <c r="A7" s="5" t="s">
        <v>560</v>
      </c>
      <c r="D7" s="4">
        <v>29631</v>
      </c>
      <c r="H7" s="4">
        <f>(D7/1.19)*0.19</f>
        <v>4731</v>
      </c>
    </row>
    <row r="8" spans="1:8" ht="18.75" x14ac:dyDescent="0.3">
      <c r="A8" s="5"/>
      <c r="D8" s="4"/>
      <c r="H8" s="4"/>
    </row>
    <row r="9" spans="1:8" ht="19.5" thickBot="1" x14ac:dyDescent="0.35">
      <c r="A9" s="5"/>
      <c r="D9" s="35"/>
      <c r="E9" s="27"/>
      <c r="H9" s="35"/>
    </row>
    <row r="10" spans="1:8" ht="19.5" thickTop="1" x14ac:dyDescent="0.3">
      <c r="D10" s="4">
        <f>SUM(D7:D9)</f>
        <v>29631</v>
      </c>
      <c r="H10" s="33">
        <f>SUM(H7:H9)</f>
        <v>4731</v>
      </c>
    </row>
    <row r="12" spans="1:8" ht="18.75" x14ac:dyDescent="0.3">
      <c r="C12" t="s">
        <v>4</v>
      </c>
      <c r="D12" s="4">
        <f>D3-D10</f>
        <v>23919</v>
      </c>
      <c r="G12" t="s">
        <v>5</v>
      </c>
      <c r="H12" s="4">
        <f>H3-H10</f>
        <v>3819</v>
      </c>
    </row>
    <row r="14" spans="1:8" x14ac:dyDescent="0.25">
      <c r="G14" t="s">
        <v>454</v>
      </c>
    </row>
    <row r="15" spans="1:8" ht="15.75" x14ac:dyDescent="0.25">
      <c r="A15" t="s">
        <v>6</v>
      </c>
      <c r="C15" s="8">
        <f>D12</f>
        <v>23919</v>
      </c>
      <c r="E15" t="s">
        <v>10</v>
      </c>
      <c r="H15" s="6">
        <f>C24</f>
        <v>19885.8</v>
      </c>
    </row>
    <row r="17" spans="1:8" ht="15.75" x14ac:dyDescent="0.25">
      <c r="A17" t="s">
        <v>5</v>
      </c>
      <c r="B17" s="9" t="s">
        <v>7</v>
      </c>
      <c r="C17" s="8">
        <f>H12</f>
        <v>3819</v>
      </c>
      <c r="E17" s="13" t="s">
        <v>11</v>
      </c>
      <c r="F17" s="9" t="s">
        <v>12</v>
      </c>
      <c r="G17" s="15" t="s">
        <v>17</v>
      </c>
      <c r="H17" s="3">
        <f>-(F18*0.0077)</f>
        <v>-346.5</v>
      </c>
    </row>
    <row r="18" spans="1:8" x14ac:dyDescent="0.25">
      <c r="F18" s="21">
        <f>D3-H3</f>
        <v>45000</v>
      </c>
    </row>
    <row r="19" spans="1:8" ht="16.5" thickBot="1" x14ac:dyDescent="0.3">
      <c r="A19" t="s">
        <v>8</v>
      </c>
      <c r="B19" s="9" t="s">
        <v>7</v>
      </c>
      <c r="C19" s="8">
        <f>D3*0.004</f>
        <v>214.20000000000002</v>
      </c>
      <c r="F19" s="9" t="s">
        <v>13</v>
      </c>
      <c r="G19" s="16">
        <v>0.35</v>
      </c>
      <c r="H19" s="17">
        <f>-(F20*0.35)</f>
        <v>-6960.03</v>
      </c>
    </row>
    <row r="20" spans="1:8" x14ac:dyDescent="0.25">
      <c r="F20" s="21">
        <f>H15</f>
        <v>19885.8</v>
      </c>
    </row>
    <row r="21" spans="1:8" ht="15.75" x14ac:dyDescent="0.25">
      <c r="A21" t="s">
        <v>9</v>
      </c>
      <c r="B21" s="9" t="s">
        <v>7</v>
      </c>
      <c r="C21" s="10"/>
      <c r="G21" s="13" t="s">
        <v>14</v>
      </c>
      <c r="H21" s="6">
        <f>H15+H17+H19</f>
        <v>12579.27</v>
      </c>
    </row>
    <row r="22" spans="1:8" ht="15.75" thickBot="1" x14ac:dyDescent="0.3">
      <c r="A22" s="16"/>
      <c r="B22" s="14"/>
      <c r="C22" s="7"/>
    </row>
    <row r="23" spans="1:8" x14ac:dyDescent="0.25">
      <c r="E23" t="s">
        <v>100</v>
      </c>
      <c r="H23" s="20">
        <f>H21*0.4</f>
        <v>5031.7080000000005</v>
      </c>
    </row>
    <row r="24" spans="1:8" ht="15.75" x14ac:dyDescent="0.25">
      <c r="A24" t="s">
        <v>10</v>
      </c>
      <c r="C24" s="10">
        <f>C15-C17-C19-C21</f>
        <v>19885.8</v>
      </c>
      <c r="H24" s="18"/>
    </row>
    <row r="25" spans="1:8" x14ac:dyDescent="0.25">
      <c r="H25" s="3"/>
    </row>
    <row r="26" spans="1:8" x14ac:dyDescent="0.25">
      <c r="H26" s="18"/>
    </row>
    <row r="27" spans="1:8" x14ac:dyDescent="0.25">
      <c r="G27" t="s">
        <v>232</v>
      </c>
    </row>
  </sheetData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00D53-CE5A-40BA-9DCA-4330AB57BB91}">
  <dimension ref="A1:H28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294</v>
      </c>
    </row>
    <row r="3" spans="1:8" ht="21" x14ac:dyDescent="0.35">
      <c r="A3" s="2" t="s">
        <v>1</v>
      </c>
      <c r="D3" s="11">
        <v>1583771</v>
      </c>
      <c r="F3" s="12" t="s">
        <v>3</v>
      </c>
      <c r="H3" s="11">
        <f>(D3/1.19)*0.19</f>
        <v>252871</v>
      </c>
    </row>
    <row r="4" spans="1:8" x14ac:dyDescent="0.25">
      <c r="A4" s="13" t="s">
        <v>29</v>
      </c>
      <c r="C4" s="28">
        <v>735</v>
      </c>
    </row>
    <row r="5" spans="1:8" ht="21" x14ac:dyDescent="0.35">
      <c r="A5" s="2" t="s">
        <v>2</v>
      </c>
      <c r="C5" t="s">
        <v>232</v>
      </c>
    </row>
    <row r="7" spans="1:8" ht="18.75" x14ac:dyDescent="0.3">
      <c r="A7" s="5" t="s">
        <v>560</v>
      </c>
      <c r="D7" s="4">
        <v>120933.75</v>
      </c>
      <c r="H7" s="4">
        <f>(D7/1.19)*0.19</f>
        <v>19308.75</v>
      </c>
    </row>
    <row r="8" spans="1:8" ht="18.75" x14ac:dyDescent="0.3">
      <c r="A8" s="5" t="s">
        <v>62</v>
      </c>
      <c r="D8" s="4">
        <v>458150</v>
      </c>
      <c r="H8" s="4">
        <f t="shared" ref="H8:H11" si="0">(D8/1.19)*0.19</f>
        <v>73150</v>
      </c>
    </row>
    <row r="9" spans="1:8" ht="18.75" x14ac:dyDescent="0.3">
      <c r="A9" s="5" t="s">
        <v>519</v>
      </c>
      <c r="B9" s="5"/>
      <c r="C9" s="5"/>
      <c r="D9" s="4">
        <v>249900</v>
      </c>
      <c r="H9" s="4">
        <f t="shared" si="0"/>
        <v>39900</v>
      </c>
    </row>
    <row r="10" spans="1:8" ht="18.75" x14ac:dyDescent="0.3">
      <c r="A10" s="5" t="s">
        <v>466</v>
      </c>
      <c r="B10" s="5"/>
      <c r="C10" s="5"/>
      <c r="D10" s="4">
        <v>18627</v>
      </c>
      <c r="H10" s="4">
        <f t="shared" si="0"/>
        <v>2974.0588235294122</v>
      </c>
    </row>
    <row r="11" spans="1:8" ht="19.5" thickBot="1" x14ac:dyDescent="0.35">
      <c r="A11" s="5" t="s">
        <v>167</v>
      </c>
      <c r="B11" s="5"/>
      <c r="C11" s="5"/>
      <c r="D11" s="35">
        <v>6712</v>
      </c>
      <c r="E11" s="27"/>
      <c r="H11" s="35">
        <f t="shared" si="0"/>
        <v>1071.6638655462184</v>
      </c>
    </row>
    <row r="12" spans="1:8" ht="19.5" thickTop="1" x14ac:dyDescent="0.3">
      <c r="D12" s="4">
        <f>SUM(D7:D11)</f>
        <v>854322.75</v>
      </c>
      <c r="H12" s="33">
        <f>SUM(H7:H11)</f>
        <v>136404.47268907563</v>
      </c>
    </row>
    <row r="14" spans="1:8" ht="18.75" x14ac:dyDescent="0.3">
      <c r="C14" t="s">
        <v>4</v>
      </c>
      <c r="D14" s="4">
        <f>D3-D12</f>
        <v>729448.25</v>
      </c>
      <c r="G14" t="s">
        <v>5</v>
      </c>
      <c r="H14" s="4">
        <f>H3-H12</f>
        <v>116466.52731092437</v>
      </c>
    </row>
    <row r="16" spans="1:8" x14ac:dyDescent="0.25">
      <c r="G16" t="s">
        <v>454</v>
      </c>
    </row>
    <row r="17" spans="1:8" ht="15.75" x14ac:dyDescent="0.25">
      <c r="A17" t="s">
        <v>6</v>
      </c>
      <c r="C17" s="8">
        <f>D14</f>
        <v>729448.25</v>
      </c>
      <c r="E17" t="s">
        <v>10</v>
      </c>
      <c r="H17" s="6">
        <f>C26</f>
        <v>606646.6386890756</v>
      </c>
    </row>
    <row r="19" spans="1:8" ht="15.75" x14ac:dyDescent="0.25">
      <c r="A19" t="s">
        <v>5</v>
      </c>
      <c r="B19" s="9" t="s">
        <v>7</v>
      </c>
      <c r="C19" s="8">
        <f>H14</f>
        <v>116466.52731092437</v>
      </c>
      <c r="E19" s="13" t="s">
        <v>11</v>
      </c>
      <c r="F19" s="9" t="s">
        <v>12</v>
      </c>
      <c r="G19" s="15" t="s">
        <v>17</v>
      </c>
      <c r="H19" s="3">
        <f>-(F20*0.0077)</f>
        <v>-10247.93</v>
      </c>
    </row>
    <row r="20" spans="1:8" x14ac:dyDescent="0.25">
      <c r="F20" s="21">
        <f>D3-H3</f>
        <v>1330900</v>
      </c>
    </row>
    <row r="21" spans="1:8" ht="16.5" thickBot="1" x14ac:dyDescent="0.3">
      <c r="A21" t="s">
        <v>8</v>
      </c>
      <c r="B21" s="9" t="s">
        <v>7</v>
      </c>
      <c r="C21" s="8">
        <f>D3*0.004</f>
        <v>6335.0839999999998</v>
      </c>
      <c r="F21" s="9" t="s">
        <v>13</v>
      </c>
      <c r="G21" s="16">
        <v>0.35</v>
      </c>
      <c r="H21" s="17">
        <f>-(F22*0.35)</f>
        <v>-212326.32354117645</v>
      </c>
    </row>
    <row r="22" spans="1:8" x14ac:dyDescent="0.25">
      <c r="F22" s="21">
        <f>H17</f>
        <v>606646.6386890756</v>
      </c>
    </row>
    <row r="23" spans="1:8" ht="15.75" x14ac:dyDescent="0.25">
      <c r="A23" t="s">
        <v>9</v>
      </c>
      <c r="B23" s="9" t="s">
        <v>7</v>
      </c>
      <c r="C23" s="10"/>
      <c r="G23" s="13" t="s">
        <v>14</v>
      </c>
      <c r="H23" s="6">
        <f>H17+H19+H21</f>
        <v>384072.3851478991</v>
      </c>
    </row>
    <row r="24" spans="1:8" ht="15.75" thickBot="1" x14ac:dyDescent="0.3">
      <c r="A24" s="16"/>
      <c r="B24" s="14"/>
      <c r="C24" s="7"/>
    </row>
    <row r="25" spans="1:8" x14ac:dyDescent="0.25">
      <c r="E25" t="s">
        <v>100</v>
      </c>
      <c r="H25" s="20">
        <f>H23*0.4</f>
        <v>153628.95405915965</v>
      </c>
    </row>
    <row r="26" spans="1:8" ht="15.75" x14ac:dyDescent="0.25">
      <c r="A26" t="s">
        <v>10</v>
      </c>
      <c r="C26" s="10">
        <f>C17-C19-C21-C23</f>
        <v>606646.6386890756</v>
      </c>
      <c r="H26" s="18"/>
    </row>
    <row r="27" spans="1:8" x14ac:dyDescent="0.25">
      <c r="H27" s="3"/>
    </row>
    <row r="28" spans="1:8" x14ac:dyDescent="0.25">
      <c r="H28" s="18"/>
    </row>
  </sheetData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3F522-ADB6-4E3F-859F-B7A8E2FD016A}">
  <dimension ref="A1:H28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570</v>
      </c>
    </row>
    <row r="3" spans="1:8" ht="21" x14ac:dyDescent="0.35">
      <c r="A3" s="2" t="s">
        <v>1</v>
      </c>
      <c r="D3" s="11">
        <v>1100750</v>
      </c>
      <c r="F3" s="12" t="s">
        <v>3</v>
      </c>
      <c r="H3" s="11">
        <f>(D3/1.19)*0.19</f>
        <v>175750</v>
      </c>
    </row>
    <row r="4" spans="1:8" x14ac:dyDescent="0.25">
      <c r="A4" s="13" t="s">
        <v>29</v>
      </c>
      <c r="C4" s="28">
        <v>736</v>
      </c>
    </row>
    <row r="5" spans="1:8" ht="21" x14ac:dyDescent="0.35">
      <c r="A5" s="2" t="s">
        <v>2</v>
      </c>
      <c r="C5" t="s">
        <v>232</v>
      </c>
    </row>
    <row r="7" spans="1:8" ht="18.75" x14ac:dyDescent="0.3">
      <c r="A7" s="5" t="s">
        <v>167</v>
      </c>
      <c r="D7" s="4">
        <v>668205</v>
      </c>
      <c r="H7" s="4">
        <f>(D7/1.19)*0.19</f>
        <v>106688.19327731093</v>
      </c>
    </row>
    <row r="8" spans="1:8" ht="18.75" x14ac:dyDescent="0.3">
      <c r="A8" s="5"/>
      <c r="D8" s="4"/>
      <c r="H8" s="4"/>
    </row>
    <row r="9" spans="1:8" ht="18.75" x14ac:dyDescent="0.3">
      <c r="A9" s="5"/>
      <c r="B9" s="5"/>
      <c r="C9" s="5"/>
      <c r="D9" s="4"/>
      <c r="H9" s="4"/>
    </row>
    <row r="10" spans="1:8" ht="18.75" x14ac:dyDescent="0.3">
      <c r="A10" s="5"/>
      <c r="B10" s="5"/>
      <c r="C10" s="5"/>
      <c r="D10" s="4"/>
      <c r="H10" s="4"/>
    </row>
    <row r="11" spans="1:8" ht="19.5" thickBot="1" x14ac:dyDescent="0.35">
      <c r="A11" s="5"/>
      <c r="B11" s="5"/>
      <c r="C11" s="5"/>
      <c r="D11" s="35"/>
      <c r="E11" s="27"/>
      <c r="H11" s="35"/>
    </row>
    <row r="12" spans="1:8" ht="19.5" thickTop="1" x14ac:dyDescent="0.3">
      <c r="D12" s="4">
        <f>SUM(D7:D11)</f>
        <v>668205</v>
      </c>
      <c r="H12" s="33">
        <f>SUM(H7:H11)</f>
        <v>106688.19327731093</v>
      </c>
    </row>
    <row r="14" spans="1:8" ht="18.75" x14ac:dyDescent="0.3">
      <c r="C14" t="s">
        <v>4</v>
      </c>
      <c r="D14" s="4">
        <f>D3-D12</f>
        <v>432545</v>
      </c>
      <c r="G14" t="s">
        <v>5</v>
      </c>
      <c r="H14" s="4">
        <f>H3-H12</f>
        <v>69061.806722689071</v>
      </c>
    </row>
    <row r="16" spans="1:8" x14ac:dyDescent="0.25">
      <c r="G16" t="s">
        <v>454</v>
      </c>
    </row>
    <row r="17" spans="1:8" ht="15.75" x14ac:dyDescent="0.25">
      <c r="A17" t="s">
        <v>6</v>
      </c>
      <c r="C17" s="8">
        <f>D14</f>
        <v>432545</v>
      </c>
      <c r="E17" t="s">
        <v>10</v>
      </c>
      <c r="H17" s="6">
        <f>C26</f>
        <v>359080.19327731093</v>
      </c>
    </row>
    <row r="19" spans="1:8" ht="15.75" x14ac:dyDescent="0.25">
      <c r="A19" t="s">
        <v>5</v>
      </c>
      <c r="B19" s="9" t="s">
        <v>7</v>
      </c>
      <c r="C19" s="8">
        <f>H14</f>
        <v>69061.806722689071</v>
      </c>
      <c r="E19" s="13" t="s">
        <v>11</v>
      </c>
      <c r="F19" s="9" t="s">
        <v>12</v>
      </c>
      <c r="G19" s="15" t="s">
        <v>17</v>
      </c>
      <c r="H19" s="3">
        <f>-(F20*0.0077)</f>
        <v>-7122.5</v>
      </c>
    </row>
    <row r="20" spans="1:8" x14ac:dyDescent="0.25">
      <c r="F20" s="21">
        <f>D3-H3</f>
        <v>925000</v>
      </c>
    </row>
    <row r="21" spans="1:8" ht="16.5" thickBot="1" x14ac:dyDescent="0.3">
      <c r="A21" t="s">
        <v>8</v>
      </c>
      <c r="B21" s="9" t="s">
        <v>7</v>
      </c>
      <c r="C21" s="8">
        <f>D3*0.004</f>
        <v>4403</v>
      </c>
      <c r="F21" s="9" t="s">
        <v>13</v>
      </c>
      <c r="G21" s="16">
        <v>0.35</v>
      </c>
      <c r="H21" s="17">
        <f>-(F22*0.35)</f>
        <v>-125678.06764705882</v>
      </c>
    </row>
    <row r="22" spans="1:8" x14ac:dyDescent="0.25">
      <c r="F22" s="21">
        <f>H17</f>
        <v>359080.19327731093</v>
      </c>
    </row>
    <row r="23" spans="1:8" ht="15.75" x14ac:dyDescent="0.25">
      <c r="A23" t="s">
        <v>9</v>
      </c>
      <c r="B23" s="9" t="s">
        <v>7</v>
      </c>
      <c r="C23" s="10"/>
      <c r="G23" s="13" t="s">
        <v>14</v>
      </c>
      <c r="H23" s="6">
        <f>H17+H19+H21</f>
        <v>226279.62563025212</v>
      </c>
    </row>
    <row r="24" spans="1:8" ht="15.75" thickBot="1" x14ac:dyDescent="0.3">
      <c r="A24" s="16"/>
      <c r="B24" s="14"/>
      <c r="C24" s="7"/>
    </row>
    <row r="25" spans="1:8" x14ac:dyDescent="0.25">
      <c r="E25" t="s">
        <v>100</v>
      </c>
      <c r="H25" s="20">
        <f>H23*0.4</f>
        <v>90511.850252100849</v>
      </c>
    </row>
    <row r="26" spans="1:8" ht="15.75" x14ac:dyDescent="0.25">
      <c r="A26" t="s">
        <v>10</v>
      </c>
      <c r="C26" s="10">
        <f>C17-C19-C21-C23</f>
        <v>359080.19327731093</v>
      </c>
      <c r="H26" s="18"/>
    </row>
    <row r="27" spans="1:8" x14ac:dyDescent="0.25">
      <c r="H27" s="3"/>
    </row>
    <row r="28" spans="1:8" x14ac:dyDescent="0.25">
      <c r="H28" s="18"/>
    </row>
  </sheetData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308CA-D849-479E-846C-2CC887DB46B0}">
  <dimension ref="A1:H28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575</v>
      </c>
    </row>
    <row r="3" spans="1:8" ht="21" x14ac:dyDescent="0.35">
      <c r="A3" s="2" t="s">
        <v>1</v>
      </c>
      <c r="D3" s="11">
        <v>261800</v>
      </c>
      <c r="F3" s="12" t="s">
        <v>3</v>
      </c>
      <c r="H3" s="11">
        <f>(D3/1.19)*0.19</f>
        <v>41800</v>
      </c>
    </row>
    <row r="4" spans="1:8" x14ac:dyDescent="0.25">
      <c r="A4" s="13" t="s">
        <v>29</v>
      </c>
      <c r="C4" s="28">
        <v>738</v>
      </c>
    </row>
    <row r="5" spans="1:8" ht="21" x14ac:dyDescent="0.35">
      <c r="A5" s="2" t="s">
        <v>2</v>
      </c>
      <c r="C5" t="s">
        <v>232</v>
      </c>
    </row>
    <row r="7" spans="1:8" ht="18.75" x14ac:dyDescent="0.3">
      <c r="A7" s="5" t="s">
        <v>576</v>
      </c>
      <c r="D7" s="4">
        <v>180001</v>
      </c>
      <c r="H7" s="4">
        <f>(D7/1.19)*0.19</f>
        <v>28739.655462184877</v>
      </c>
    </row>
    <row r="8" spans="1:8" ht="18.75" x14ac:dyDescent="0.3">
      <c r="A8" s="5"/>
      <c r="D8" s="4"/>
      <c r="H8" s="4"/>
    </row>
    <row r="9" spans="1:8" ht="18.75" x14ac:dyDescent="0.3">
      <c r="A9" s="5"/>
      <c r="B9" s="5"/>
      <c r="C9" s="5"/>
      <c r="D9" s="4"/>
      <c r="H9" s="4"/>
    </row>
    <row r="10" spans="1:8" ht="18.75" x14ac:dyDescent="0.3">
      <c r="A10" s="5"/>
      <c r="B10" s="5"/>
      <c r="C10" s="5"/>
      <c r="D10" s="4"/>
      <c r="H10" s="4"/>
    </row>
    <row r="11" spans="1:8" ht="19.5" thickBot="1" x14ac:dyDescent="0.35">
      <c r="A11" s="5"/>
      <c r="B11" s="5"/>
      <c r="C11" s="5"/>
      <c r="D11" s="35"/>
      <c r="E11" s="27"/>
      <c r="H11" s="35"/>
    </row>
    <row r="12" spans="1:8" ht="19.5" thickTop="1" x14ac:dyDescent="0.3">
      <c r="D12" s="4">
        <f>SUM(D7:D11)</f>
        <v>180001</v>
      </c>
      <c r="H12" s="33">
        <f>SUM(H7:H11)</f>
        <v>28739.655462184877</v>
      </c>
    </row>
    <row r="14" spans="1:8" ht="18.75" x14ac:dyDescent="0.3">
      <c r="C14" t="s">
        <v>4</v>
      </c>
      <c r="D14" s="4">
        <f>D3-D12</f>
        <v>81799</v>
      </c>
      <c r="G14" t="s">
        <v>5</v>
      </c>
      <c r="H14" s="4">
        <f>H3-H12</f>
        <v>13060.344537815123</v>
      </c>
    </row>
    <row r="16" spans="1:8" x14ac:dyDescent="0.25">
      <c r="G16" t="s">
        <v>454</v>
      </c>
    </row>
    <row r="17" spans="1:8" ht="15.75" x14ac:dyDescent="0.25">
      <c r="A17" t="s">
        <v>6</v>
      </c>
      <c r="C17" s="8">
        <f>D14</f>
        <v>81799</v>
      </c>
      <c r="E17" t="s">
        <v>10</v>
      </c>
      <c r="H17" s="6">
        <f>C26</f>
        <v>67691.45546218488</v>
      </c>
    </row>
    <row r="19" spans="1:8" ht="15.75" x14ac:dyDescent="0.25">
      <c r="A19" t="s">
        <v>5</v>
      </c>
      <c r="B19" s="9" t="s">
        <v>7</v>
      </c>
      <c r="C19" s="8">
        <f>H14</f>
        <v>13060.344537815123</v>
      </c>
      <c r="E19" s="13" t="s">
        <v>11</v>
      </c>
      <c r="F19" s="9" t="s">
        <v>12</v>
      </c>
      <c r="G19" s="15" t="s">
        <v>17</v>
      </c>
      <c r="H19" s="3">
        <f>-(F20*0.0077)</f>
        <v>-1694</v>
      </c>
    </row>
    <row r="20" spans="1:8" x14ac:dyDescent="0.25">
      <c r="F20" s="21">
        <f>D3-H3</f>
        <v>220000</v>
      </c>
    </row>
    <row r="21" spans="1:8" ht="16.5" thickBot="1" x14ac:dyDescent="0.3">
      <c r="A21" t="s">
        <v>8</v>
      </c>
      <c r="B21" s="9" t="s">
        <v>7</v>
      </c>
      <c r="C21" s="8">
        <f>D3*0.004</f>
        <v>1047.2</v>
      </c>
      <c r="F21" s="9" t="s">
        <v>13</v>
      </c>
      <c r="G21" s="16">
        <v>0.35</v>
      </c>
      <c r="H21" s="17">
        <f>-(F22*0.35)</f>
        <v>-23692.009411764706</v>
      </c>
    </row>
    <row r="22" spans="1:8" x14ac:dyDescent="0.25">
      <c r="F22" s="21">
        <f>H17</f>
        <v>67691.45546218488</v>
      </c>
    </row>
    <row r="23" spans="1:8" ht="15.75" x14ac:dyDescent="0.25">
      <c r="A23" t="s">
        <v>9</v>
      </c>
      <c r="B23" s="9" t="s">
        <v>7</v>
      </c>
      <c r="C23" s="10"/>
      <c r="G23" s="13" t="s">
        <v>14</v>
      </c>
      <c r="H23" s="6">
        <f>H17+H19+H21</f>
        <v>42305.446050420171</v>
      </c>
    </row>
    <row r="24" spans="1:8" ht="15.75" thickBot="1" x14ac:dyDescent="0.3">
      <c r="A24" s="16"/>
      <c r="B24" s="14"/>
      <c r="C24" s="7"/>
    </row>
    <row r="25" spans="1:8" x14ac:dyDescent="0.25">
      <c r="E25" t="s">
        <v>100</v>
      </c>
      <c r="H25" s="20">
        <f>H23*0.4</f>
        <v>16922.178420168068</v>
      </c>
    </row>
    <row r="26" spans="1:8" ht="15.75" x14ac:dyDescent="0.25">
      <c r="A26" t="s">
        <v>10</v>
      </c>
      <c r="C26" s="10">
        <f>C17-C19-C21-C23</f>
        <v>67691.45546218488</v>
      </c>
      <c r="H26" s="18"/>
    </row>
    <row r="27" spans="1:8" x14ac:dyDescent="0.25">
      <c r="H27" s="3"/>
    </row>
    <row r="28" spans="1:8" x14ac:dyDescent="0.25">
      <c r="H28" s="18"/>
    </row>
  </sheetData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A45C2-DFF4-4B91-A523-99A7D2F0C6BF}">
  <dimension ref="A1:H28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300</v>
      </c>
    </row>
    <row r="3" spans="1:8" ht="21" x14ac:dyDescent="0.35">
      <c r="A3" s="2" t="s">
        <v>1</v>
      </c>
      <c r="D3" s="11">
        <v>462910</v>
      </c>
      <c r="F3" s="12" t="s">
        <v>3</v>
      </c>
      <c r="H3" s="11">
        <f>(D3/1.19)*0.19</f>
        <v>73910</v>
      </c>
    </row>
    <row r="4" spans="1:8" x14ac:dyDescent="0.25">
      <c r="A4" s="13" t="s">
        <v>29</v>
      </c>
      <c r="C4" s="28">
        <v>739</v>
      </c>
    </row>
    <row r="5" spans="1:8" ht="21" x14ac:dyDescent="0.35">
      <c r="A5" s="2" t="s">
        <v>2</v>
      </c>
      <c r="C5" t="s">
        <v>232</v>
      </c>
    </row>
    <row r="7" spans="1:8" ht="18.75" x14ac:dyDescent="0.3">
      <c r="A7" s="5" t="s">
        <v>167</v>
      </c>
      <c r="D7" s="4">
        <v>247289</v>
      </c>
      <c r="H7" s="4">
        <f>(D7/1.19)*0.19</f>
        <v>39483.117647058825</v>
      </c>
    </row>
    <row r="8" spans="1:8" ht="18.75" x14ac:dyDescent="0.3">
      <c r="A8" s="5"/>
      <c r="D8" s="4"/>
      <c r="H8" s="4"/>
    </row>
    <row r="9" spans="1:8" ht="18.75" x14ac:dyDescent="0.3">
      <c r="A9" s="5"/>
      <c r="B9" s="5"/>
      <c r="C9" s="5"/>
      <c r="D9" s="4"/>
      <c r="H9" s="4"/>
    </row>
    <row r="10" spans="1:8" ht="18.75" x14ac:dyDescent="0.3">
      <c r="A10" s="5"/>
      <c r="B10" s="5"/>
      <c r="C10" s="5"/>
      <c r="D10" s="4"/>
      <c r="H10" s="4"/>
    </row>
    <row r="11" spans="1:8" ht="19.5" thickBot="1" x14ac:dyDescent="0.35">
      <c r="A11" s="5"/>
      <c r="B11" s="5"/>
      <c r="C11" s="5"/>
      <c r="D11" s="35"/>
      <c r="E11" s="27"/>
      <c r="H11" s="35"/>
    </row>
    <row r="12" spans="1:8" ht="19.5" thickTop="1" x14ac:dyDescent="0.3">
      <c r="D12" s="4">
        <f>SUM(D7:D11)</f>
        <v>247289</v>
      </c>
      <c r="H12" s="33">
        <f>SUM(H7:H11)</f>
        <v>39483.117647058825</v>
      </c>
    </row>
    <row r="14" spans="1:8" ht="18.75" x14ac:dyDescent="0.3">
      <c r="C14" t="s">
        <v>4</v>
      </c>
      <c r="D14" s="4">
        <f>D3-D12</f>
        <v>215621</v>
      </c>
      <c r="G14" t="s">
        <v>5</v>
      </c>
      <c r="H14" s="4">
        <f>H3-H12</f>
        <v>34426.882352941175</v>
      </c>
    </row>
    <row r="16" spans="1:8" x14ac:dyDescent="0.25">
      <c r="G16" t="s">
        <v>454</v>
      </c>
    </row>
    <row r="17" spans="1:8" ht="15.75" x14ac:dyDescent="0.25">
      <c r="A17" t="s">
        <v>6</v>
      </c>
      <c r="C17" s="8">
        <f>D14</f>
        <v>215621</v>
      </c>
      <c r="E17" t="s">
        <v>10</v>
      </c>
      <c r="H17" s="6">
        <f>C26</f>
        <v>179342.47764705881</v>
      </c>
    </row>
    <row r="19" spans="1:8" ht="15.75" x14ac:dyDescent="0.25">
      <c r="A19" t="s">
        <v>5</v>
      </c>
      <c r="B19" s="9" t="s">
        <v>7</v>
      </c>
      <c r="C19" s="8">
        <f>H14</f>
        <v>34426.882352941175</v>
      </c>
      <c r="E19" s="13" t="s">
        <v>11</v>
      </c>
      <c r="F19" s="9" t="s">
        <v>12</v>
      </c>
      <c r="G19" s="15" t="s">
        <v>17</v>
      </c>
      <c r="H19" s="3">
        <f>-(F20*0.0077)</f>
        <v>-2995.3</v>
      </c>
    </row>
    <row r="20" spans="1:8" x14ac:dyDescent="0.25">
      <c r="F20" s="21">
        <f>D3-H3</f>
        <v>389000</v>
      </c>
    </row>
    <row r="21" spans="1:8" ht="16.5" thickBot="1" x14ac:dyDescent="0.3">
      <c r="A21" t="s">
        <v>8</v>
      </c>
      <c r="B21" s="9" t="s">
        <v>7</v>
      </c>
      <c r="C21" s="8">
        <f>D3*0.004</f>
        <v>1851.64</v>
      </c>
      <c r="F21" s="9" t="s">
        <v>13</v>
      </c>
      <c r="G21" s="16">
        <v>0.35</v>
      </c>
      <c r="H21" s="17">
        <f>-(F22*0.35)</f>
        <v>-62769.86717647058</v>
      </c>
    </row>
    <row r="22" spans="1:8" x14ac:dyDescent="0.25">
      <c r="F22" s="21">
        <f>H17</f>
        <v>179342.47764705881</v>
      </c>
    </row>
    <row r="23" spans="1:8" ht="15.75" x14ac:dyDescent="0.25">
      <c r="A23" t="s">
        <v>9</v>
      </c>
      <c r="B23" s="9" t="s">
        <v>7</v>
      </c>
      <c r="C23" s="10"/>
      <c r="G23" s="13" t="s">
        <v>14</v>
      </c>
      <c r="H23" s="6">
        <f>H17+H19+H21</f>
        <v>113577.31047058824</v>
      </c>
    </row>
    <row r="24" spans="1:8" ht="15.75" thickBot="1" x14ac:dyDescent="0.3">
      <c r="A24" s="16"/>
      <c r="B24" s="14"/>
      <c r="C24" s="7"/>
    </row>
    <row r="25" spans="1:8" x14ac:dyDescent="0.25">
      <c r="E25" t="s">
        <v>100</v>
      </c>
      <c r="H25" s="20">
        <f>H23*0.4</f>
        <v>45430.924188235302</v>
      </c>
    </row>
    <row r="26" spans="1:8" ht="15.75" x14ac:dyDescent="0.25">
      <c r="A26" t="s">
        <v>10</v>
      </c>
      <c r="C26" s="10">
        <f>C17-C19-C21-C23</f>
        <v>179342.47764705881</v>
      </c>
      <c r="H26" s="18"/>
    </row>
    <row r="27" spans="1:8" x14ac:dyDescent="0.25">
      <c r="H27" s="3"/>
    </row>
    <row r="28" spans="1:8" x14ac:dyDescent="0.25">
      <c r="H28" s="18"/>
    </row>
  </sheetData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38C72-9455-4452-A181-084E63EB5F39}">
  <dimension ref="A1:H28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577</v>
      </c>
    </row>
    <row r="3" spans="1:8" ht="21" x14ac:dyDescent="0.35">
      <c r="A3" s="2" t="s">
        <v>1</v>
      </c>
      <c r="D3" s="11">
        <v>819672</v>
      </c>
      <c r="F3" s="12" t="s">
        <v>3</v>
      </c>
      <c r="H3" s="11">
        <f>(D3/1.19)*0.19</f>
        <v>130872</v>
      </c>
    </row>
    <row r="4" spans="1:8" x14ac:dyDescent="0.25">
      <c r="A4" s="13" t="s">
        <v>29</v>
      </c>
      <c r="C4" s="28">
        <v>740</v>
      </c>
    </row>
    <row r="5" spans="1:8" ht="21" x14ac:dyDescent="0.35">
      <c r="A5" s="2" t="s">
        <v>2</v>
      </c>
      <c r="C5" t="s">
        <v>232</v>
      </c>
    </row>
    <row r="7" spans="1:8" ht="18.75" x14ac:dyDescent="0.3">
      <c r="A7" s="5" t="s">
        <v>578</v>
      </c>
      <c r="D7" s="4">
        <v>607186</v>
      </c>
      <c r="H7" s="4">
        <f>(D7/1.19)*0.19</f>
        <v>96945.66386554623</v>
      </c>
    </row>
    <row r="8" spans="1:8" ht="18.75" x14ac:dyDescent="0.3">
      <c r="A8" s="5"/>
      <c r="D8" s="4"/>
      <c r="H8" s="4"/>
    </row>
    <row r="9" spans="1:8" ht="18.75" x14ac:dyDescent="0.3">
      <c r="A9" s="5"/>
      <c r="B9" s="5"/>
      <c r="C9" s="5"/>
      <c r="D9" s="4"/>
      <c r="H9" s="4"/>
    </row>
    <row r="10" spans="1:8" ht="18.75" x14ac:dyDescent="0.3">
      <c r="A10" s="5"/>
      <c r="B10" s="5"/>
      <c r="C10" s="5"/>
      <c r="D10" s="4"/>
      <c r="H10" s="4"/>
    </row>
    <row r="11" spans="1:8" ht="19.5" thickBot="1" x14ac:dyDescent="0.35">
      <c r="A11" s="5"/>
      <c r="B11" s="5"/>
      <c r="C11" s="5"/>
      <c r="D11" s="35"/>
      <c r="E11" s="27"/>
      <c r="H11" s="35"/>
    </row>
    <row r="12" spans="1:8" ht="19.5" thickTop="1" x14ac:dyDescent="0.3">
      <c r="D12" s="4">
        <f>SUM(D7:D11)</f>
        <v>607186</v>
      </c>
      <c r="H12" s="33">
        <f>SUM(H7:H11)</f>
        <v>96945.66386554623</v>
      </c>
    </row>
    <row r="14" spans="1:8" ht="18.75" x14ac:dyDescent="0.3">
      <c r="C14" t="s">
        <v>4</v>
      </c>
      <c r="D14" s="4">
        <f>D3-D12</f>
        <v>212486</v>
      </c>
      <c r="G14" t="s">
        <v>5</v>
      </c>
      <c r="H14" s="4">
        <f>H3-H12</f>
        <v>33926.33613445377</v>
      </c>
    </row>
    <row r="16" spans="1:8" x14ac:dyDescent="0.25">
      <c r="G16" t="s">
        <v>454</v>
      </c>
    </row>
    <row r="17" spans="1:8" ht="15.75" x14ac:dyDescent="0.25">
      <c r="A17" t="s">
        <v>6</v>
      </c>
      <c r="C17" s="8">
        <f>D14</f>
        <v>212486</v>
      </c>
      <c r="E17" t="s">
        <v>10</v>
      </c>
      <c r="H17" s="6">
        <f>C26</f>
        <v>175280.97586554624</v>
      </c>
    </row>
    <row r="19" spans="1:8" ht="15.75" x14ac:dyDescent="0.25">
      <c r="A19" t="s">
        <v>5</v>
      </c>
      <c r="B19" s="9" t="s">
        <v>7</v>
      </c>
      <c r="C19" s="8">
        <f>H14</f>
        <v>33926.33613445377</v>
      </c>
      <c r="E19" s="13" t="s">
        <v>11</v>
      </c>
      <c r="F19" s="9" t="s">
        <v>12</v>
      </c>
      <c r="G19" s="15" t="s">
        <v>17</v>
      </c>
      <c r="H19" s="3">
        <f>-(F20*0.0077)</f>
        <v>-5303.76</v>
      </c>
    </row>
    <row r="20" spans="1:8" x14ac:dyDescent="0.25">
      <c r="F20" s="21">
        <f>D3-H3</f>
        <v>688800</v>
      </c>
    </row>
    <row r="21" spans="1:8" ht="16.5" thickBot="1" x14ac:dyDescent="0.3">
      <c r="A21" t="s">
        <v>8</v>
      </c>
      <c r="B21" s="9" t="s">
        <v>7</v>
      </c>
      <c r="C21" s="8">
        <f>D3*0.004</f>
        <v>3278.6880000000001</v>
      </c>
      <c r="F21" s="9" t="s">
        <v>13</v>
      </c>
      <c r="G21" s="16">
        <v>0.35</v>
      </c>
      <c r="H21" s="17">
        <f>-(F22*0.35)</f>
        <v>-61348.34155294118</v>
      </c>
    </row>
    <row r="22" spans="1:8" x14ac:dyDescent="0.25">
      <c r="F22" s="21">
        <f>H17</f>
        <v>175280.97586554624</v>
      </c>
    </row>
    <row r="23" spans="1:8" ht="15.75" x14ac:dyDescent="0.25">
      <c r="A23" t="s">
        <v>9</v>
      </c>
      <c r="B23" s="9" t="s">
        <v>7</v>
      </c>
      <c r="C23" s="10"/>
      <c r="G23" s="13" t="s">
        <v>14</v>
      </c>
      <c r="H23" s="6">
        <f>H17+H19+H21</f>
        <v>108628.87431260504</v>
      </c>
    </row>
    <row r="24" spans="1:8" ht="15.75" thickBot="1" x14ac:dyDescent="0.3">
      <c r="A24" s="16"/>
      <c r="B24" s="14"/>
      <c r="C24" s="7"/>
    </row>
    <row r="25" spans="1:8" x14ac:dyDescent="0.25">
      <c r="E25" t="s">
        <v>100</v>
      </c>
      <c r="H25" s="20">
        <f>H23*0.4</f>
        <v>43451.549725042016</v>
      </c>
    </row>
    <row r="26" spans="1:8" ht="15.75" x14ac:dyDescent="0.25">
      <c r="A26" t="s">
        <v>10</v>
      </c>
      <c r="C26" s="10">
        <f>C17-C19-C21-C23</f>
        <v>175280.97586554624</v>
      </c>
      <c r="H26" s="18"/>
    </row>
    <row r="27" spans="1:8" x14ac:dyDescent="0.25">
      <c r="H27" s="3"/>
    </row>
    <row r="28" spans="1:8" x14ac:dyDescent="0.25">
      <c r="H28" s="18"/>
    </row>
  </sheetData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46477-E245-4C15-ACD7-E0EE8853743F}">
  <dimension ref="A1:H28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300</v>
      </c>
    </row>
    <row r="3" spans="1:8" ht="21" x14ac:dyDescent="0.35">
      <c r="A3" s="2" t="s">
        <v>1</v>
      </c>
      <c r="D3" s="11">
        <v>116620</v>
      </c>
      <c r="F3" s="12" t="s">
        <v>3</v>
      </c>
      <c r="H3" s="11">
        <f>(D3/1.19)*0.19</f>
        <v>18620</v>
      </c>
    </row>
    <row r="4" spans="1:8" x14ac:dyDescent="0.25">
      <c r="A4" s="13" t="s">
        <v>29</v>
      </c>
      <c r="C4" s="28">
        <v>741</v>
      </c>
    </row>
    <row r="5" spans="1:8" ht="21" x14ac:dyDescent="0.35">
      <c r="A5" s="2" t="s">
        <v>2</v>
      </c>
      <c r="C5" t="s">
        <v>232</v>
      </c>
    </row>
    <row r="7" spans="1:8" ht="18.75" x14ac:dyDescent="0.3">
      <c r="A7" s="5" t="s">
        <v>488</v>
      </c>
      <c r="D7" s="4">
        <v>80268</v>
      </c>
      <c r="H7" s="4">
        <f>(D7/1.19)*0.19</f>
        <v>12815.899159663866</v>
      </c>
    </row>
    <row r="8" spans="1:8" ht="18.75" x14ac:dyDescent="0.3">
      <c r="A8" s="5"/>
      <c r="D8" s="4"/>
      <c r="H8" s="4"/>
    </row>
    <row r="9" spans="1:8" ht="18.75" x14ac:dyDescent="0.3">
      <c r="A9" s="5"/>
      <c r="B9" s="5"/>
      <c r="C9" s="5"/>
      <c r="D9" s="4"/>
      <c r="H9" s="4"/>
    </row>
    <row r="10" spans="1:8" ht="18.75" x14ac:dyDescent="0.3">
      <c r="A10" s="5"/>
      <c r="B10" s="5"/>
      <c r="C10" s="5"/>
      <c r="D10" s="4"/>
      <c r="H10" s="4"/>
    </row>
    <row r="11" spans="1:8" ht="19.5" thickBot="1" x14ac:dyDescent="0.35">
      <c r="A11" s="5"/>
      <c r="B11" s="5"/>
      <c r="C11" s="5"/>
      <c r="D11" s="35"/>
      <c r="E11" s="27"/>
      <c r="H11" s="35"/>
    </row>
    <row r="12" spans="1:8" ht="19.5" thickTop="1" x14ac:dyDescent="0.3">
      <c r="D12" s="4">
        <f>SUM(D7:D11)</f>
        <v>80268</v>
      </c>
      <c r="H12" s="33">
        <f>SUM(H7:H11)</f>
        <v>12815.899159663866</v>
      </c>
    </row>
    <row r="14" spans="1:8" ht="18.75" x14ac:dyDescent="0.3">
      <c r="C14" t="s">
        <v>4</v>
      </c>
      <c r="D14" s="4">
        <f>D3-D12</f>
        <v>36352</v>
      </c>
      <c r="G14" t="s">
        <v>5</v>
      </c>
      <c r="H14" s="4">
        <f>H3-H12</f>
        <v>5804.1008403361338</v>
      </c>
    </row>
    <row r="16" spans="1:8" x14ac:dyDescent="0.25">
      <c r="G16" t="s">
        <v>454</v>
      </c>
    </row>
    <row r="17" spans="1:8" ht="15.75" x14ac:dyDescent="0.25">
      <c r="A17" t="s">
        <v>6</v>
      </c>
      <c r="C17" s="8">
        <f>D14</f>
        <v>36352</v>
      </c>
      <c r="E17" t="s">
        <v>10</v>
      </c>
      <c r="H17" s="6">
        <f>C26</f>
        <v>30081.419159663867</v>
      </c>
    </row>
    <row r="19" spans="1:8" ht="15.75" x14ac:dyDescent="0.25">
      <c r="A19" t="s">
        <v>5</v>
      </c>
      <c r="B19" s="9" t="s">
        <v>7</v>
      </c>
      <c r="C19" s="8">
        <f>H14</f>
        <v>5804.1008403361338</v>
      </c>
      <c r="E19" s="13" t="s">
        <v>11</v>
      </c>
      <c r="F19" s="9" t="s">
        <v>12</v>
      </c>
      <c r="G19" s="15" t="s">
        <v>17</v>
      </c>
      <c r="H19" s="3">
        <f>-(F20*0.0077)</f>
        <v>-754.6</v>
      </c>
    </row>
    <row r="20" spans="1:8" x14ac:dyDescent="0.25">
      <c r="F20" s="21">
        <f>D3-H3</f>
        <v>98000</v>
      </c>
    </row>
    <row r="21" spans="1:8" ht="16.5" thickBot="1" x14ac:dyDescent="0.3">
      <c r="A21" t="s">
        <v>8</v>
      </c>
      <c r="B21" s="9" t="s">
        <v>7</v>
      </c>
      <c r="C21" s="8">
        <f>D3*0.004</f>
        <v>466.48</v>
      </c>
      <c r="F21" s="9" t="s">
        <v>13</v>
      </c>
      <c r="G21" s="16">
        <v>0.35</v>
      </c>
      <c r="H21" s="17">
        <f>-(F22*0.35)</f>
        <v>-10528.496705882353</v>
      </c>
    </row>
    <row r="22" spans="1:8" x14ac:dyDescent="0.25">
      <c r="F22" s="21">
        <f>H17</f>
        <v>30081.419159663867</v>
      </c>
    </row>
    <row r="23" spans="1:8" ht="15.75" x14ac:dyDescent="0.25">
      <c r="A23" t="s">
        <v>9</v>
      </c>
      <c r="B23" s="9" t="s">
        <v>7</v>
      </c>
      <c r="C23" s="10"/>
      <c r="G23" s="13" t="s">
        <v>14</v>
      </c>
      <c r="H23" s="6">
        <f>H17+H19+H21</f>
        <v>18798.322453781515</v>
      </c>
    </row>
    <row r="24" spans="1:8" ht="15.75" thickBot="1" x14ac:dyDescent="0.3">
      <c r="A24" s="16"/>
      <c r="B24" s="14"/>
      <c r="C24" s="7"/>
    </row>
    <row r="25" spans="1:8" x14ac:dyDescent="0.25">
      <c r="E25" t="s">
        <v>100</v>
      </c>
      <c r="H25" s="20">
        <f>H23*0.4</f>
        <v>7519.3289815126063</v>
      </c>
    </row>
    <row r="26" spans="1:8" ht="15.75" x14ac:dyDescent="0.25">
      <c r="A26" t="s">
        <v>10</v>
      </c>
      <c r="C26" s="10">
        <f>C17-C19-C21-C23</f>
        <v>30081.419159663867</v>
      </c>
      <c r="H26" s="18"/>
    </row>
    <row r="27" spans="1:8" x14ac:dyDescent="0.25">
      <c r="H27" s="3"/>
    </row>
    <row r="28" spans="1:8" x14ac:dyDescent="0.25">
      <c r="H28" s="18"/>
    </row>
  </sheetData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682FB-413F-47D6-882D-368C651EBF5E}">
  <dimension ref="A1:H28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579</v>
      </c>
    </row>
    <row r="3" spans="1:8" ht="21" x14ac:dyDescent="0.35">
      <c r="A3" s="2" t="s">
        <v>1</v>
      </c>
      <c r="D3" s="11">
        <v>1035300</v>
      </c>
      <c r="F3" s="12" t="s">
        <v>3</v>
      </c>
      <c r="H3" s="11">
        <f>(D3/1.19)*0.19</f>
        <v>165300</v>
      </c>
    </row>
    <row r="4" spans="1:8" x14ac:dyDescent="0.25">
      <c r="A4" s="13" t="s">
        <v>29</v>
      </c>
      <c r="C4" s="28">
        <v>744</v>
      </c>
    </row>
    <row r="5" spans="1:8" ht="21" x14ac:dyDescent="0.35">
      <c r="A5" s="2" t="s">
        <v>2</v>
      </c>
      <c r="C5" t="s">
        <v>232</v>
      </c>
    </row>
    <row r="7" spans="1:8" ht="18.75" x14ac:dyDescent="0.3">
      <c r="A7" s="5" t="s">
        <v>560</v>
      </c>
      <c r="D7" s="4">
        <v>506494</v>
      </c>
      <c r="H7" s="4">
        <f>(D7/1.19)*0.19</f>
        <v>80868.789915966379</v>
      </c>
    </row>
    <row r="8" spans="1:8" ht="18.75" x14ac:dyDescent="0.3">
      <c r="A8" s="5"/>
      <c r="D8" s="4"/>
      <c r="H8" s="4"/>
    </row>
    <row r="9" spans="1:8" ht="18.75" x14ac:dyDescent="0.3">
      <c r="A9" s="5"/>
      <c r="B9" s="5"/>
      <c r="C9" s="5"/>
      <c r="D9" s="4"/>
      <c r="H9" s="4"/>
    </row>
    <row r="10" spans="1:8" ht="18.75" x14ac:dyDescent="0.3">
      <c r="A10" s="5"/>
      <c r="B10" s="5"/>
      <c r="C10" s="5"/>
      <c r="D10" s="4"/>
      <c r="H10" s="4"/>
    </row>
    <row r="11" spans="1:8" ht="19.5" thickBot="1" x14ac:dyDescent="0.35">
      <c r="A11" s="5"/>
      <c r="B11" s="5"/>
      <c r="C11" s="5"/>
      <c r="D11" s="35"/>
      <c r="E11" s="27"/>
      <c r="H11" s="35"/>
    </row>
    <row r="12" spans="1:8" ht="19.5" thickTop="1" x14ac:dyDescent="0.3">
      <c r="D12" s="4">
        <f>SUM(D7:D11)</f>
        <v>506494</v>
      </c>
      <c r="H12" s="33">
        <f>SUM(H7:H11)</f>
        <v>80868.789915966379</v>
      </c>
    </row>
    <row r="14" spans="1:8" ht="18.75" x14ac:dyDescent="0.3">
      <c r="C14" t="s">
        <v>4</v>
      </c>
      <c r="D14" s="4">
        <f>D3-D12</f>
        <v>528806</v>
      </c>
      <c r="G14" t="s">
        <v>5</v>
      </c>
      <c r="H14" s="4">
        <f>H3-H12</f>
        <v>84431.210084033621</v>
      </c>
    </row>
    <row r="16" spans="1:8" x14ac:dyDescent="0.25">
      <c r="G16" t="s">
        <v>454</v>
      </c>
    </row>
    <row r="17" spans="1:8" ht="15.75" x14ac:dyDescent="0.25">
      <c r="A17" t="s">
        <v>6</v>
      </c>
      <c r="C17" s="8">
        <f>D14</f>
        <v>528806</v>
      </c>
      <c r="E17" t="s">
        <v>10</v>
      </c>
      <c r="H17" s="6">
        <f>C26</f>
        <v>440233.58991596638</v>
      </c>
    </row>
    <row r="19" spans="1:8" ht="15.75" x14ac:dyDescent="0.25">
      <c r="A19" t="s">
        <v>5</v>
      </c>
      <c r="B19" s="9" t="s">
        <v>7</v>
      </c>
      <c r="C19" s="8">
        <f>H14</f>
        <v>84431.210084033621</v>
      </c>
      <c r="E19" s="13" t="s">
        <v>11</v>
      </c>
      <c r="F19" s="9" t="s">
        <v>12</v>
      </c>
      <c r="G19" s="15" t="s">
        <v>17</v>
      </c>
      <c r="H19" s="3">
        <f>-(F20*0.0077)</f>
        <v>-6699</v>
      </c>
    </row>
    <row r="20" spans="1:8" x14ac:dyDescent="0.25">
      <c r="F20" s="21">
        <f>D3-H3</f>
        <v>870000</v>
      </c>
    </row>
    <row r="21" spans="1:8" ht="16.5" thickBot="1" x14ac:dyDescent="0.3">
      <c r="A21" t="s">
        <v>8</v>
      </c>
      <c r="B21" s="9" t="s">
        <v>7</v>
      </c>
      <c r="C21" s="8">
        <f>D3*0.004</f>
        <v>4141.2</v>
      </c>
      <c r="F21" s="9" t="s">
        <v>13</v>
      </c>
      <c r="G21" s="16">
        <v>0.35</v>
      </c>
      <c r="H21" s="17">
        <f>-(F22*0.35)</f>
        <v>-154081.75647058821</v>
      </c>
    </row>
    <row r="22" spans="1:8" x14ac:dyDescent="0.25">
      <c r="F22" s="21">
        <f>H17</f>
        <v>440233.58991596638</v>
      </c>
    </row>
    <row r="23" spans="1:8" ht="15.75" x14ac:dyDescent="0.25">
      <c r="A23" t="s">
        <v>9</v>
      </c>
      <c r="B23" s="9" t="s">
        <v>7</v>
      </c>
      <c r="C23" s="10"/>
      <c r="G23" s="13" t="s">
        <v>14</v>
      </c>
      <c r="H23" s="6">
        <f>H17+H19+H21</f>
        <v>279452.83344537817</v>
      </c>
    </row>
    <row r="24" spans="1:8" ht="15.75" thickBot="1" x14ac:dyDescent="0.3">
      <c r="A24" s="16"/>
      <c r="B24" s="14"/>
      <c r="C24" s="7"/>
    </row>
    <row r="25" spans="1:8" x14ac:dyDescent="0.25">
      <c r="E25" t="s">
        <v>100</v>
      </c>
      <c r="H25" s="20">
        <f>H23*0.4</f>
        <v>111781.13337815128</v>
      </c>
    </row>
    <row r="26" spans="1:8" ht="15.75" x14ac:dyDescent="0.25">
      <c r="A26" t="s">
        <v>10</v>
      </c>
      <c r="C26" s="10">
        <f>C17-C19-C21-C23</f>
        <v>440233.58991596638</v>
      </c>
      <c r="H26" s="18"/>
    </row>
    <row r="27" spans="1:8" x14ac:dyDescent="0.25">
      <c r="H27" s="3"/>
    </row>
    <row r="28" spans="1:8" x14ac:dyDescent="0.25">
      <c r="H28" s="18"/>
    </row>
  </sheetData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3E4BB-775B-40DD-BFDA-DD503D62272D}">
  <dimension ref="A1:H28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580</v>
      </c>
    </row>
    <row r="3" spans="1:8" ht="21" x14ac:dyDescent="0.35">
      <c r="A3" s="2" t="s">
        <v>1</v>
      </c>
      <c r="D3" s="11">
        <v>10735941</v>
      </c>
      <c r="F3" s="12" t="s">
        <v>3</v>
      </c>
      <c r="H3" s="11">
        <f>(D3/1.19)*0.19</f>
        <v>1714141.8403361344</v>
      </c>
    </row>
    <row r="4" spans="1:8" x14ac:dyDescent="0.25">
      <c r="A4" s="13" t="s">
        <v>29</v>
      </c>
      <c r="C4" s="28">
        <v>746</v>
      </c>
    </row>
    <row r="5" spans="1:8" ht="21" x14ac:dyDescent="0.35">
      <c r="A5" s="2" t="s">
        <v>2</v>
      </c>
      <c r="C5" t="s">
        <v>232</v>
      </c>
    </row>
    <row r="7" spans="1:8" ht="18.75" x14ac:dyDescent="0.3">
      <c r="A7" s="5" t="s">
        <v>581</v>
      </c>
      <c r="D7" s="4">
        <v>8435624</v>
      </c>
      <c r="H7" s="4">
        <f>(D7/1.19)*0.19</f>
        <v>1346864.336134454</v>
      </c>
    </row>
    <row r="8" spans="1:8" ht="18.75" x14ac:dyDescent="0.3">
      <c r="A8" s="5"/>
      <c r="D8" s="4"/>
      <c r="H8" s="4"/>
    </row>
    <row r="9" spans="1:8" ht="18.75" x14ac:dyDescent="0.3">
      <c r="A9" s="5"/>
      <c r="B9" s="5"/>
      <c r="C9" s="5"/>
      <c r="D9" s="4"/>
      <c r="H9" s="4"/>
    </row>
    <row r="10" spans="1:8" ht="18.75" x14ac:dyDescent="0.3">
      <c r="A10" s="5"/>
      <c r="B10" s="5"/>
      <c r="C10" s="5"/>
      <c r="D10" s="4"/>
      <c r="H10" s="4"/>
    </row>
    <row r="11" spans="1:8" ht="19.5" thickBot="1" x14ac:dyDescent="0.35">
      <c r="A11" s="5"/>
      <c r="B11" s="5"/>
      <c r="C11" s="5"/>
      <c r="D11" s="35"/>
      <c r="E11" s="27"/>
      <c r="H11" s="35"/>
    </row>
    <row r="12" spans="1:8" ht="19.5" thickTop="1" x14ac:dyDescent="0.3">
      <c r="D12" s="4">
        <f>SUM(D7:D11)</f>
        <v>8435624</v>
      </c>
      <c r="H12" s="33">
        <f>SUM(H7:H11)</f>
        <v>1346864.336134454</v>
      </c>
    </row>
    <row r="14" spans="1:8" ht="18.75" x14ac:dyDescent="0.3">
      <c r="C14" t="s">
        <v>4</v>
      </c>
      <c r="D14" s="4">
        <f>D3-D12</f>
        <v>2300317</v>
      </c>
      <c r="G14" t="s">
        <v>5</v>
      </c>
      <c r="H14" s="4">
        <f>H3-H12</f>
        <v>367277.50420168042</v>
      </c>
    </row>
    <row r="16" spans="1:8" x14ac:dyDescent="0.25">
      <c r="G16" t="s">
        <v>454</v>
      </c>
    </row>
    <row r="17" spans="1:8" ht="15.75" x14ac:dyDescent="0.25">
      <c r="A17" t="s">
        <v>6</v>
      </c>
      <c r="C17" s="8">
        <f>D14</f>
        <v>2300317</v>
      </c>
      <c r="E17" t="s">
        <v>10</v>
      </c>
      <c r="H17" s="6">
        <f>C26</f>
        <v>1890095.7317983196</v>
      </c>
    </row>
    <row r="19" spans="1:8" ht="15.75" x14ac:dyDescent="0.25">
      <c r="A19" t="s">
        <v>5</v>
      </c>
      <c r="B19" s="9" t="s">
        <v>7</v>
      </c>
      <c r="C19" s="8">
        <f>H14</f>
        <v>367277.50420168042</v>
      </c>
      <c r="E19" s="13" t="s">
        <v>11</v>
      </c>
      <c r="F19" s="9" t="s">
        <v>12</v>
      </c>
      <c r="G19" s="15" t="s">
        <v>17</v>
      </c>
      <c r="H19" s="3">
        <f>-(F20*0.0077)</f>
        <v>-69467.853529411761</v>
      </c>
    </row>
    <row r="20" spans="1:8" x14ac:dyDescent="0.25">
      <c r="F20" s="21">
        <f>D3-H3</f>
        <v>9021799.1596638653</v>
      </c>
    </row>
    <row r="21" spans="1:8" ht="16.5" thickBot="1" x14ac:dyDescent="0.3">
      <c r="A21" t="s">
        <v>8</v>
      </c>
      <c r="B21" s="9" t="s">
        <v>7</v>
      </c>
      <c r="C21" s="8">
        <f>D3*0.004</f>
        <v>42943.764000000003</v>
      </c>
      <c r="F21" s="9" t="s">
        <v>13</v>
      </c>
      <c r="G21" s="16">
        <v>0.35</v>
      </c>
      <c r="H21" s="17">
        <f>-(F22*0.35)</f>
        <v>-661533.50612941186</v>
      </c>
    </row>
    <row r="22" spans="1:8" x14ac:dyDescent="0.25">
      <c r="F22" s="21">
        <f>H17</f>
        <v>1890095.7317983196</v>
      </c>
    </row>
    <row r="23" spans="1:8" ht="15.75" x14ac:dyDescent="0.25">
      <c r="A23" t="s">
        <v>9</v>
      </c>
      <c r="B23" s="9" t="s">
        <v>7</v>
      </c>
      <c r="C23" s="10"/>
      <c r="G23" s="13" t="s">
        <v>14</v>
      </c>
      <c r="H23" s="6">
        <f>H17+H19+H21</f>
        <v>1159094.3721394958</v>
      </c>
    </row>
    <row r="24" spans="1:8" ht="15.75" thickBot="1" x14ac:dyDescent="0.3">
      <c r="A24" s="16"/>
      <c r="B24" s="14"/>
      <c r="C24" s="7"/>
    </row>
    <row r="25" spans="1:8" x14ac:dyDescent="0.25">
      <c r="E25" t="s">
        <v>100</v>
      </c>
      <c r="H25" s="20">
        <f>H23*0.4</f>
        <v>463637.74885579833</v>
      </c>
    </row>
    <row r="26" spans="1:8" ht="15.75" x14ac:dyDescent="0.25">
      <c r="A26" t="s">
        <v>10</v>
      </c>
      <c r="C26" s="10">
        <f>C17-C19-C21-C23</f>
        <v>1890095.7317983196</v>
      </c>
      <c r="H26" s="18"/>
    </row>
    <row r="27" spans="1:8" x14ac:dyDescent="0.25">
      <c r="H27" s="3"/>
    </row>
    <row r="28" spans="1:8" x14ac:dyDescent="0.25">
      <c r="H28" s="18"/>
    </row>
  </sheetData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AE678-7E9E-4173-B00B-C2CCCB79DD96}">
  <dimension ref="A1:H28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582</v>
      </c>
    </row>
    <row r="3" spans="1:8" ht="21" x14ac:dyDescent="0.35">
      <c r="A3" s="2" t="s">
        <v>1</v>
      </c>
      <c r="D3" s="11">
        <v>242257</v>
      </c>
      <c r="F3" s="12" t="s">
        <v>3</v>
      </c>
      <c r="H3" s="11">
        <f>(D3/1.19)*0.19</f>
        <v>38679.689075630253</v>
      </c>
    </row>
    <row r="4" spans="1:8" x14ac:dyDescent="0.25">
      <c r="A4" s="13" t="s">
        <v>29</v>
      </c>
      <c r="C4" s="28">
        <v>753</v>
      </c>
    </row>
    <row r="5" spans="1:8" ht="21" x14ac:dyDescent="0.35">
      <c r="A5" s="2" t="s">
        <v>2</v>
      </c>
      <c r="C5" t="s">
        <v>232</v>
      </c>
    </row>
    <row r="7" spans="1:8" ht="18.75" x14ac:dyDescent="0.3">
      <c r="A7" s="5" t="s">
        <v>167</v>
      </c>
      <c r="D7" s="4">
        <v>182500</v>
      </c>
      <c r="H7" s="4">
        <f>(D7/1.19)*0.19</f>
        <v>29138.655462184877</v>
      </c>
    </row>
    <row r="8" spans="1:8" ht="18.75" x14ac:dyDescent="0.3">
      <c r="A8" s="5"/>
      <c r="D8" s="4"/>
      <c r="H8" s="4"/>
    </row>
    <row r="9" spans="1:8" ht="18.75" x14ac:dyDescent="0.3">
      <c r="A9" s="5"/>
      <c r="B9" s="5"/>
      <c r="C9" s="5"/>
      <c r="D9" s="4"/>
      <c r="H9" s="4"/>
    </row>
    <row r="10" spans="1:8" ht="18.75" x14ac:dyDescent="0.3">
      <c r="A10" s="5"/>
      <c r="B10" s="5"/>
      <c r="C10" s="5"/>
      <c r="D10" s="4"/>
      <c r="H10" s="4"/>
    </row>
    <row r="11" spans="1:8" ht="19.5" thickBot="1" x14ac:dyDescent="0.35">
      <c r="A11" s="5"/>
      <c r="B11" s="5"/>
      <c r="C11" s="5"/>
      <c r="D11" s="35"/>
      <c r="E11" s="27"/>
      <c r="H11" s="35"/>
    </row>
    <row r="12" spans="1:8" ht="19.5" thickTop="1" x14ac:dyDescent="0.3">
      <c r="D12" s="4">
        <f>SUM(D7:D11)</f>
        <v>182500</v>
      </c>
      <c r="H12" s="33">
        <f>SUM(H7:H11)</f>
        <v>29138.655462184877</v>
      </c>
    </row>
    <row r="14" spans="1:8" ht="18.75" x14ac:dyDescent="0.3">
      <c r="C14" t="s">
        <v>4</v>
      </c>
      <c r="D14" s="4">
        <f>D3-D12</f>
        <v>59757</v>
      </c>
      <c r="G14" t="s">
        <v>5</v>
      </c>
      <c r="H14" s="4">
        <f>H3-H12</f>
        <v>9541.0336134453755</v>
      </c>
    </row>
    <row r="16" spans="1:8" x14ac:dyDescent="0.25">
      <c r="G16" t="s">
        <v>454</v>
      </c>
    </row>
    <row r="17" spans="1:8" ht="15.75" x14ac:dyDescent="0.25">
      <c r="A17" t="s">
        <v>6</v>
      </c>
      <c r="C17" s="8">
        <f>D14</f>
        <v>59757</v>
      </c>
      <c r="E17" t="s">
        <v>10</v>
      </c>
      <c r="H17" s="6">
        <f>C26</f>
        <v>49246.938386554626</v>
      </c>
    </row>
    <row r="19" spans="1:8" ht="15.75" x14ac:dyDescent="0.25">
      <c r="A19" t="s">
        <v>5</v>
      </c>
      <c r="B19" s="9" t="s">
        <v>7</v>
      </c>
      <c r="C19" s="8">
        <f>H14</f>
        <v>9541.0336134453755</v>
      </c>
      <c r="E19" s="13" t="s">
        <v>11</v>
      </c>
      <c r="F19" s="9" t="s">
        <v>12</v>
      </c>
      <c r="G19" s="15" t="s">
        <v>17</v>
      </c>
      <c r="H19" s="3">
        <f>-(F20*0.0077)</f>
        <v>-1567.5452941176472</v>
      </c>
    </row>
    <row r="20" spans="1:8" x14ac:dyDescent="0.25">
      <c r="F20" s="21">
        <f>D3-H3</f>
        <v>203577.31092436975</v>
      </c>
    </row>
    <row r="21" spans="1:8" ht="16.5" thickBot="1" x14ac:dyDescent="0.3">
      <c r="A21" t="s">
        <v>8</v>
      </c>
      <c r="B21" s="9" t="s">
        <v>7</v>
      </c>
      <c r="C21" s="8">
        <f>D3*0.004</f>
        <v>969.02800000000002</v>
      </c>
      <c r="F21" s="9" t="s">
        <v>13</v>
      </c>
      <c r="G21" s="16">
        <v>0.35</v>
      </c>
      <c r="H21" s="17">
        <f>-(F22*0.35)</f>
        <v>-17236.428435294118</v>
      </c>
    </row>
    <row r="22" spans="1:8" x14ac:dyDescent="0.25">
      <c r="F22" s="21">
        <f>H17</f>
        <v>49246.938386554626</v>
      </c>
    </row>
    <row r="23" spans="1:8" ht="15.75" x14ac:dyDescent="0.25">
      <c r="A23" t="s">
        <v>9</v>
      </c>
      <c r="B23" s="9" t="s">
        <v>7</v>
      </c>
      <c r="C23" s="10"/>
      <c r="G23" s="13" t="s">
        <v>14</v>
      </c>
      <c r="H23" s="6">
        <f>H17+H19+H21</f>
        <v>30442.96465714286</v>
      </c>
    </row>
    <row r="24" spans="1:8" ht="15.75" thickBot="1" x14ac:dyDescent="0.3">
      <c r="A24" s="16"/>
      <c r="B24" s="14"/>
      <c r="C24" s="7"/>
    </row>
    <row r="25" spans="1:8" x14ac:dyDescent="0.25">
      <c r="E25" t="s">
        <v>100</v>
      </c>
      <c r="H25" s="20">
        <f>H23*0.4</f>
        <v>12177.185862857144</v>
      </c>
    </row>
    <row r="26" spans="1:8" ht="15.75" x14ac:dyDescent="0.25">
      <c r="A26" t="s">
        <v>10</v>
      </c>
      <c r="C26" s="10">
        <f>C17-C19-C21-C23</f>
        <v>49246.938386554626</v>
      </c>
      <c r="H26" s="18"/>
    </row>
    <row r="27" spans="1:8" x14ac:dyDescent="0.25">
      <c r="H27" s="3"/>
    </row>
    <row r="28" spans="1:8" x14ac:dyDescent="0.25">
      <c r="H28" s="18"/>
    </row>
  </sheetData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FE192-1264-4907-BAD6-45A3EE11CA78}">
  <dimension ref="A1:H28"/>
  <sheetViews>
    <sheetView workbookViewId="0">
      <selection activeCell="K19" sqref="K19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579</v>
      </c>
    </row>
    <row r="3" spans="1:8" ht="21" x14ac:dyDescent="0.35">
      <c r="A3" s="2" t="s">
        <v>1</v>
      </c>
      <c r="D3" s="11">
        <v>1723597</v>
      </c>
      <c r="F3" s="12" t="s">
        <v>3</v>
      </c>
      <c r="H3" s="11">
        <f>(D3/1.19)*0.19</f>
        <v>275196.15966386552</v>
      </c>
    </row>
    <row r="4" spans="1:8" x14ac:dyDescent="0.25">
      <c r="A4" s="13" t="s">
        <v>29</v>
      </c>
      <c r="C4" s="28">
        <v>754</v>
      </c>
    </row>
    <row r="5" spans="1:8" ht="21" x14ac:dyDescent="0.35">
      <c r="A5" s="2" t="s">
        <v>2</v>
      </c>
      <c r="C5" t="s">
        <v>232</v>
      </c>
    </row>
    <row r="7" spans="1:8" ht="18.75" x14ac:dyDescent="0.3">
      <c r="A7" s="5" t="s">
        <v>583</v>
      </c>
      <c r="D7" s="4">
        <v>220790</v>
      </c>
      <c r="H7" s="4">
        <f>(D7/1.19)*0.19</f>
        <v>35252.184873949584</v>
      </c>
    </row>
    <row r="8" spans="1:8" ht="18.75" x14ac:dyDescent="0.3">
      <c r="A8" s="5" t="s">
        <v>560</v>
      </c>
      <c r="D8" s="4">
        <v>158032</v>
      </c>
      <c r="H8" s="4">
        <f>(D8/1.19)*0.19</f>
        <v>25232</v>
      </c>
    </row>
    <row r="9" spans="1:8" ht="18.75" x14ac:dyDescent="0.3">
      <c r="A9" s="5" t="s">
        <v>514</v>
      </c>
      <c r="B9" s="5"/>
      <c r="C9" s="5"/>
      <c r="D9" s="4">
        <v>736900</v>
      </c>
      <c r="H9" s="4">
        <f>(D9/1.19)*0.19</f>
        <v>117656.3025210084</v>
      </c>
    </row>
    <row r="10" spans="1:8" ht="18.75" x14ac:dyDescent="0.3">
      <c r="A10" s="5" t="s">
        <v>167</v>
      </c>
      <c r="B10" s="5"/>
      <c r="C10" s="5"/>
      <c r="D10" s="4">
        <v>114885</v>
      </c>
      <c r="H10" s="4"/>
    </row>
    <row r="11" spans="1:8" ht="19.5" thickBot="1" x14ac:dyDescent="0.35">
      <c r="A11" s="5"/>
      <c r="B11" s="5"/>
      <c r="C11" s="5"/>
      <c r="D11" s="35"/>
      <c r="E11" s="27"/>
      <c r="H11" s="35"/>
    </row>
    <row r="12" spans="1:8" ht="19.5" thickTop="1" x14ac:dyDescent="0.3">
      <c r="D12" s="4">
        <f>SUM(D7:D11)</f>
        <v>1230607</v>
      </c>
      <c r="H12" s="33">
        <f>SUM(H7:H11)</f>
        <v>178140.48739495798</v>
      </c>
    </row>
    <row r="14" spans="1:8" ht="18.75" x14ac:dyDescent="0.3">
      <c r="C14" t="s">
        <v>4</v>
      </c>
      <c r="D14" s="4">
        <f>D3-D12</f>
        <v>492990</v>
      </c>
      <c r="G14" t="s">
        <v>5</v>
      </c>
      <c r="H14" s="4">
        <f>H3-H12</f>
        <v>97055.67226890754</v>
      </c>
    </row>
    <row r="16" spans="1:8" x14ac:dyDescent="0.25">
      <c r="G16" t="s">
        <v>454</v>
      </c>
    </row>
    <row r="17" spans="1:8" ht="15.75" x14ac:dyDescent="0.25">
      <c r="A17" t="s">
        <v>6</v>
      </c>
      <c r="C17" s="8">
        <f>D14</f>
        <v>492990</v>
      </c>
      <c r="E17" t="s">
        <v>10</v>
      </c>
      <c r="H17" s="6">
        <f>C26</f>
        <v>389039.93973109248</v>
      </c>
    </row>
    <row r="19" spans="1:8" ht="15.75" x14ac:dyDescent="0.25">
      <c r="A19" t="s">
        <v>5</v>
      </c>
      <c r="B19" s="9" t="s">
        <v>7</v>
      </c>
      <c r="C19" s="8">
        <f>H14</f>
        <v>97055.67226890754</v>
      </c>
      <c r="E19" s="13" t="s">
        <v>11</v>
      </c>
      <c r="F19" s="9" t="s">
        <v>12</v>
      </c>
      <c r="G19" s="15" t="s">
        <v>17</v>
      </c>
      <c r="H19" s="3">
        <f>-(F20*0.0077)</f>
        <v>-11152.686470588236</v>
      </c>
    </row>
    <row r="20" spans="1:8" x14ac:dyDescent="0.25">
      <c r="F20" s="21">
        <f>D3-H3</f>
        <v>1448400.8403361344</v>
      </c>
    </row>
    <row r="21" spans="1:8" ht="16.5" thickBot="1" x14ac:dyDescent="0.3">
      <c r="A21" t="s">
        <v>8</v>
      </c>
      <c r="B21" s="9" t="s">
        <v>7</v>
      </c>
      <c r="C21" s="8">
        <f>D3*0.004</f>
        <v>6894.3879999999999</v>
      </c>
      <c r="F21" s="9" t="s">
        <v>13</v>
      </c>
      <c r="G21" s="16">
        <v>0.35</v>
      </c>
      <c r="H21" s="17">
        <f>-(F22*0.35)</f>
        <v>-136163.97890588237</v>
      </c>
    </row>
    <row r="22" spans="1:8" x14ac:dyDescent="0.25">
      <c r="F22" s="21">
        <f>H17</f>
        <v>389039.93973109248</v>
      </c>
    </row>
    <row r="23" spans="1:8" ht="15.75" x14ac:dyDescent="0.25">
      <c r="A23" t="s">
        <v>9</v>
      </c>
      <c r="B23" s="9" t="s">
        <v>7</v>
      </c>
      <c r="C23" s="10"/>
      <c r="G23" s="13" t="s">
        <v>14</v>
      </c>
      <c r="H23" s="6">
        <f>H17+H19+H21</f>
        <v>241723.27435462186</v>
      </c>
    </row>
    <row r="24" spans="1:8" ht="15.75" thickBot="1" x14ac:dyDescent="0.3">
      <c r="A24" s="16"/>
      <c r="B24" s="14"/>
      <c r="C24" s="7"/>
    </row>
    <row r="25" spans="1:8" x14ac:dyDescent="0.25">
      <c r="E25" t="s">
        <v>100</v>
      </c>
      <c r="H25" s="20">
        <f>H23*0.4</f>
        <v>96689.309741848745</v>
      </c>
    </row>
    <row r="26" spans="1:8" ht="15.75" x14ac:dyDescent="0.25">
      <c r="A26" t="s">
        <v>10</v>
      </c>
      <c r="C26" s="10">
        <f>C17-C19-C21-C23</f>
        <v>389039.93973109248</v>
      </c>
      <c r="H26" s="18"/>
    </row>
    <row r="27" spans="1:8" x14ac:dyDescent="0.25">
      <c r="H27" s="3"/>
    </row>
    <row r="28" spans="1:8" x14ac:dyDescent="0.25">
      <c r="H28" s="18"/>
    </row>
  </sheetData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6C7F8-BB54-4DD8-B52D-CFB5078264FE}">
  <dimension ref="A1:H28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300</v>
      </c>
    </row>
    <row r="3" spans="1:8" ht="21" x14ac:dyDescent="0.35">
      <c r="A3" s="2" t="s">
        <v>1</v>
      </c>
      <c r="D3" s="11">
        <v>321062</v>
      </c>
      <c r="F3" s="12" t="s">
        <v>3</v>
      </c>
      <c r="H3" s="11">
        <f>(D3/1.19)*0.19</f>
        <v>51262</v>
      </c>
    </row>
    <row r="4" spans="1:8" x14ac:dyDescent="0.25">
      <c r="A4" s="13" t="s">
        <v>29</v>
      </c>
      <c r="C4" s="28">
        <v>755</v>
      </c>
    </row>
    <row r="5" spans="1:8" ht="21" x14ac:dyDescent="0.35">
      <c r="A5" s="2" t="s">
        <v>2</v>
      </c>
      <c r="C5" t="s">
        <v>232</v>
      </c>
    </row>
    <row r="7" spans="1:8" ht="18.75" x14ac:dyDescent="0.3">
      <c r="A7" s="5" t="s">
        <v>167</v>
      </c>
      <c r="D7" s="4">
        <v>188223</v>
      </c>
      <c r="H7" s="4">
        <f>(D7/1.19)*0.19</f>
        <v>30052.411764705885</v>
      </c>
    </row>
    <row r="8" spans="1:8" ht="18.75" x14ac:dyDescent="0.3">
      <c r="A8" s="5"/>
      <c r="D8" s="4"/>
      <c r="H8" s="4">
        <f>(D8/1.19)*0.19</f>
        <v>0</v>
      </c>
    </row>
    <row r="9" spans="1:8" ht="18.75" x14ac:dyDescent="0.3">
      <c r="A9" s="5"/>
      <c r="B9" s="5"/>
      <c r="C9" s="5"/>
      <c r="D9" s="4"/>
      <c r="H9" s="4"/>
    </row>
    <row r="10" spans="1:8" ht="18.75" x14ac:dyDescent="0.3">
      <c r="A10" s="5"/>
      <c r="B10" s="5"/>
      <c r="C10" s="5"/>
      <c r="D10" s="4"/>
      <c r="H10" s="4"/>
    </row>
    <row r="11" spans="1:8" ht="19.5" thickBot="1" x14ac:dyDescent="0.35">
      <c r="A11" s="5"/>
      <c r="B11" s="5"/>
      <c r="C11" s="5"/>
      <c r="D11" s="35"/>
      <c r="E11" s="27"/>
      <c r="H11" s="35"/>
    </row>
    <row r="12" spans="1:8" ht="19.5" thickTop="1" x14ac:dyDescent="0.3">
      <c r="D12" s="4">
        <f>SUM(D7:D11)</f>
        <v>188223</v>
      </c>
      <c r="H12" s="33">
        <f>SUM(H7:H11)</f>
        <v>30052.411764705885</v>
      </c>
    </row>
    <row r="14" spans="1:8" ht="18.75" x14ac:dyDescent="0.3">
      <c r="C14" t="s">
        <v>4</v>
      </c>
      <c r="D14" s="4">
        <f>D3-D12</f>
        <v>132839</v>
      </c>
      <c r="G14" t="s">
        <v>5</v>
      </c>
      <c r="H14" s="4">
        <f>H3-H12</f>
        <v>21209.588235294115</v>
      </c>
    </row>
    <row r="16" spans="1:8" x14ac:dyDescent="0.25">
      <c r="G16" t="s">
        <v>454</v>
      </c>
    </row>
    <row r="17" spans="1:8" ht="15.75" x14ac:dyDescent="0.25">
      <c r="A17" t="s">
        <v>6</v>
      </c>
      <c r="C17" s="8">
        <f>D14</f>
        <v>132839</v>
      </c>
      <c r="E17" t="s">
        <v>10</v>
      </c>
      <c r="H17" s="6">
        <f>C26</f>
        <v>110345.16376470588</v>
      </c>
    </row>
    <row r="19" spans="1:8" ht="15.75" x14ac:dyDescent="0.25">
      <c r="A19" t="s">
        <v>5</v>
      </c>
      <c r="B19" s="9" t="s">
        <v>7</v>
      </c>
      <c r="C19" s="8">
        <f>H14</f>
        <v>21209.588235294115</v>
      </c>
      <c r="E19" s="13" t="s">
        <v>11</v>
      </c>
      <c r="F19" s="9" t="s">
        <v>12</v>
      </c>
      <c r="G19" s="15" t="s">
        <v>17</v>
      </c>
      <c r="H19" s="3">
        <f>-(F20*0.0077)</f>
        <v>-2077.46</v>
      </c>
    </row>
    <row r="20" spans="1:8" x14ac:dyDescent="0.25">
      <c r="F20" s="21">
        <f>D3-H3</f>
        <v>269800</v>
      </c>
    </row>
    <row r="21" spans="1:8" ht="16.5" thickBot="1" x14ac:dyDescent="0.3">
      <c r="A21" t="s">
        <v>8</v>
      </c>
      <c r="B21" s="9" t="s">
        <v>7</v>
      </c>
      <c r="C21" s="8">
        <f>D3*0.004</f>
        <v>1284.248</v>
      </c>
      <c r="F21" s="9" t="s">
        <v>13</v>
      </c>
      <c r="G21" s="16">
        <v>0.35</v>
      </c>
      <c r="H21" s="17">
        <f>-(F22*0.35)</f>
        <v>-38620.807317647057</v>
      </c>
    </row>
    <row r="22" spans="1:8" x14ac:dyDescent="0.25">
      <c r="F22" s="21">
        <f>H17</f>
        <v>110345.16376470588</v>
      </c>
    </row>
    <row r="23" spans="1:8" ht="15.75" x14ac:dyDescent="0.25">
      <c r="A23" t="s">
        <v>9</v>
      </c>
      <c r="B23" s="9" t="s">
        <v>7</v>
      </c>
      <c r="C23" s="10"/>
      <c r="G23" s="13" t="s">
        <v>14</v>
      </c>
      <c r="H23" s="6">
        <f>H17+H19+H21</f>
        <v>69646.896447058825</v>
      </c>
    </row>
    <row r="24" spans="1:8" ht="15.75" thickBot="1" x14ac:dyDescent="0.3">
      <c r="A24" s="16"/>
      <c r="B24" s="14"/>
      <c r="C24" s="7"/>
    </row>
    <row r="25" spans="1:8" x14ac:dyDescent="0.25">
      <c r="E25" t="s">
        <v>100</v>
      </c>
      <c r="H25" s="20">
        <f>H23*0.4</f>
        <v>27858.75857882353</v>
      </c>
    </row>
    <row r="26" spans="1:8" ht="15.75" x14ac:dyDescent="0.25">
      <c r="A26" t="s">
        <v>10</v>
      </c>
      <c r="C26" s="10">
        <f>C17-C19-C21-C23</f>
        <v>110345.16376470588</v>
      </c>
      <c r="H26" s="18"/>
    </row>
    <row r="27" spans="1:8" x14ac:dyDescent="0.25">
      <c r="H27" s="3"/>
    </row>
    <row r="28" spans="1:8" x14ac:dyDescent="0.25">
      <c r="H28" s="18"/>
    </row>
  </sheetData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53708-1CD0-4CA5-9E12-903892979F16}">
  <dimension ref="A1:H28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570</v>
      </c>
    </row>
    <row r="3" spans="1:8" ht="21" x14ac:dyDescent="0.35">
      <c r="A3" s="2" t="s">
        <v>1</v>
      </c>
      <c r="D3" s="11">
        <v>366520</v>
      </c>
      <c r="F3" s="12" t="s">
        <v>3</v>
      </c>
      <c r="H3" s="11">
        <f>(D3/1.19)*0.19</f>
        <v>58520</v>
      </c>
    </row>
    <row r="4" spans="1:8" x14ac:dyDescent="0.25">
      <c r="A4" s="13" t="s">
        <v>29</v>
      </c>
      <c r="C4" s="28">
        <v>758</v>
      </c>
    </row>
    <row r="5" spans="1:8" ht="21" x14ac:dyDescent="0.35">
      <c r="A5" s="2" t="s">
        <v>2</v>
      </c>
      <c r="C5" t="s">
        <v>232</v>
      </c>
    </row>
    <row r="7" spans="1:8" ht="18.75" x14ac:dyDescent="0.3">
      <c r="A7" s="5" t="s">
        <v>397</v>
      </c>
      <c r="D7" s="4">
        <v>8711</v>
      </c>
      <c r="H7" s="4">
        <f>(D7/1.19)*0.19</f>
        <v>1390.8319327731094</v>
      </c>
    </row>
    <row r="8" spans="1:8" ht="18.75" x14ac:dyDescent="0.3">
      <c r="A8" s="5" t="s">
        <v>222</v>
      </c>
      <c r="D8" s="4">
        <v>186409</v>
      </c>
      <c r="H8" s="4">
        <f>(D8/1.19)*0.19</f>
        <v>29762.781512605045</v>
      </c>
    </row>
    <row r="9" spans="1:8" ht="18.75" x14ac:dyDescent="0.3">
      <c r="A9" s="5" t="s">
        <v>584</v>
      </c>
      <c r="B9" s="5"/>
      <c r="C9" s="5"/>
      <c r="D9" s="4">
        <v>11900</v>
      </c>
      <c r="H9" s="4">
        <f>(D9/1.19)*0.19</f>
        <v>1900</v>
      </c>
    </row>
    <row r="10" spans="1:8" ht="18.75" x14ac:dyDescent="0.3">
      <c r="A10" s="5"/>
      <c r="B10" s="5"/>
      <c r="C10" s="5"/>
      <c r="D10" s="4"/>
      <c r="H10" s="4"/>
    </row>
    <row r="11" spans="1:8" ht="19.5" thickBot="1" x14ac:dyDescent="0.35">
      <c r="A11" s="5"/>
      <c r="B11" s="5"/>
      <c r="C11" s="5"/>
      <c r="D11" s="35"/>
      <c r="E11" s="27"/>
      <c r="H11" s="35"/>
    </row>
    <row r="12" spans="1:8" ht="19.5" thickTop="1" x14ac:dyDescent="0.3">
      <c r="D12" s="4">
        <f>SUM(D7:D11)</f>
        <v>207020</v>
      </c>
      <c r="H12" s="33">
        <f>SUM(H7:H11)</f>
        <v>33053.613445378156</v>
      </c>
    </row>
    <row r="14" spans="1:8" ht="18.75" x14ac:dyDescent="0.3">
      <c r="C14" t="s">
        <v>4</v>
      </c>
      <c r="D14" s="4">
        <f>D3-D12</f>
        <v>159500</v>
      </c>
      <c r="G14" t="s">
        <v>5</v>
      </c>
      <c r="H14" s="4">
        <f>H3-H12</f>
        <v>25466.386554621844</v>
      </c>
    </row>
    <row r="16" spans="1:8" x14ac:dyDescent="0.25">
      <c r="G16" t="s">
        <v>454</v>
      </c>
    </row>
    <row r="17" spans="1:8" ht="15.75" x14ac:dyDescent="0.25">
      <c r="A17" t="s">
        <v>6</v>
      </c>
      <c r="C17" s="8">
        <f>D14</f>
        <v>159500</v>
      </c>
      <c r="E17" t="s">
        <v>10</v>
      </c>
      <c r="H17" s="6">
        <f>C26</f>
        <v>132567.53344537815</v>
      </c>
    </row>
    <row r="19" spans="1:8" ht="15.75" x14ac:dyDescent="0.25">
      <c r="A19" t="s">
        <v>5</v>
      </c>
      <c r="B19" s="9" t="s">
        <v>7</v>
      </c>
      <c r="C19" s="8">
        <f>H14</f>
        <v>25466.386554621844</v>
      </c>
      <c r="E19" s="13" t="s">
        <v>11</v>
      </c>
      <c r="F19" s="9" t="s">
        <v>12</v>
      </c>
      <c r="G19" s="15" t="s">
        <v>17</v>
      </c>
      <c r="H19" s="3">
        <f>-(F20*0.0077)</f>
        <v>-2371.6</v>
      </c>
    </row>
    <row r="20" spans="1:8" x14ac:dyDescent="0.25">
      <c r="F20" s="21">
        <f>D3-H3</f>
        <v>308000</v>
      </c>
    </row>
    <row r="21" spans="1:8" ht="16.5" thickBot="1" x14ac:dyDescent="0.3">
      <c r="A21" t="s">
        <v>8</v>
      </c>
      <c r="B21" s="9" t="s">
        <v>7</v>
      </c>
      <c r="C21" s="8">
        <f>D3*0.004</f>
        <v>1466.08</v>
      </c>
      <c r="F21" s="9" t="s">
        <v>13</v>
      </c>
      <c r="G21" s="16">
        <v>0.35</v>
      </c>
      <c r="H21" s="17">
        <f>-(F22*0.35)</f>
        <v>-46398.636705882353</v>
      </c>
    </row>
    <row r="22" spans="1:8" x14ac:dyDescent="0.25">
      <c r="F22" s="21">
        <f>H17</f>
        <v>132567.53344537815</v>
      </c>
    </row>
    <row r="23" spans="1:8" ht="15.75" x14ac:dyDescent="0.25">
      <c r="A23" t="s">
        <v>9</v>
      </c>
      <c r="B23" s="9" t="s">
        <v>7</v>
      </c>
      <c r="C23" s="10"/>
      <c r="G23" s="13" t="s">
        <v>14</v>
      </c>
      <c r="H23" s="6">
        <f>H17+H19+H21</f>
        <v>83797.296739495796</v>
      </c>
    </row>
    <row r="24" spans="1:8" ht="15.75" thickBot="1" x14ac:dyDescent="0.3">
      <c r="A24" s="16"/>
      <c r="B24" s="14"/>
      <c r="C24" s="7"/>
    </row>
    <row r="25" spans="1:8" x14ac:dyDescent="0.25">
      <c r="E25" t="s">
        <v>100</v>
      </c>
      <c r="H25" s="20">
        <f>H23*0.4</f>
        <v>33518.918695798318</v>
      </c>
    </row>
    <row r="26" spans="1:8" ht="15.75" x14ac:dyDescent="0.25">
      <c r="A26" t="s">
        <v>10</v>
      </c>
      <c r="C26" s="10">
        <f>C17-C19-C21-C23</f>
        <v>132567.53344537815</v>
      </c>
      <c r="H26" s="18"/>
    </row>
    <row r="27" spans="1:8" x14ac:dyDescent="0.25">
      <c r="H27" s="3"/>
    </row>
    <row r="28" spans="1:8" x14ac:dyDescent="0.25">
      <c r="H28" s="18"/>
    </row>
  </sheetData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D6915-ECF9-4D35-9F70-0F22A44B1E9D}">
  <dimension ref="A1:H28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585</v>
      </c>
    </row>
    <row r="3" spans="1:8" ht="21" x14ac:dyDescent="0.35">
      <c r="A3" s="2" t="s">
        <v>1</v>
      </c>
      <c r="D3" s="11">
        <v>1251523</v>
      </c>
      <c r="F3" s="12" t="s">
        <v>3</v>
      </c>
      <c r="H3" s="11">
        <f>(D3/1.19)*0.19</f>
        <v>199823</v>
      </c>
    </row>
    <row r="4" spans="1:8" x14ac:dyDescent="0.25">
      <c r="A4" s="13" t="s">
        <v>29</v>
      </c>
      <c r="C4" s="28">
        <v>762</v>
      </c>
    </row>
    <row r="5" spans="1:8" ht="21" x14ac:dyDescent="0.35">
      <c r="A5" s="2" t="s">
        <v>2</v>
      </c>
      <c r="C5" t="s">
        <v>232</v>
      </c>
    </row>
    <row r="7" spans="1:8" ht="18.75" x14ac:dyDescent="0.3">
      <c r="A7" s="5" t="s">
        <v>560</v>
      </c>
      <c r="D7" s="4">
        <v>696686</v>
      </c>
      <c r="H7" s="4">
        <f>(D7/1.19)*0.19</f>
        <v>111235.57983193277</v>
      </c>
    </row>
    <row r="8" spans="1:8" ht="18.75" x14ac:dyDescent="0.3">
      <c r="A8" s="5" t="s">
        <v>167</v>
      </c>
      <c r="D8" s="4">
        <v>64260</v>
      </c>
      <c r="H8" s="4">
        <f>(D8/1.19)*0.19</f>
        <v>10260</v>
      </c>
    </row>
    <row r="9" spans="1:8" ht="18.75" x14ac:dyDescent="0.3">
      <c r="A9" s="5"/>
      <c r="B9" s="5"/>
      <c r="C9" s="5"/>
      <c r="D9" s="4"/>
      <c r="H9" s="4"/>
    </row>
    <row r="10" spans="1:8" ht="18.75" x14ac:dyDescent="0.3">
      <c r="A10" s="5"/>
      <c r="B10" s="5"/>
      <c r="C10" s="5"/>
      <c r="D10" s="4"/>
      <c r="H10" s="4"/>
    </row>
    <row r="11" spans="1:8" ht="19.5" thickBot="1" x14ac:dyDescent="0.35">
      <c r="A11" s="5"/>
      <c r="B11" s="5"/>
      <c r="C11" s="5"/>
      <c r="D11" s="35"/>
      <c r="E11" s="27"/>
      <c r="H11" s="35"/>
    </row>
    <row r="12" spans="1:8" ht="19.5" thickTop="1" x14ac:dyDescent="0.3">
      <c r="D12" s="4">
        <f>SUM(D7:D11)</f>
        <v>760946</v>
      </c>
      <c r="H12" s="33">
        <f>SUM(H7:H11)</f>
        <v>121495.57983193277</v>
      </c>
    </row>
    <row r="14" spans="1:8" ht="18.75" x14ac:dyDescent="0.3">
      <c r="C14" t="s">
        <v>4</v>
      </c>
      <c r="D14" s="4">
        <f>D3-D12</f>
        <v>490577</v>
      </c>
      <c r="G14" t="s">
        <v>5</v>
      </c>
      <c r="H14" s="4">
        <f>H3-H12</f>
        <v>78327.420168067227</v>
      </c>
    </row>
    <row r="16" spans="1:8" x14ac:dyDescent="0.25">
      <c r="G16" t="s">
        <v>454</v>
      </c>
    </row>
    <row r="17" spans="1:8" ht="15.75" x14ac:dyDescent="0.25">
      <c r="A17" t="s">
        <v>6</v>
      </c>
      <c r="C17" s="8">
        <f>D14</f>
        <v>490577</v>
      </c>
      <c r="E17" t="s">
        <v>10</v>
      </c>
      <c r="H17" s="6">
        <f>C26</f>
        <v>407243.48783193278</v>
      </c>
    </row>
    <row r="19" spans="1:8" ht="15.75" x14ac:dyDescent="0.25">
      <c r="A19" t="s">
        <v>5</v>
      </c>
      <c r="B19" s="9" t="s">
        <v>7</v>
      </c>
      <c r="C19" s="8">
        <f>H14</f>
        <v>78327.420168067227</v>
      </c>
      <c r="E19" s="13" t="s">
        <v>11</v>
      </c>
      <c r="F19" s="9" t="s">
        <v>12</v>
      </c>
      <c r="G19" s="15" t="s">
        <v>17</v>
      </c>
      <c r="H19" s="3">
        <f>-(F20*0.0077)</f>
        <v>-8098.09</v>
      </c>
    </row>
    <row r="20" spans="1:8" x14ac:dyDescent="0.25">
      <c r="F20" s="21">
        <f>D3-H3</f>
        <v>1051700</v>
      </c>
    </row>
    <row r="21" spans="1:8" ht="16.5" thickBot="1" x14ac:dyDescent="0.3">
      <c r="A21" t="s">
        <v>8</v>
      </c>
      <c r="B21" s="9" t="s">
        <v>7</v>
      </c>
      <c r="C21" s="8">
        <f>D3*0.004</f>
        <v>5006.0920000000006</v>
      </c>
      <c r="F21" s="9" t="s">
        <v>13</v>
      </c>
      <c r="G21" s="16">
        <v>0.35</v>
      </c>
      <c r="H21" s="17">
        <f>-(F22*0.35)</f>
        <v>-142535.22074117645</v>
      </c>
    </row>
    <row r="22" spans="1:8" x14ac:dyDescent="0.25">
      <c r="F22" s="21">
        <f>H17</f>
        <v>407243.48783193278</v>
      </c>
    </row>
    <row r="23" spans="1:8" ht="15.75" x14ac:dyDescent="0.25">
      <c r="A23" t="s">
        <v>9</v>
      </c>
      <c r="B23" s="9" t="s">
        <v>7</v>
      </c>
      <c r="C23" s="10"/>
      <c r="G23" s="13" t="s">
        <v>14</v>
      </c>
      <c r="H23" s="6">
        <f>H17+H19+H21</f>
        <v>256610.1770907563</v>
      </c>
    </row>
    <row r="24" spans="1:8" ht="15.75" thickBot="1" x14ac:dyDescent="0.3">
      <c r="A24" s="16"/>
      <c r="B24" s="14"/>
      <c r="C24" s="7"/>
    </row>
    <row r="25" spans="1:8" x14ac:dyDescent="0.25">
      <c r="E25" t="s">
        <v>100</v>
      </c>
      <c r="H25" s="20">
        <f>H23*0.4</f>
        <v>102644.07083630253</v>
      </c>
    </row>
    <row r="26" spans="1:8" ht="15.75" x14ac:dyDescent="0.25">
      <c r="A26" t="s">
        <v>10</v>
      </c>
      <c r="C26" s="10">
        <f>C17-C19-C21-C23</f>
        <v>407243.48783193278</v>
      </c>
      <c r="H26" s="18"/>
    </row>
    <row r="27" spans="1:8" x14ac:dyDescent="0.25">
      <c r="H27" s="3"/>
    </row>
    <row r="28" spans="1:8" x14ac:dyDescent="0.25">
      <c r="H28" s="18"/>
    </row>
  </sheetData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E0B36-24E3-4D87-815D-04617B7D0B46}">
  <dimension ref="A1:H28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586</v>
      </c>
    </row>
    <row r="3" spans="1:8" ht="21" x14ac:dyDescent="0.35">
      <c r="A3" s="2" t="s">
        <v>1</v>
      </c>
      <c r="D3" s="11">
        <v>1898950</v>
      </c>
      <c r="F3" s="12" t="s">
        <v>3</v>
      </c>
      <c r="H3" s="11">
        <f>(D3/1.19)*0.19</f>
        <v>303193.69747899164</v>
      </c>
    </row>
    <row r="4" spans="1:8" x14ac:dyDescent="0.25">
      <c r="A4" s="13" t="s">
        <v>29</v>
      </c>
      <c r="C4" s="28">
        <v>763</v>
      </c>
    </row>
    <row r="5" spans="1:8" ht="21" x14ac:dyDescent="0.35">
      <c r="A5" s="2" t="s">
        <v>2</v>
      </c>
      <c r="C5" t="s">
        <v>232</v>
      </c>
    </row>
    <row r="7" spans="1:8" ht="18.75" x14ac:dyDescent="0.3">
      <c r="A7" s="5" t="s">
        <v>514</v>
      </c>
      <c r="D7" s="4">
        <v>1491903</v>
      </c>
      <c r="H7" s="4">
        <f>(D7/1.19)*0.19</f>
        <v>238203</v>
      </c>
    </row>
    <row r="8" spans="1:8" ht="18.75" x14ac:dyDescent="0.3">
      <c r="A8" s="5"/>
      <c r="D8" s="4"/>
      <c r="H8" s="4"/>
    </row>
    <row r="9" spans="1:8" ht="18.75" x14ac:dyDescent="0.3">
      <c r="A9" s="5"/>
      <c r="B9" s="5"/>
      <c r="C9" s="5"/>
      <c r="D9" s="4"/>
      <c r="H9" s="4"/>
    </row>
    <row r="10" spans="1:8" ht="18.75" x14ac:dyDescent="0.3">
      <c r="A10" s="5"/>
      <c r="B10" s="5"/>
      <c r="C10" s="5"/>
      <c r="D10" s="4"/>
      <c r="H10" s="4"/>
    </row>
    <row r="11" spans="1:8" ht="19.5" thickBot="1" x14ac:dyDescent="0.35">
      <c r="A11" s="5"/>
      <c r="B11" s="5"/>
      <c r="C11" s="5"/>
      <c r="D11" s="35"/>
      <c r="E11" s="27"/>
      <c r="H11" s="35"/>
    </row>
    <row r="12" spans="1:8" ht="19.5" thickTop="1" x14ac:dyDescent="0.3">
      <c r="D12" s="4">
        <f>SUM(D7:D11)</f>
        <v>1491903</v>
      </c>
      <c r="H12" s="33">
        <f>SUM(H7:H11)</f>
        <v>238203</v>
      </c>
    </row>
    <row r="14" spans="1:8" ht="18.75" x14ac:dyDescent="0.3">
      <c r="C14" t="s">
        <v>4</v>
      </c>
      <c r="D14" s="4">
        <f>D3-D12</f>
        <v>407047</v>
      </c>
      <c r="G14" t="s">
        <v>5</v>
      </c>
      <c r="H14" s="4">
        <f>H3-H12</f>
        <v>64990.697478991642</v>
      </c>
    </row>
    <row r="16" spans="1:8" x14ac:dyDescent="0.25">
      <c r="G16" t="s">
        <v>454</v>
      </c>
    </row>
    <row r="17" spans="1:8" ht="15.75" x14ac:dyDescent="0.25">
      <c r="A17" t="s">
        <v>6</v>
      </c>
      <c r="C17" s="8">
        <f>D14</f>
        <v>407047</v>
      </c>
      <c r="E17" t="s">
        <v>10</v>
      </c>
      <c r="H17" s="6">
        <f>C26</f>
        <v>334460.50252100837</v>
      </c>
    </row>
    <row r="19" spans="1:8" ht="15.75" x14ac:dyDescent="0.25">
      <c r="A19" t="s">
        <v>5</v>
      </c>
      <c r="B19" s="9" t="s">
        <v>7</v>
      </c>
      <c r="C19" s="8">
        <f>H14</f>
        <v>64990.697478991642</v>
      </c>
      <c r="E19" s="13" t="s">
        <v>11</v>
      </c>
      <c r="F19" s="9" t="s">
        <v>12</v>
      </c>
      <c r="G19" s="15" t="s">
        <v>17</v>
      </c>
      <c r="H19" s="3">
        <f>-(F20*0.0077)</f>
        <v>-12287.323529411764</v>
      </c>
    </row>
    <row r="20" spans="1:8" x14ac:dyDescent="0.25">
      <c r="F20" s="21">
        <f>D3-H3</f>
        <v>1595756.3025210083</v>
      </c>
    </row>
    <row r="21" spans="1:8" ht="16.5" thickBot="1" x14ac:dyDescent="0.3">
      <c r="A21" t="s">
        <v>8</v>
      </c>
      <c r="B21" s="9" t="s">
        <v>7</v>
      </c>
      <c r="C21" s="8">
        <f>D3*0.004</f>
        <v>7595.8</v>
      </c>
      <c r="F21" s="9" t="s">
        <v>13</v>
      </c>
      <c r="G21" s="16">
        <v>0.35</v>
      </c>
      <c r="H21" s="17">
        <f>-(F22*0.35)</f>
        <v>-117061.17588235292</v>
      </c>
    </row>
    <row r="22" spans="1:8" x14ac:dyDescent="0.25">
      <c r="F22" s="21">
        <f>H17</f>
        <v>334460.50252100837</v>
      </c>
    </row>
    <row r="23" spans="1:8" ht="15.75" x14ac:dyDescent="0.25">
      <c r="A23" t="s">
        <v>9</v>
      </c>
      <c r="B23" s="9" t="s">
        <v>7</v>
      </c>
      <c r="C23" s="10"/>
      <c r="G23" s="13" t="s">
        <v>14</v>
      </c>
      <c r="H23" s="6">
        <f>H17+H19+H21</f>
        <v>205112.0031092437</v>
      </c>
    </row>
    <row r="24" spans="1:8" ht="15.75" thickBot="1" x14ac:dyDescent="0.3">
      <c r="A24" s="16"/>
      <c r="B24" s="14"/>
      <c r="C24" s="7"/>
    </row>
    <row r="25" spans="1:8" x14ac:dyDescent="0.25">
      <c r="E25" t="s">
        <v>100</v>
      </c>
      <c r="H25" s="20">
        <f>H23*0.4</f>
        <v>82044.801243697482</v>
      </c>
    </row>
    <row r="26" spans="1:8" ht="15.75" x14ac:dyDescent="0.25">
      <c r="A26" t="s">
        <v>10</v>
      </c>
      <c r="C26" s="10">
        <f>C17-C19-C21-C23</f>
        <v>334460.50252100837</v>
      </c>
      <c r="H26" s="18"/>
    </row>
    <row r="27" spans="1:8" x14ac:dyDescent="0.25">
      <c r="H27" s="3"/>
    </row>
    <row r="28" spans="1:8" x14ac:dyDescent="0.25">
      <c r="H28" s="18"/>
    </row>
  </sheetData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BD92F-43AF-470A-B4C7-D298CA66B2AC}">
  <dimension ref="A1:H28"/>
  <sheetViews>
    <sheetView workbookViewId="0">
      <selection activeCell="J12" sqref="J12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587</v>
      </c>
    </row>
    <row r="3" spans="1:8" ht="21" x14ac:dyDescent="0.35">
      <c r="A3" s="2" t="s">
        <v>1</v>
      </c>
      <c r="D3" s="11">
        <v>12756800</v>
      </c>
      <c r="F3" s="12" t="s">
        <v>3</v>
      </c>
      <c r="H3" s="11">
        <f>(D3/1.19)*0.19</f>
        <v>2036800</v>
      </c>
    </row>
    <row r="4" spans="1:8" x14ac:dyDescent="0.25">
      <c r="A4" s="13" t="s">
        <v>29</v>
      </c>
      <c r="C4" s="28">
        <v>765</v>
      </c>
    </row>
    <row r="5" spans="1:8" ht="21" x14ac:dyDescent="0.35">
      <c r="A5" s="2" t="s">
        <v>2</v>
      </c>
      <c r="C5" t="s">
        <v>232</v>
      </c>
    </row>
    <row r="7" spans="1:8" ht="18.75" x14ac:dyDescent="0.3">
      <c r="A7" s="5" t="s">
        <v>588</v>
      </c>
      <c r="D7" s="4">
        <v>9678413</v>
      </c>
      <c r="H7" s="4">
        <f>(D7/1.19)*0.19</f>
        <v>1545292.8319327731</v>
      </c>
    </row>
    <row r="8" spans="1:8" ht="18.75" x14ac:dyDescent="0.3">
      <c r="A8" s="5" t="s">
        <v>88</v>
      </c>
      <c r="D8" s="4">
        <v>271000</v>
      </c>
      <c r="H8" s="4"/>
    </row>
    <row r="9" spans="1:8" ht="18.75" x14ac:dyDescent="0.3">
      <c r="A9" s="5"/>
      <c r="B9" s="5"/>
      <c r="C9" s="5"/>
      <c r="D9" s="4"/>
      <c r="H9" s="4"/>
    </row>
    <row r="10" spans="1:8" ht="18.75" x14ac:dyDescent="0.3">
      <c r="A10" s="5"/>
      <c r="B10" s="5"/>
      <c r="C10" s="5"/>
      <c r="D10" s="4"/>
      <c r="H10" s="4"/>
    </row>
    <row r="11" spans="1:8" ht="19.5" thickBot="1" x14ac:dyDescent="0.35">
      <c r="A11" s="5"/>
      <c r="B11" s="5"/>
      <c r="C11" s="5"/>
      <c r="D11" s="35"/>
      <c r="E11" s="27"/>
      <c r="H11" s="35"/>
    </row>
    <row r="12" spans="1:8" ht="19.5" thickTop="1" x14ac:dyDescent="0.3">
      <c r="D12" s="4">
        <f>SUM(D7:D11)</f>
        <v>9949413</v>
      </c>
      <c r="H12" s="33">
        <f>SUM(H7:H11)</f>
        <v>1545292.8319327731</v>
      </c>
    </row>
    <row r="14" spans="1:8" ht="18.75" x14ac:dyDescent="0.3">
      <c r="C14" t="s">
        <v>4</v>
      </c>
      <c r="D14" s="4">
        <f>D3-D12</f>
        <v>2807387</v>
      </c>
      <c r="G14" t="s">
        <v>5</v>
      </c>
      <c r="H14" s="4">
        <f>H3-H12</f>
        <v>491507.16806722688</v>
      </c>
    </row>
    <row r="16" spans="1:8" x14ac:dyDescent="0.25">
      <c r="G16" t="s">
        <v>454</v>
      </c>
    </row>
    <row r="17" spans="1:8" ht="15.75" x14ac:dyDescent="0.25">
      <c r="A17" t="s">
        <v>6</v>
      </c>
      <c r="C17" s="8">
        <f>D14</f>
        <v>2807387</v>
      </c>
      <c r="E17" t="s">
        <v>10</v>
      </c>
      <c r="H17" s="6">
        <f>C26</f>
        <v>2264852.6319327727</v>
      </c>
    </row>
    <row r="19" spans="1:8" ht="15.75" x14ac:dyDescent="0.25">
      <c r="A19" t="s">
        <v>5</v>
      </c>
      <c r="B19" s="9" t="s">
        <v>7</v>
      </c>
      <c r="C19" s="8">
        <f>H14</f>
        <v>491507.16806722688</v>
      </c>
      <c r="E19" s="13" t="s">
        <v>11</v>
      </c>
      <c r="F19" s="9" t="s">
        <v>12</v>
      </c>
      <c r="G19" s="15" t="s">
        <v>17</v>
      </c>
      <c r="H19" s="3">
        <f>-(F20*0.0077)</f>
        <v>-82544</v>
      </c>
    </row>
    <row r="20" spans="1:8" x14ac:dyDescent="0.25">
      <c r="F20" s="21">
        <f>D3-H3</f>
        <v>10720000</v>
      </c>
    </row>
    <row r="21" spans="1:8" ht="16.5" thickBot="1" x14ac:dyDescent="0.3">
      <c r="A21" t="s">
        <v>8</v>
      </c>
      <c r="B21" s="9" t="s">
        <v>7</v>
      </c>
      <c r="C21" s="8">
        <f>D3*0.004</f>
        <v>51027.200000000004</v>
      </c>
      <c r="F21" s="9" t="s">
        <v>13</v>
      </c>
      <c r="G21" s="16">
        <v>0.35</v>
      </c>
      <c r="H21" s="17">
        <f>-(F22*0.35)</f>
        <v>-792698.42117647035</v>
      </c>
    </row>
    <row r="22" spans="1:8" x14ac:dyDescent="0.25">
      <c r="F22" s="21">
        <f>H17</f>
        <v>2264852.6319327727</v>
      </c>
    </row>
    <row r="23" spans="1:8" ht="15.75" x14ac:dyDescent="0.25">
      <c r="A23" t="s">
        <v>9</v>
      </c>
      <c r="B23" s="9" t="s">
        <v>7</v>
      </c>
      <c r="C23" s="10"/>
      <c r="G23" s="13" t="s">
        <v>14</v>
      </c>
      <c r="H23" s="6">
        <f>H17+H19+H21</f>
        <v>1389610.2107563023</v>
      </c>
    </row>
    <row r="24" spans="1:8" ht="15.75" thickBot="1" x14ac:dyDescent="0.3">
      <c r="A24" s="16"/>
      <c r="B24" s="14"/>
      <c r="C24" s="7"/>
    </row>
    <row r="25" spans="1:8" x14ac:dyDescent="0.25">
      <c r="E25" t="s">
        <v>100</v>
      </c>
      <c r="H25" s="20">
        <f>H23*0.4</f>
        <v>555844.08430252096</v>
      </c>
    </row>
    <row r="26" spans="1:8" ht="15.75" x14ac:dyDescent="0.25">
      <c r="A26" t="s">
        <v>10</v>
      </c>
      <c r="C26" s="10">
        <f>C17-C19-C21-C23</f>
        <v>2264852.6319327727</v>
      </c>
      <c r="H26" s="18"/>
    </row>
    <row r="27" spans="1:8" x14ac:dyDescent="0.25">
      <c r="H27" s="3"/>
    </row>
    <row r="28" spans="1:8" x14ac:dyDescent="0.25">
      <c r="H28" s="18"/>
    </row>
  </sheetData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DCDAE-6F94-4BEC-8E7F-6205EE55E656}">
  <dimension ref="A1:H30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589</v>
      </c>
    </row>
    <row r="3" spans="1:8" ht="21" x14ac:dyDescent="0.35">
      <c r="A3" s="2" t="s">
        <v>1</v>
      </c>
      <c r="D3" s="11">
        <v>2304184</v>
      </c>
      <c r="F3" s="12" t="s">
        <v>3</v>
      </c>
      <c r="H3" s="11">
        <f>(D3/1.19)*0.19</f>
        <v>367894.92436974793</v>
      </c>
    </row>
    <row r="4" spans="1:8" x14ac:dyDescent="0.25">
      <c r="A4" s="13" t="s">
        <v>29</v>
      </c>
      <c r="C4" s="28">
        <v>767</v>
      </c>
    </row>
    <row r="5" spans="1:8" ht="21" x14ac:dyDescent="0.35">
      <c r="A5" s="2" t="s">
        <v>2</v>
      </c>
      <c r="C5" t="s">
        <v>232</v>
      </c>
    </row>
    <row r="7" spans="1:8" ht="18.75" x14ac:dyDescent="0.3">
      <c r="A7" s="5" t="s">
        <v>588</v>
      </c>
      <c r="D7" s="4">
        <v>1134841</v>
      </c>
      <c r="H7" s="4">
        <f>(D7/1.19)*0.19</f>
        <v>181193.10084033615</v>
      </c>
    </row>
    <row r="8" spans="1:8" ht="18.75" x14ac:dyDescent="0.3">
      <c r="A8" s="5" t="s">
        <v>590</v>
      </c>
      <c r="D8" s="4">
        <v>65000</v>
      </c>
      <c r="H8" s="4">
        <v>0</v>
      </c>
    </row>
    <row r="9" spans="1:8" ht="18.75" x14ac:dyDescent="0.3">
      <c r="A9" s="5" t="s">
        <v>167</v>
      </c>
      <c r="B9" s="5"/>
      <c r="C9" s="5"/>
      <c r="D9" s="4">
        <v>210820</v>
      </c>
      <c r="H9" s="4">
        <f t="shared" ref="H9:H13" si="0">(D9/1.19)*0.19</f>
        <v>33660.336134453784</v>
      </c>
    </row>
    <row r="10" spans="1:8" ht="18.75" x14ac:dyDescent="0.3">
      <c r="A10" s="5" t="s">
        <v>205</v>
      </c>
      <c r="B10" s="5"/>
      <c r="C10" s="5"/>
      <c r="D10" s="4">
        <v>50000</v>
      </c>
      <c r="H10" s="4"/>
    </row>
    <row r="11" spans="1:8" ht="18.75" x14ac:dyDescent="0.3">
      <c r="A11" s="5" t="s">
        <v>591</v>
      </c>
      <c r="B11" s="5"/>
      <c r="C11" s="5"/>
      <c r="D11" s="4">
        <v>16346</v>
      </c>
      <c r="H11" s="4">
        <f t="shared" si="0"/>
        <v>2609.8655462184875</v>
      </c>
    </row>
    <row r="12" spans="1:8" ht="18.75" x14ac:dyDescent="0.3">
      <c r="A12" s="5" t="s">
        <v>593</v>
      </c>
      <c r="B12" s="5"/>
      <c r="C12" s="5"/>
      <c r="D12" s="4">
        <v>19040</v>
      </c>
      <c r="H12" s="4">
        <f t="shared" si="0"/>
        <v>3040</v>
      </c>
    </row>
    <row r="13" spans="1:8" ht="19.5" thickBot="1" x14ac:dyDescent="0.35">
      <c r="A13" s="5" t="s">
        <v>592</v>
      </c>
      <c r="B13" s="5"/>
      <c r="C13" s="5"/>
      <c r="D13" s="35">
        <v>47315</v>
      </c>
      <c r="E13" s="27"/>
      <c r="H13" s="35">
        <f t="shared" si="0"/>
        <v>7554.495798319329</v>
      </c>
    </row>
    <row r="14" spans="1:8" ht="19.5" thickTop="1" x14ac:dyDescent="0.3">
      <c r="D14" s="4">
        <f>SUM(D7:D13)</f>
        <v>1543362</v>
      </c>
      <c r="H14" s="33">
        <f>SUM(H7:H13)</f>
        <v>228057.79831932776</v>
      </c>
    </row>
    <row r="16" spans="1:8" ht="18.75" x14ac:dyDescent="0.3">
      <c r="C16" t="s">
        <v>4</v>
      </c>
      <c r="D16" s="4">
        <f>D3-D14</f>
        <v>760822</v>
      </c>
      <c r="G16" t="s">
        <v>5</v>
      </c>
      <c r="H16" s="4">
        <f>H3-H14</f>
        <v>139837.12605042016</v>
      </c>
    </row>
    <row r="18" spans="1:8" x14ac:dyDescent="0.25">
      <c r="G18" t="s">
        <v>454</v>
      </c>
    </row>
    <row r="19" spans="1:8" ht="15.75" x14ac:dyDescent="0.25">
      <c r="A19" t="s">
        <v>6</v>
      </c>
      <c r="C19" s="8">
        <f>D16</f>
        <v>760822</v>
      </c>
      <c r="E19" t="s">
        <v>10</v>
      </c>
      <c r="H19" s="6">
        <f>C28</f>
        <v>611768.13794957986</v>
      </c>
    </row>
    <row r="21" spans="1:8" ht="15.75" x14ac:dyDescent="0.25">
      <c r="A21" t="s">
        <v>5</v>
      </c>
      <c r="B21" s="9" t="s">
        <v>7</v>
      </c>
      <c r="C21" s="8">
        <f>H16</f>
        <v>139837.12605042016</v>
      </c>
      <c r="E21" s="13" t="s">
        <v>11</v>
      </c>
      <c r="F21" s="9" t="s">
        <v>12</v>
      </c>
      <c r="G21" s="15" t="s">
        <v>17</v>
      </c>
      <c r="H21" s="3">
        <f>-(F22*0.0077)</f>
        <v>-15330.7</v>
      </c>
    </row>
    <row r="22" spans="1:8" x14ac:dyDescent="0.25">
      <c r="F22" s="21">
        <v>1991000</v>
      </c>
    </row>
    <row r="23" spans="1:8" ht="16.5" thickBot="1" x14ac:dyDescent="0.3">
      <c r="A23" t="s">
        <v>8</v>
      </c>
      <c r="B23" s="9" t="s">
        <v>7</v>
      </c>
      <c r="C23" s="8">
        <f>D3*0.004</f>
        <v>9216.7360000000008</v>
      </c>
      <c r="F23" s="9" t="s">
        <v>13</v>
      </c>
      <c r="G23" s="16">
        <v>0.35</v>
      </c>
      <c r="H23" s="17">
        <f>-(F24*0.35)</f>
        <v>-214118.84828235293</v>
      </c>
    </row>
    <row r="24" spans="1:8" x14ac:dyDescent="0.25">
      <c r="F24" s="21">
        <f>H19</f>
        <v>611768.13794957986</v>
      </c>
    </row>
    <row r="25" spans="1:8" ht="15.75" x14ac:dyDescent="0.25">
      <c r="A25" t="s">
        <v>9</v>
      </c>
      <c r="B25" s="9" t="s">
        <v>7</v>
      </c>
      <c r="C25" s="10"/>
      <c r="G25" s="13" t="s">
        <v>14</v>
      </c>
      <c r="H25" s="6">
        <f>H19+H21+H23</f>
        <v>382318.589667227</v>
      </c>
    </row>
    <row r="26" spans="1:8" ht="15.75" thickBot="1" x14ac:dyDescent="0.3">
      <c r="A26" s="16"/>
      <c r="B26" s="14"/>
      <c r="C26" s="7"/>
    </row>
    <row r="27" spans="1:8" x14ac:dyDescent="0.25">
      <c r="E27" t="s">
        <v>100</v>
      </c>
      <c r="H27" s="20">
        <f>H25*0.4</f>
        <v>152927.4358668908</v>
      </c>
    </row>
    <row r="28" spans="1:8" ht="15.75" x14ac:dyDescent="0.25">
      <c r="A28" t="s">
        <v>10</v>
      </c>
      <c r="C28" s="10">
        <f>C19-C21-C23-C25</f>
        <v>611768.13794957986</v>
      </c>
      <c r="H28" s="18"/>
    </row>
    <row r="29" spans="1:8" x14ac:dyDescent="0.25">
      <c r="H29" s="3"/>
    </row>
    <row r="30" spans="1:8" x14ac:dyDescent="0.25">
      <c r="H30" s="18"/>
    </row>
  </sheetData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4801C-DAB8-4637-BF00-FD5895DF5EC0}">
  <dimension ref="A1:H30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325</v>
      </c>
    </row>
    <row r="3" spans="1:8" ht="21" x14ac:dyDescent="0.35">
      <c r="A3" s="2" t="s">
        <v>1</v>
      </c>
      <c r="D3" s="11">
        <v>5161380</v>
      </c>
      <c r="F3" s="12" t="s">
        <v>3</v>
      </c>
      <c r="H3" s="11">
        <f>(D3/1.19)*0.19</f>
        <v>824085.88235294132</v>
      </c>
    </row>
    <row r="4" spans="1:8" x14ac:dyDescent="0.25">
      <c r="A4" s="13" t="s">
        <v>29</v>
      </c>
      <c r="C4" s="28">
        <v>773</v>
      </c>
    </row>
    <row r="5" spans="1:8" ht="21" x14ac:dyDescent="0.35">
      <c r="A5" s="2" t="s">
        <v>2</v>
      </c>
      <c r="C5" t="s">
        <v>232</v>
      </c>
    </row>
    <row r="7" spans="1:8" ht="18.75" x14ac:dyDescent="0.3">
      <c r="A7" s="5" t="s">
        <v>488</v>
      </c>
      <c r="D7" s="4">
        <v>3948216</v>
      </c>
      <c r="H7" s="4">
        <f>(D7/1.19)*0.19</f>
        <v>630387.42857142852</v>
      </c>
    </row>
    <row r="8" spans="1:8" ht="18.75" x14ac:dyDescent="0.3">
      <c r="A8" s="5" t="s">
        <v>591</v>
      </c>
      <c r="D8" s="4">
        <v>74103</v>
      </c>
      <c r="H8" s="4">
        <f>(D8/1.19)*0.19</f>
        <v>11831.571428571429</v>
      </c>
    </row>
    <row r="9" spans="1:8" ht="18.75" x14ac:dyDescent="0.3">
      <c r="A9" s="5" t="s">
        <v>167</v>
      </c>
      <c r="B9" s="5"/>
      <c r="C9" s="5"/>
      <c r="D9" s="4">
        <v>78540</v>
      </c>
      <c r="H9" s="4">
        <f t="shared" ref="H9" si="0">(D9/1.19)*0.19</f>
        <v>12540</v>
      </c>
    </row>
    <row r="10" spans="1:8" ht="18.75" x14ac:dyDescent="0.3">
      <c r="A10" s="5"/>
      <c r="B10" s="5"/>
      <c r="C10" s="5"/>
      <c r="D10" s="4"/>
      <c r="H10" s="4"/>
    </row>
    <row r="11" spans="1:8" ht="18.75" x14ac:dyDescent="0.3">
      <c r="B11" s="5"/>
      <c r="C11" s="5"/>
      <c r="D11" s="4"/>
      <c r="H11" s="4"/>
    </row>
    <row r="12" spans="1:8" ht="18.75" x14ac:dyDescent="0.3">
      <c r="A12" s="5"/>
      <c r="B12" s="5"/>
      <c r="C12" s="5"/>
      <c r="D12" s="4"/>
      <c r="H12" s="4"/>
    </row>
    <row r="13" spans="1:8" ht="19.5" thickBot="1" x14ac:dyDescent="0.35">
      <c r="A13" s="5"/>
      <c r="B13" s="5"/>
      <c r="C13" s="5"/>
      <c r="D13" s="35"/>
      <c r="E13" s="27"/>
      <c r="H13" s="35"/>
    </row>
    <row r="14" spans="1:8" ht="19.5" thickTop="1" x14ac:dyDescent="0.3">
      <c r="D14" s="4">
        <f>SUM(D7:D13)</f>
        <v>4100859</v>
      </c>
      <c r="H14" s="33">
        <f>SUM(H7:H13)</f>
        <v>654759</v>
      </c>
    </row>
    <row r="16" spans="1:8" ht="18.75" x14ac:dyDescent="0.3">
      <c r="C16" t="s">
        <v>4</v>
      </c>
      <c r="D16" s="4">
        <f>D3-D14</f>
        <v>1060521</v>
      </c>
      <c r="G16" t="s">
        <v>5</v>
      </c>
      <c r="H16" s="4">
        <f>H3-H14</f>
        <v>169326.88235294132</v>
      </c>
    </row>
    <row r="18" spans="1:8" x14ac:dyDescent="0.25">
      <c r="G18" t="s">
        <v>454</v>
      </c>
    </row>
    <row r="19" spans="1:8" ht="15.75" x14ac:dyDescent="0.25">
      <c r="A19" t="s">
        <v>6</v>
      </c>
      <c r="C19" s="8">
        <f>D16</f>
        <v>1060521</v>
      </c>
      <c r="E19" t="s">
        <v>10</v>
      </c>
      <c r="H19" s="6">
        <f>C28</f>
        <v>870548.59764705866</v>
      </c>
    </row>
    <row r="21" spans="1:8" ht="15.75" x14ac:dyDescent="0.25">
      <c r="A21" t="s">
        <v>5</v>
      </c>
      <c r="B21" s="9" t="s">
        <v>7</v>
      </c>
      <c r="C21" s="8">
        <f>H16</f>
        <v>169326.88235294132</v>
      </c>
      <c r="E21" s="13" t="s">
        <v>11</v>
      </c>
      <c r="F21" s="9" t="s">
        <v>12</v>
      </c>
      <c r="G21" s="15" t="s">
        <v>17</v>
      </c>
      <c r="H21" s="3">
        <f>-(F22*0.0077)</f>
        <v>-34113.8413</v>
      </c>
    </row>
    <row r="22" spans="1:8" x14ac:dyDescent="0.25">
      <c r="F22" s="21">
        <v>4430369</v>
      </c>
    </row>
    <row r="23" spans="1:8" ht="16.5" thickBot="1" x14ac:dyDescent="0.3">
      <c r="A23" t="s">
        <v>8</v>
      </c>
      <c r="B23" s="9" t="s">
        <v>7</v>
      </c>
      <c r="C23" s="8">
        <f>D3*0.004</f>
        <v>20645.52</v>
      </c>
      <c r="F23" s="9" t="s">
        <v>13</v>
      </c>
      <c r="G23" s="16">
        <v>0.35</v>
      </c>
      <c r="H23" s="17">
        <f>-(F24*0.35)</f>
        <v>-304692.00917647051</v>
      </c>
    </row>
    <row r="24" spans="1:8" x14ac:dyDescent="0.25">
      <c r="F24" s="21">
        <f>H19</f>
        <v>870548.59764705866</v>
      </c>
    </row>
    <row r="25" spans="1:8" ht="15.75" x14ac:dyDescent="0.25">
      <c r="A25" t="s">
        <v>9</v>
      </c>
      <c r="B25" s="9" t="s">
        <v>7</v>
      </c>
      <c r="C25" s="10"/>
      <c r="G25" s="13" t="s">
        <v>14</v>
      </c>
      <c r="H25" s="6">
        <f>H19+H21+H23</f>
        <v>531742.74717058823</v>
      </c>
    </row>
    <row r="26" spans="1:8" ht="15.75" thickBot="1" x14ac:dyDescent="0.3">
      <c r="A26" s="16"/>
      <c r="B26" s="14"/>
      <c r="C26" s="7"/>
    </row>
    <row r="27" spans="1:8" x14ac:dyDescent="0.25">
      <c r="E27" t="s">
        <v>100</v>
      </c>
      <c r="H27" s="20">
        <f>H25*0.4</f>
        <v>212697.09886823531</v>
      </c>
    </row>
    <row r="28" spans="1:8" ht="15.75" x14ac:dyDescent="0.25">
      <c r="A28" t="s">
        <v>10</v>
      </c>
      <c r="C28" s="10">
        <f>C19-C21-C23-C25</f>
        <v>870548.59764705866</v>
      </c>
      <c r="H28" s="18"/>
    </row>
    <row r="29" spans="1:8" x14ac:dyDescent="0.25">
      <c r="H29" s="3"/>
    </row>
    <row r="30" spans="1:8" x14ac:dyDescent="0.25">
      <c r="H30" s="18"/>
    </row>
  </sheetData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6B29F-33FE-49D3-909E-74A9CFD52131}">
  <dimension ref="A1:H30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325</v>
      </c>
    </row>
    <row r="3" spans="1:8" ht="21" x14ac:dyDescent="0.35">
      <c r="A3" s="2" t="s">
        <v>1</v>
      </c>
      <c r="D3" s="11">
        <v>186811</v>
      </c>
      <c r="F3" s="12" t="s">
        <v>3</v>
      </c>
      <c r="H3" s="11">
        <f>(D3/1.19)*0.19</f>
        <v>29826.966386554624</v>
      </c>
    </row>
    <row r="4" spans="1:8" x14ac:dyDescent="0.25">
      <c r="A4" s="13" t="s">
        <v>29</v>
      </c>
      <c r="C4" s="28">
        <v>774</v>
      </c>
    </row>
    <row r="5" spans="1:8" ht="21" x14ac:dyDescent="0.35">
      <c r="A5" s="2" t="s">
        <v>2</v>
      </c>
      <c r="C5" t="s">
        <v>232</v>
      </c>
    </row>
    <row r="7" spans="1:8" ht="18.75" x14ac:dyDescent="0.3">
      <c r="A7" s="5" t="s">
        <v>594</v>
      </c>
      <c r="D7" s="4">
        <v>121618</v>
      </c>
      <c r="H7" s="4">
        <f>(D7/1.19)*0.19</f>
        <v>19418</v>
      </c>
    </row>
    <row r="8" spans="1:8" ht="18.75" x14ac:dyDescent="0.3">
      <c r="A8" s="5"/>
      <c r="D8" s="4"/>
      <c r="H8" s="4"/>
    </row>
    <row r="9" spans="1:8" ht="18.75" x14ac:dyDescent="0.3">
      <c r="A9" s="5"/>
      <c r="B9" s="5"/>
      <c r="C9" s="5"/>
      <c r="D9" s="4"/>
      <c r="H9" s="4"/>
    </row>
    <row r="10" spans="1:8" ht="18.75" x14ac:dyDescent="0.3">
      <c r="A10" s="5"/>
      <c r="B10" s="5"/>
      <c r="C10" s="5"/>
      <c r="D10" s="4"/>
      <c r="H10" s="4"/>
    </row>
    <row r="11" spans="1:8" ht="18.75" x14ac:dyDescent="0.3">
      <c r="B11" s="5"/>
      <c r="C11" s="5"/>
      <c r="D11" s="4"/>
      <c r="H11" s="4"/>
    </row>
    <row r="12" spans="1:8" ht="18.75" x14ac:dyDescent="0.3">
      <c r="A12" s="5"/>
      <c r="B12" s="5"/>
      <c r="C12" s="5"/>
      <c r="D12" s="4"/>
      <c r="H12" s="4"/>
    </row>
    <row r="13" spans="1:8" ht="19.5" thickBot="1" x14ac:dyDescent="0.35">
      <c r="A13" s="5"/>
      <c r="B13" s="5"/>
      <c r="C13" s="5"/>
      <c r="D13" s="35"/>
      <c r="E13" s="27"/>
      <c r="H13" s="35"/>
    </row>
    <row r="14" spans="1:8" ht="19.5" thickTop="1" x14ac:dyDescent="0.3">
      <c r="D14" s="4">
        <f>SUM(D7:D13)</f>
        <v>121618</v>
      </c>
      <c r="H14" s="33">
        <f>SUM(H7:H13)</f>
        <v>19418</v>
      </c>
    </row>
    <row r="16" spans="1:8" ht="18.75" x14ac:dyDescent="0.3">
      <c r="C16" t="s">
        <v>4</v>
      </c>
      <c r="D16" s="4">
        <f>D3-D14</f>
        <v>65193</v>
      </c>
      <c r="G16" t="s">
        <v>5</v>
      </c>
      <c r="H16" s="4">
        <f>H3-H14</f>
        <v>10408.966386554624</v>
      </c>
    </row>
    <row r="18" spans="1:8" x14ac:dyDescent="0.25">
      <c r="G18" t="s">
        <v>454</v>
      </c>
    </row>
    <row r="19" spans="1:8" ht="15.75" x14ac:dyDescent="0.25">
      <c r="A19" t="s">
        <v>6</v>
      </c>
      <c r="C19" s="8">
        <f>D16</f>
        <v>65193</v>
      </c>
      <c r="E19" t="s">
        <v>10</v>
      </c>
      <c r="H19" s="6">
        <f>C28</f>
        <v>54036.789613445377</v>
      </c>
    </row>
    <row r="21" spans="1:8" ht="15.75" x14ac:dyDescent="0.25">
      <c r="A21" t="s">
        <v>5</v>
      </c>
      <c r="B21" s="9" t="s">
        <v>7</v>
      </c>
      <c r="C21" s="8">
        <f>H16</f>
        <v>10408.966386554624</v>
      </c>
      <c r="E21" s="13" t="s">
        <v>11</v>
      </c>
      <c r="F21" s="9" t="s">
        <v>12</v>
      </c>
      <c r="G21" s="15" t="s">
        <v>17</v>
      </c>
      <c r="H21" s="3">
        <f>-(F22*0.0077)</f>
        <v>-1208.7770588235294</v>
      </c>
    </row>
    <row r="22" spans="1:8" x14ac:dyDescent="0.25">
      <c r="F22" s="21">
        <f>D3-H3</f>
        <v>156984.03361344538</v>
      </c>
    </row>
    <row r="23" spans="1:8" ht="16.5" thickBot="1" x14ac:dyDescent="0.3">
      <c r="A23" t="s">
        <v>8</v>
      </c>
      <c r="B23" s="9" t="s">
        <v>7</v>
      </c>
      <c r="C23" s="8">
        <f>D3*0.004</f>
        <v>747.24400000000003</v>
      </c>
      <c r="F23" s="9" t="s">
        <v>13</v>
      </c>
      <c r="G23" s="16">
        <v>0.35</v>
      </c>
      <c r="H23" s="17">
        <f>-(F24*0.35)</f>
        <v>-18912.87636470588</v>
      </c>
    </row>
    <row r="24" spans="1:8" x14ac:dyDescent="0.25">
      <c r="F24" s="21">
        <f>H19</f>
        <v>54036.789613445377</v>
      </c>
    </row>
    <row r="25" spans="1:8" ht="15.75" x14ac:dyDescent="0.25">
      <c r="A25" t="s">
        <v>9</v>
      </c>
      <c r="B25" s="9" t="s">
        <v>7</v>
      </c>
      <c r="C25" s="10"/>
      <c r="G25" s="13" t="s">
        <v>14</v>
      </c>
      <c r="H25" s="6">
        <f>H19+H21+H23</f>
        <v>33915.136189915967</v>
      </c>
    </row>
    <row r="26" spans="1:8" ht="15.75" thickBot="1" x14ac:dyDescent="0.3">
      <c r="A26" s="16"/>
      <c r="B26" s="14"/>
      <c r="C26" s="7"/>
    </row>
    <row r="27" spans="1:8" x14ac:dyDescent="0.25">
      <c r="E27" t="s">
        <v>100</v>
      </c>
      <c r="H27" s="20">
        <f>H25*0.4</f>
        <v>13566.054475966388</v>
      </c>
    </row>
    <row r="28" spans="1:8" ht="15.75" x14ac:dyDescent="0.25">
      <c r="A28" t="s">
        <v>10</v>
      </c>
      <c r="C28" s="10">
        <f>C19-C21-C23-C25</f>
        <v>54036.789613445377</v>
      </c>
      <c r="H28" s="18"/>
    </row>
    <row r="29" spans="1:8" x14ac:dyDescent="0.25">
      <c r="H29" s="3"/>
    </row>
    <row r="30" spans="1:8" x14ac:dyDescent="0.25">
      <c r="H30" s="18"/>
    </row>
  </sheetData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18757-CEFC-4268-A713-D0C1460596A2}">
  <dimension ref="A1:H30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595</v>
      </c>
    </row>
    <row r="3" spans="1:8" ht="21" x14ac:dyDescent="0.35">
      <c r="A3" s="2" t="s">
        <v>1</v>
      </c>
      <c r="D3" s="11">
        <v>1056976</v>
      </c>
      <c r="F3" s="12" t="s">
        <v>3</v>
      </c>
      <c r="H3" s="11">
        <f>(D3/1.19)*0.19</f>
        <v>168760.87394957984</v>
      </c>
    </row>
    <row r="4" spans="1:8" x14ac:dyDescent="0.25">
      <c r="A4" s="13" t="s">
        <v>29</v>
      </c>
      <c r="C4" s="28">
        <v>781</v>
      </c>
    </row>
    <row r="5" spans="1:8" ht="21" x14ac:dyDescent="0.35">
      <c r="A5" s="2" t="s">
        <v>2</v>
      </c>
      <c r="C5" t="s">
        <v>232</v>
      </c>
    </row>
    <row r="7" spans="1:8" ht="18.75" x14ac:dyDescent="0.3">
      <c r="A7" s="5" t="s">
        <v>167</v>
      </c>
      <c r="D7" s="4">
        <v>586412</v>
      </c>
      <c r="H7" s="4">
        <f>(D7/1.19)*0.19</f>
        <v>93628.806722689071</v>
      </c>
    </row>
    <row r="8" spans="1:8" ht="18.75" x14ac:dyDescent="0.3">
      <c r="A8" s="5"/>
      <c r="D8" s="4"/>
      <c r="H8" s="4"/>
    </row>
    <row r="9" spans="1:8" ht="18.75" x14ac:dyDescent="0.3">
      <c r="A9" s="5"/>
      <c r="B9" s="5"/>
      <c r="C9" s="5"/>
      <c r="D9" s="4"/>
      <c r="H9" s="4"/>
    </row>
    <row r="10" spans="1:8" ht="18.75" x14ac:dyDescent="0.3">
      <c r="A10" s="5"/>
      <c r="B10" s="5"/>
      <c r="C10" s="5"/>
      <c r="D10" s="4"/>
      <c r="H10" s="4"/>
    </row>
    <row r="11" spans="1:8" ht="18.75" x14ac:dyDescent="0.3">
      <c r="B11" s="5"/>
      <c r="C11" s="5"/>
      <c r="D11" s="4"/>
      <c r="H11" s="4"/>
    </row>
    <row r="12" spans="1:8" ht="18.75" x14ac:dyDescent="0.3">
      <c r="A12" s="5"/>
      <c r="B12" s="5"/>
      <c r="C12" s="5"/>
      <c r="D12" s="4"/>
      <c r="H12" s="4"/>
    </row>
    <row r="13" spans="1:8" ht="19.5" thickBot="1" x14ac:dyDescent="0.35">
      <c r="A13" s="5"/>
      <c r="B13" s="5"/>
      <c r="C13" s="5"/>
      <c r="D13" s="35"/>
      <c r="E13" s="27"/>
      <c r="H13" s="35"/>
    </row>
    <row r="14" spans="1:8" ht="19.5" thickTop="1" x14ac:dyDescent="0.3">
      <c r="D14" s="4">
        <f>SUM(D7:D13)</f>
        <v>586412</v>
      </c>
      <c r="H14" s="33">
        <f>SUM(H7:H13)</f>
        <v>93628.806722689071</v>
      </c>
    </row>
    <row r="16" spans="1:8" ht="18.75" x14ac:dyDescent="0.3">
      <c r="C16" t="s">
        <v>4</v>
      </c>
      <c r="D16" s="4">
        <f>D3-D14</f>
        <v>470564</v>
      </c>
      <c r="G16" t="s">
        <v>5</v>
      </c>
      <c r="H16" s="4">
        <f>H3-H14</f>
        <v>75132.067226890766</v>
      </c>
    </row>
    <row r="18" spans="1:8" x14ac:dyDescent="0.25">
      <c r="G18" t="s">
        <v>454</v>
      </c>
    </row>
    <row r="19" spans="1:8" ht="15.75" x14ac:dyDescent="0.25">
      <c r="A19" t="s">
        <v>6</v>
      </c>
      <c r="C19" s="8">
        <f>D16</f>
        <v>470564</v>
      </c>
      <c r="E19" t="s">
        <v>10</v>
      </c>
      <c r="H19" s="6">
        <f>C28</f>
        <v>391204.02877310925</v>
      </c>
    </row>
    <row r="21" spans="1:8" ht="15.75" x14ac:dyDescent="0.25">
      <c r="A21" t="s">
        <v>5</v>
      </c>
      <c r="B21" s="9" t="s">
        <v>7</v>
      </c>
      <c r="C21" s="8">
        <f>H16</f>
        <v>75132.067226890766</v>
      </c>
      <c r="E21" s="13" t="s">
        <v>11</v>
      </c>
      <c r="F21" s="9" t="s">
        <v>12</v>
      </c>
      <c r="G21" s="15" t="s">
        <v>17</v>
      </c>
      <c r="H21" s="3">
        <f>-(F22*0.0077)</f>
        <v>-6883.8</v>
      </c>
    </row>
    <row r="22" spans="1:8" x14ac:dyDescent="0.25">
      <c r="F22" s="21">
        <v>894000</v>
      </c>
    </row>
    <row r="23" spans="1:8" ht="16.5" thickBot="1" x14ac:dyDescent="0.3">
      <c r="A23" t="s">
        <v>8</v>
      </c>
      <c r="B23" s="9" t="s">
        <v>7</v>
      </c>
      <c r="C23" s="8">
        <f>D3*0.004</f>
        <v>4227.9040000000005</v>
      </c>
      <c r="F23" s="9" t="s">
        <v>13</v>
      </c>
      <c r="G23" s="16">
        <v>0.35</v>
      </c>
      <c r="H23" s="17">
        <f>-(F24*0.35)</f>
        <v>-136921.41007058823</v>
      </c>
    </row>
    <row r="24" spans="1:8" x14ac:dyDescent="0.25">
      <c r="F24" s="21">
        <f>H19</f>
        <v>391204.02877310925</v>
      </c>
    </row>
    <row r="25" spans="1:8" ht="15.75" x14ac:dyDescent="0.25">
      <c r="A25" t="s">
        <v>9</v>
      </c>
      <c r="B25" s="9" t="s">
        <v>7</v>
      </c>
      <c r="C25" s="10"/>
      <c r="G25" s="13" t="s">
        <v>14</v>
      </c>
      <c r="H25" s="6">
        <f>H19+H21+H23</f>
        <v>247398.81870252104</v>
      </c>
    </row>
    <row r="26" spans="1:8" ht="15.75" thickBot="1" x14ac:dyDescent="0.3">
      <c r="A26" s="16"/>
      <c r="B26" s="14"/>
      <c r="C26" s="7"/>
    </row>
    <row r="27" spans="1:8" x14ac:dyDescent="0.25">
      <c r="E27" t="s">
        <v>100</v>
      </c>
      <c r="H27" s="20">
        <f>H25*0.4</f>
        <v>98959.527481008423</v>
      </c>
    </row>
    <row r="28" spans="1:8" ht="15.75" x14ac:dyDescent="0.25">
      <c r="A28" t="s">
        <v>10</v>
      </c>
      <c r="C28" s="10">
        <f>C19-C21-C23-C25</f>
        <v>391204.02877310925</v>
      </c>
      <c r="H28" s="18"/>
    </row>
    <row r="29" spans="1:8" x14ac:dyDescent="0.25">
      <c r="H29" s="3"/>
    </row>
    <row r="30" spans="1:8" x14ac:dyDescent="0.25">
      <c r="H30" s="18"/>
    </row>
  </sheetData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48EFA-C160-4077-A948-0880548558A2}">
  <dimension ref="A1:H30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596</v>
      </c>
    </row>
    <row r="3" spans="1:8" ht="21" x14ac:dyDescent="0.35">
      <c r="A3" s="2" t="s">
        <v>1</v>
      </c>
      <c r="D3" s="11">
        <v>144228</v>
      </c>
      <c r="F3" s="12" t="s">
        <v>3</v>
      </c>
      <c r="H3" s="11">
        <f>(D3/1.19)*0.19</f>
        <v>23028</v>
      </c>
    </row>
    <row r="4" spans="1:8" x14ac:dyDescent="0.25">
      <c r="A4" s="13" t="s">
        <v>29</v>
      </c>
      <c r="C4" s="28">
        <v>785</v>
      </c>
    </row>
    <row r="5" spans="1:8" ht="21" x14ac:dyDescent="0.35">
      <c r="A5" s="2" t="s">
        <v>2</v>
      </c>
      <c r="C5" t="s">
        <v>232</v>
      </c>
    </row>
    <row r="7" spans="1:8" ht="18.75" x14ac:dyDescent="0.3">
      <c r="A7" s="5" t="s">
        <v>167</v>
      </c>
      <c r="D7" s="4">
        <v>47205</v>
      </c>
      <c r="H7" s="4">
        <f>(D7/1.19)*0.19</f>
        <v>7536.9327731092444</v>
      </c>
    </row>
    <row r="8" spans="1:8" ht="18.75" x14ac:dyDescent="0.3">
      <c r="A8" s="5"/>
      <c r="D8" s="4"/>
      <c r="H8" s="4"/>
    </row>
    <row r="9" spans="1:8" ht="18.75" x14ac:dyDescent="0.3">
      <c r="A9" s="5"/>
      <c r="B9" s="5"/>
      <c r="C9" s="5"/>
      <c r="D9" s="4"/>
      <c r="H9" s="4"/>
    </row>
    <row r="10" spans="1:8" ht="18.75" x14ac:dyDescent="0.3">
      <c r="A10" s="5"/>
      <c r="B10" s="5"/>
      <c r="C10" s="5"/>
      <c r="D10" s="4"/>
      <c r="H10" s="4"/>
    </row>
    <row r="11" spans="1:8" ht="18.75" x14ac:dyDescent="0.3">
      <c r="B11" s="5"/>
      <c r="C11" s="5"/>
      <c r="D11" s="4"/>
      <c r="H11" s="4"/>
    </row>
    <row r="12" spans="1:8" ht="18.75" x14ac:dyDescent="0.3">
      <c r="A12" s="5"/>
      <c r="B12" s="5"/>
      <c r="C12" s="5"/>
      <c r="D12" s="4"/>
      <c r="H12" s="4"/>
    </row>
    <row r="13" spans="1:8" ht="19.5" thickBot="1" x14ac:dyDescent="0.35">
      <c r="A13" s="5"/>
      <c r="B13" s="5"/>
      <c r="C13" s="5"/>
      <c r="D13" s="35"/>
      <c r="E13" s="27"/>
      <c r="H13" s="35"/>
    </row>
    <row r="14" spans="1:8" ht="19.5" thickTop="1" x14ac:dyDescent="0.3">
      <c r="D14" s="4">
        <f>SUM(D7:D13)</f>
        <v>47205</v>
      </c>
      <c r="H14" s="33">
        <f>SUM(H7:H13)</f>
        <v>7536.9327731092444</v>
      </c>
    </row>
    <row r="16" spans="1:8" ht="18.75" x14ac:dyDescent="0.3">
      <c r="C16" t="s">
        <v>4</v>
      </c>
      <c r="D16" s="4">
        <f>D3-D14</f>
        <v>97023</v>
      </c>
      <c r="G16" t="s">
        <v>5</v>
      </c>
      <c r="H16" s="4">
        <f>H3-H14</f>
        <v>15491.067226890755</v>
      </c>
    </row>
    <row r="18" spans="1:8" x14ac:dyDescent="0.25">
      <c r="G18" t="s">
        <v>454</v>
      </c>
    </row>
    <row r="19" spans="1:8" ht="15.75" x14ac:dyDescent="0.25">
      <c r="A19" t="s">
        <v>6</v>
      </c>
      <c r="C19" s="8">
        <f>D16</f>
        <v>97023</v>
      </c>
      <c r="E19" t="s">
        <v>10</v>
      </c>
      <c r="H19" s="6">
        <f>C28</f>
        <v>80955.020773109252</v>
      </c>
    </row>
    <row r="21" spans="1:8" ht="15.75" x14ac:dyDescent="0.25">
      <c r="A21" t="s">
        <v>5</v>
      </c>
      <c r="B21" s="9" t="s">
        <v>7</v>
      </c>
      <c r="C21" s="8">
        <f>H16</f>
        <v>15491.067226890755</v>
      </c>
      <c r="E21" s="13" t="s">
        <v>11</v>
      </c>
      <c r="F21" s="9" t="s">
        <v>12</v>
      </c>
      <c r="G21" s="15" t="s">
        <v>17</v>
      </c>
      <c r="H21" s="3">
        <f>-(F22*0.0077)</f>
        <v>-933.24</v>
      </c>
    </row>
    <row r="22" spans="1:8" x14ac:dyDescent="0.25">
      <c r="F22" s="21">
        <f>D3-H3</f>
        <v>121200</v>
      </c>
    </row>
    <row r="23" spans="1:8" ht="16.5" thickBot="1" x14ac:dyDescent="0.3">
      <c r="A23" t="s">
        <v>8</v>
      </c>
      <c r="B23" s="9" t="s">
        <v>7</v>
      </c>
      <c r="C23" s="8">
        <f>D3*0.004</f>
        <v>576.91200000000003</v>
      </c>
      <c r="F23" s="9" t="s">
        <v>13</v>
      </c>
      <c r="G23" s="16">
        <v>0.35</v>
      </c>
      <c r="H23" s="17">
        <f>-(F24*0.35)</f>
        <v>-28334.257270588238</v>
      </c>
    </row>
    <row r="24" spans="1:8" x14ac:dyDescent="0.25">
      <c r="F24" s="21">
        <f>H19</f>
        <v>80955.020773109252</v>
      </c>
    </row>
    <row r="25" spans="1:8" ht="15.75" x14ac:dyDescent="0.25">
      <c r="A25" t="s">
        <v>9</v>
      </c>
      <c r="B25" s="9" t="s">
        <v>7</v>
      </c>
      <c r="C25" s="10"/>
      <c r="G25" s="13" t="s">
        <v>14</v>
      </c>
      <c r="H25" s="6">
        <f>H19+H21+H23</f>
        <v>51687.523502521013</v>
      </c>
    </row>
    <row r="26" spans="1:8" ht="15.75" thickBot="1" x14ac:dyDescent="0.3">
      <c r="A26" s="16"/>
      <c r="B26" s="14"/>
      <c r="C26" s="7"/>
    </row>
    <row r="27" spans="1:8" x14ac:dyDescent="0.25">
      <c r="E27" t="s">
        <v>100</v>
      </c>
      <c r="H27" s="20">
        <f>H25*0.4</f>
        <v>20675.009401008407</v>
      </c>
    </row>
    <row r="28" spans="1:8" ht="15.75" x14ac:dyDescent="0.25">
      <c r="A28" t="s">
        <v>10</v>
      </c>
      <c r="C28" s="10">
        <f>C19-C21-C23-C25</f>
        <v>80955.020773109252</v>
      </c>
      <c r="H28" s="18"/>
    </row>
    <row r="29" spans="1:8" x14ac:dyDescent="0.25">
      <c r="H29" s="3"/>
    </row>
    <row r="30" spans="1:8" x14ac:dyDescent="0.25">
      <c r="H30" s="18"/>
    </row>
  </sheetData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40392-11D3-4414-93E8-8AE3553E4C95}">
  <dimension ref="A1:H30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597</v>
      </c>
    </row>
    <row r="3" spans="1:8" ht="21" x14ac:dyDescent="0.35">
      <c r="A3" s="2" t="s">
        <v>1</v>
      </c>
      <c r="D3" s="11">
        <v>29750</v>
      </c>
      <c r="F3" s="12" t="s">
        <v>3</v>
      </c>
      <c r="H3" s="11">
        <f>(D3/1.19)*0.19</f>
        <v>4750</v>
      </c>
    </row>
    <row r="4" spans="1:8" x14ac:dyDescent="0.25">
      <c r="A4" s="13" t="s">
        <v>29</v>
      </c>
      <c r="C4" s="28">
        <v>789</v>
      </c>
    </row>
    <row r="5" spans="1:8" ht="21" x14ac:dyDescent="0.35">
      <c r="A5" s="2" t="s">
        <v>2</v>
      </c>
      <c r="C5" t="s">
        <v>232</v>
      </c>
    </row>
    <row r="7" spans="1:8" ht="18.75" x14ac:dyDescent="0.3">
      <c r="A7" s="5" t="s">
        <v>167</v>
      </c>
      <c r="D7" s="4">
        <v>20020</v>
      </c>
      <c r="H7" s="4">
        <f>(D7/1.19)*0.19</f>
        <v>3196.4705882352941</v>
      </c>
    </row>
    <row r="8" spans="1:8" ht="18.75" x14ac:dyDescent="0.3">
      <c r="A8" s="5"/>
      <c r="D8" s="4"/>
      <c r="H8" s="4"/>
    </row>
    <row r="9" spans="1:8" ht="18.75" x14ac:dyDescent="0.3">
      <c r="A9" s="5"/>
      <c r="B9" s="5"/>
      <c r="C9" s="5"/>
      <c r="D9" s="4"/>
      <c r="H9" s="4"/>
    </row>
    <row r="10" spans="1:8" ht="18.75" x14ac:dyDescent="0.3">
      <c r="A10" s="5"/>
      <c r="B10" s="5"/>
      <c r="C10" s="5"/>
      <c r="D10" s="4"/>
      <c r="H10" s="4"/>
    </row>
    <row r="11" spans="1:8" ht="18.75" x14ac:dyDescent="0.3">
      <c r="B11" s="5"/>
      <c r="C11" s="5"/>
      <c r="D11" s="4"/>
      <c r="H11" s="4"/>
    </row>
    <row r="12" spans="1:8" ht="18.75" x14ac:dyDescent="0.3">
      <c r="A12" s="5"/>
      <c r="B12" s="5"/>
      <c r="C12" s="5"/>
      <c r="D12" s="4"/>
      <c r="H12" s="4"/>
    </row>
    <row r="13" spans="1:8" ht="19.5" thickBot="1" x14ac:dyDescent="0.35">
      <c r="A13" s="5"/>
      <c r="B13" s="5"/>
      <c r="C13" s="5"/>
      <c r="D13" s="35"/>
      <c r="E13" s="27"/>
      <c r="H13" s="35"/>
    </row>
    <row r="14" spans="1:8" ht="19.5" thickTop="1" x14ac:dyDescent="0.3">
      <c r="D14" s="4">
        <f>SUM(D7:D13)</f>
        <v>20020</v>
      </c>
      <c r="H14" s="33">
        <f>SUM(H7:H13)</f>
        <v>3196.4705882352941</v>
      </c>
    </row>
    <row r="16" spans="1:8" ht="18.75" x14ac:dyDescent="0.3">
      <c r="C16" t="s">
        <v>4</v>
      </c>
      <c r="D16" s="4">
        <f>D3-D14</f>
        <v>9730</v>
      </c>
      <c r="G16" t="s">
        <v>5</v>
      </c>
      <c r="H16" s="4">
        <f>H3-H14</f>
        <v>1553.5294117647059</v>
      </c>
    </row>
    <row r="18" spans="1:8" x14ac:dyDescent="0.25">
      <c r="G18" t="s">
        <v>454</v>
      </c>
    </row>
    <row r="19" spans="1:8" ht="15.75" x14ac:dyDescent="0.25">
      <c r="A19" t="s">
        <v>6</v>
      </c>
      <c r="C19" s="8">
        <f>D16</f>
        <v>9730</v>
      </c>
      <c r="E19" t="s">
        <v>10</v>
      </c>
      <c r="H19" s="6">
        <f>C28</f>
        <v>8057.4705882352937</v>
      </c>
    </row>
    <row r="21" spans="1:8" ht="15.75" x14ac:dyDescent="0.25">
      <c r="A21" t="s">
        <v>5</v>
      </c>
      <c r="B21" s="9" t="s">
        <v>7</v>
      </c>
      <c r="C21" s="8">
        <f>H16</f>
        <v>1553.5294117647059</v>
      </c>
      <c r="E21" s="13" t="s">
        <v>11</v>
      </c>
      <c r="F21" s="9" t="s">
        <v>12</v>
      </c>
      <c r="G21" s="15" t="s">
        <v>17</v>
      </c>
      <c r="H21" s="3">
        <f>-(F22*0.0077)</f>
        <v>-192.5</v>
      </c>
    </row>
    <row r="22" spans="1:8" x14ac:dyDescent="0.25">
      <c r="F22" s="21">
        <f>D3-H3</f>
        <v>25000</v>
      </c>
    </row>
    <row r="23" spans="1:8" ht="16.5" thickBot="1" x14ac:dyDescent="0.3">
      <c r="A23" t="s">
        <v>8</v>
      </c>
      <c r="B23" s="9" t="s">
        <v>7</v>
      </c>
      <c r="C23" s="8">
        <f>D3*0.004</f>
        <v>119</v>
      </c>
      <c r="F23" s="9" t="s">
        <v>13</v>
      </c>
      <c r="G23" s="16">
        <v>0.35</v>
      </c>
      <c r="H23" s="17">
        <f>-(F24*0.35)</f>
        <v>-2820.1147058823526</v>
      </c>
    </row>
    <row r="24" spans="1:8" x14ac:dyDescent="0.25">
      <c r="F24" s="21">
        <f>H19</f>
        <v>8057.4705882352937</v>
      </c>
    </row>
    <row r="25" spans="1:8" ht="15.75" x14ac:dyDescent="0.25">
      <c r="A25" t="s">
        <v>9</v>
      </c>
      <c r="B25" s="9" t="s">
        <v>7</v>
      </c>
      <c r="C25" s="10"/>
      <c r="G25" s="13" t="s">
        <v>14</v>
      </c>
      <c r="H25" s="6">
        <f>H19+H21+H23</f>
        <v>5044.8558823529411</v>
      </c>
    </row>
    <row r="26" spans="1:8" ht="15.75" thickBot="1" x14ac:dyDescent="0.3">
      <c r="A26" s="16"/>
      <c r="B26" s="14"/>
      <c r="C26" s="7"/>
    </row>
    <row r="27" spans="1:8" x14ac:dyDescent="0.25">
      <c r="E27" t="s">
        <v>100</v>
      </c>
      <c r="H27" s="20">
        <f>H25*0.4</f>
        <v>2017.9423529411765</v>
      </c>
    </row>
    <row r="28" spans="1:8" ht="15.75" x14ac:dyDescent="0.25">
      <c r="A28" t="s">
        <v>10</v>
      </c>
      <c r="C28" s="10">
        <f>C19-C21-C23-C25</f>
        <v>8057.4705882352937</v>
      </c>
      <c r="H28" s="18"/>
    </row>
    <row r="29" spans="1:8" x14ac:dyDescent="0.25">
      <c r="H29" s="3"/>
    </row>
    <row r="30" spans="1:8" x14ac:dyDescent="0.25">
      <c r="H30" s="18"/>
    </row>
  </sheetData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C8651-2958-4BC4-B5C2-F42FD4680710}">
  <dimension ref="A1:H30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598</v>
      </c>
    </row>
    <row r="3" spans="1:8" ht="21" x14ac:dyDescent="0.35">
      <c r="A3" s="2" t="s">
        <v>1</v>
      </c>
      <c r="D3" s="11">
        <v>63070</v>
      </c>
      <c r="F3" s="12" t="s">
        <v>3</v>
      </c>
      <c r="H3" s="11">
        <f>(D3/1.19)*0.19</f>
        <v>10070</v>
      </c>
    </row>
    <row r="4" spans="1:8" x14ac:dyDescent="0.25">
      <c r="A4" s="13" t="s">
        <v>29</v>
      </c>
      <c r="C4" s="28">
        <v>793</v>
      </c>
    </row>
    <row r="5" spans="1:8" ht="21" x14ac:dyDescent="0.35">
      <c r="A5" s="2" t="s">
        <v>2</v>
      </c>
      <c r="C5" t="s">
        <v>232</v>
      </c>
    </row>
    <row r="7" spans="1:8" ht="18.75" x14ac:dyDescent="0.3">
      <c r="A7" s="5" t="s">
        <v>599</v>
      </c>
      <c r="D7" s="4">
        <v>39226</v>
      </c>
      <c r="H7" s="4">
        <f>(D7/1.19)*0.19</f>
        <v>6262.9747899159674</v>
      </c>
    </row>
    <row r="8" spans="1:8" ht="18.75" x14ac:dyDescent="0.3">
      <c r="A8" s="5"/>
      <c r="D8" s="4"/>
      <c r="H8" s="4"/>
    </row>
    <row r="9" spans="1:8" ht="18.75" x14ac:dyDescent="0.3">
      <c r="A9" s="5"/>
      <c r="B9" s="5"/>
      <c r="C9" s="5"/>
      <c r="D9" s="4"/>
      <c r="H9" s="4"/>
    </row>
    <row r="10" spans="1:8" ht="18.75" x14ac:dyDescent="0.3">
      <c r="A10" s="5"/>
      <c r="B10" s="5"/>
      <c r="C10" s="5"/>
      <c r="D10" s="4"/>
      <c r="H10" s="4"/>
    </row>
    <row r="11" spans="1:8" ht="18.75" x14ac:dyDescent="0.3">
      <c r="B11" s="5"/>
      <c r="C11" s="5"/>
      <c r="D11" s="4"/>
      <c r="H11" s="4"/>
    </row>
    <row r="12" spans="1:8" ht="18.75" x14ac:dyDescent="0.3">
      <c r="A12" s="5"/>
      <c r="B12" s="5"/>
      <c r="C12" s="5"/>
      <c r="D12" s="4"/>
      <c r="H12" s="4"/>
    </row>
    <row r="13" spans="1:8" ht="19.5" thickBot="1" x14ac:dyDescent="0.35">
      <c r="A13" s="5"/>
      <c r="B13" s="5"/>
      <c r="C13" s="5"/>
      <c r="D13" s="35"/>
      <c r="E13" s="27"/>
      <c r="H13" s="35"/>
    </row>
    <row r="14" spans="1:8" ht="19.5" thickTop="1" x14ac:dyDescent="0.3">
      <c r="D14" s="4">
        <f>SUM(D7:D13)</f>
        <v>39226</v>
      </c>
      <c r="H14" s="33">
        <f>SUM(H7:H13)</f>
        <v>6262.9747899159674</v>
      </c>
    </row>
    <row r="16" spans="1:8" ht="18.75" x14ac:dyDescent="0.3">
      <c r="C16" t="s">
        <v>4</v>
      </c>
      <c r="D16" s="4">
        <f>D3-D14</f>
        <v>23844</v>
      </c>
      <c r="G16" t="s">
        <v>5</v>
      </c>
      <c r="H16" s="4">
        <f>H3-H14</f>
        <v>3807.0252100840326</v>
      </c>
    </row>
    <row r="18" spans="1:8" x14ac:dyDescent="0.25">
      <c r="G18" t="s">
        <v>454</v>
      </c>
    </row>
    <row r="19" spans="1:8" ht="15.75" x14ac:dyDescent="0.25">
      <c r="A19" t="s">
        <v>6</v>
      </c>
      <c r="C19" s="8">
        <f>D16</f>
        <v>23844</v>
      </c>
      <c r="E19" t="s">
        <v>10</v>
      </c>
      <c r="H19" s="6">
        <f>C28</f>
        <v>19784.694789915968</v>
      </c>
    </row>
    <row r="21" spans="1:8" ht="15.75" x14ac:dyDescent="0.25">
      <c r="A21" t="s">
        <v>5</v>
      </c>
      <c r="B21" s="9" t="s">
        <v>7</v>
      </c>
      <c r="C21" s="8">
        <f>H16</f>
        <v>3807.0252100840326</v>
      </c>
      <c r="E21" s="13" t="s">
        <v>11</v>
      </c>
      <c r="F21" s="9" t="s">
        <v>12</v>
      </c>
      <c r="G21" s="15" t="s">
        <v>17</v>
      </c>
      <c r="H21" s="3">
        <f>-(F22*0.0077)</f>
        <v>-408.1</v>
      </c>
    </row>
    <row r="22" spans="1:8" x14ac:dyDescent="0.25">
      <c r="F22" s="21">
        <f>D3-H3</f>
        <v>53000</v>
      </c>
    </row>
    <row r="23" spans="1:8" ht="16.5" thickBot="1" x14ac:dyDescent="0.3">
      <c r="A23" t="s">
        <v>8</v>
      </c>
      <c r="B23" s="9" t="s">
        <v>7</v>
      </c>
      <c r="C23" s="8">
        <f>D3*0.004</f>
        <v>252.28</v>
      </c>
      <c r="F23" s="9" t="s">
        <v>13</v>
      </c>
      <c r="G23" s="16">
        <v>0.35</v>
      </c>
      <c r="H23" s="17">
        <f>-(F24*0.35)</f>
        <v>-6924.6431764705885</v>
      </c>
    </row>
    <row r="24" spans="1:8" x14ac:dyDescent="0.25">
      <c r="F24" s="21">
        <f>H19</f>
        <v>19784.694789915968</v>
      </c>
    </row>
    <row r="25" spans="1:8" ht="15.75" x14ac:dyDescent="0.25">
      <c r="A25" t="s">
        <v>9</v>
      </c>
      <c r="B25" s="9" t="s">
        <v>7</v>
      </c>
      <c r="C25" s="10"/>
      <c r="G25" s="13" t="s">
        <v>14</v>
      </c>
      <c r="H25" s="6">
        <f>H19+H21+H23</f>
        <v>12451.951613445381</v>
      </c>
    </row>
    <row r="26" spans="1:8" ht="15.75" thickBot="1" x14ac:dyDescent="0.3">
      <c r="A26" s="16"/>
      <c r="B26" s="14"/>
      <c r="C26" s="7"/>
    </row>
    <row r="27" spans="1:8" x14ac:dyDescent="0.25">
      <c r="E27" t="s">
        <v>100</v>
      </c>
      <c r="H27" s="20">
        <f>H25*0.4</f>
        <v>4980.7806453781523</v>
      </c>
    </row>
    <row r="28" spans="1:8" ht="15.75" x14ac:dyDescent="0.25">
      <c r="A28" t="s">
        <v>10</v>
      </c>
      <c r="C28" s="10">
        <f>C19-C21-C23-C25</f>
        <v>19784.694789915968</v>
      </c>
      <c r="H28" s="18"/>
    </row>
    <row r="29" spans="1:8" x14ac:dyDescent="0.25">
      <c r="H29" s="3"/>
    </row>
    <row r="30" spans="1:8" x14ac:dyDescent="0.25">
      <c r="H30" s="18"/>
    </row>
  </sheetData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CABE5-05F7-467C-A586-9A926E62E1BF}">
  <dimension ref="A1:H30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600</v>
      </c>
    </row>
    <row r="3" spans="1:8" ht="21" x14ac:dyDescent="0.35">
      <c r="A3" s="2" t="s">
        <v>1</v>
      </c>
      <c r="D3" s="11">
        <v>51765</v>
      </c>
      <c r="F3" s="12" t="s">
        <v>3</v>
      </c>
      <c r="H3" s="11">
        <f>(D3/1.19)*0.19</f>
        <v>8265</v>
      </c>
    </row>
    <row r="4" spans="1:8" x14ac:dyDescent="0.25">
      <c r="A4" s="13" t="s">
        <v>29</v>
      </c>
      <c r="C4" s="28">
        <v>794</v>
      </c>
    </row>
    <row r="5" spans="1:8" ht="21" x14ac:dyDescent="0.35">
      <c r="A5" s="2" t="s">
        <v>2</v>
      </c>
      <c r="C5" t="s">
        <v>232</v>
      </c>
    </row>
    <row r="7" spans="1:8" ht="18.75" x14ac:dyDescent="0.3">
      <c r="A7" s="5" t="s">
        <v>601</v>
      </c>
      <c r="D7" s="4">
        <v>36235</v>
      </c>
      <c r="H7" s="4">
        <f>(D7/1.19)*0.19</f>
        <v>5785.4201680672268</v>
      </c>
    </row>
    <row r="8" spans="1:8" ht="18.75" x14ac:dyDescent="0.3">
      <c r="A8" s="5"/>
      <c r="D8" s="4"/>
      <c r="H8" s="4"/>
    </row>
    <row r="9" spans="1:8" ht="18.75" x14ac:dyDescent="0.3">
      <c r="A9" s="5"/>
      <c r="B9" s="5"/>
      <c r="C9" s="5"/>
      <c r="D9" s="4"/>
      <c r="H9" s="4"/>
    </row>
    <row r="10" spans="1:8" ht="18.75" x14ac:dyDescent="0.3">
      <c r="A10" s="5"/>
      <c r="B10" s="5"/>
      <c r="C10" s="5"/>
      <c r="D10" s="4"/>
      <c r="H10" s="4"/>
    </row>
    <row r="11" spans="1:8" ht="18.75" x14ac:dyDescent="0.3">
      <c r="B11" s="5"/>
      <c r="C11" s="5"/>
      <c r="D11" s="4"/>
      <c r="H11" s="4"/>
    </row>
    <row r="12" spans="1:8" ht="18.75" x14ac:dyDescent="0.3">
      <c r="A12" s="5"/>
      <c r="B12" s="5"/>
      <c r="C12" s="5"/>
      <c r="D12" s="4"/>
      <c r="H12" s="4"/>
    </row>
    <row r="13" spans="1:8" ht="19.5" thickBot="1" x14ac:dyDescent="0.35">
      <c r="A13" s="5"/>
      <c r="B13" s="5"/>
      <c r="C13" s="5"/>
      <c r="D13" s="35"/>
      <c r="E13" s="27"/>
      <c r="H13" s="35"/>
    </row>
    <row r="14" spans="1:8" ht="19.5" thickTop="1" x14ac:dyDescent="0.3">
      <c r="D14" s="4">
        <f>SUM(D7:D13)</f>
        <v>36235</v>
      </c>
      <c r="H14" s="33">
        <f>SUM(H7:H13)</f>
        <v>5785.4201680672268</v>
      </c>
    </row>
    <row r="16" spans="1:8" ht="18.75" x14ac:dyDescent="0.3">
      <c r="C16" t="s">
        <v>4</v>
      </c>
      <c r="D16" s="4">
        <f>D3-D14</f>
        <v>15530</v>
      </c>
      <c r="G16" t="s">
        <v>5</v>
      </c>
      <c r="H16" s="4">
        <f>H3-H14</f>
        <v>2479.5798319327732</v>
      </c>
    </row>
    <row r="18" spans="1:8" x14ac:dyDescent="0.25">
      <c r="G18" t="s">
        <v>454</v>
      </c>
    </row>
    <row r="19" spans="1:8" ht="15.75" x14ac:dyDescent="0.25">
      <c r="A19" t="s">
        <v>6</v>
      </c>
      <c r="C19" s="8">
        <f>D16</f>
        <v>15530</v>
      </c>
      <c r="E19" t="s">
        <v>10</v>
      </c>
      <c r="H19" s="6">
        <f>C28</f>
        <v>12843.360168067227</v>
      </c>
    </row>
    <row r="21" spans="1:8" ht="15.75" x14ac:dyDescent="0.25">
      <c r="A21" t="s">
        <v>5</v>
      </c>
      <c r="B21" s="9" t="s">
        <v>7</v>
      </c>
      <c r="C21" s="8">
        <f>H16</f>
        <v>2479.5798319327732</v>
      </c>
      <c r="E21" s="13" t="s">
        <v>11</v>
      </c>
      <c r="F21" s="9" t="s">
        <v>12</v>
      </c>
      <c r="G21" s="15" t="s">
        <v>17</v>
      </c>
      <c r="H21" s="3">
        <f>-(F22*0.0077)</f>
        <v>-334.95</v>
      </c>
    </row>
    <row r="22" spans="1:8" x14ac:dyDescent="0.25">
      <c r="F22" s="21">
        <f>D3-H3</f>
        <v>43500</v>
      </c>
    </row>
    <row r="23" spans="1:8" ht="16.5" thickBot="1" x14ac:dyDescent="0.3">
      <c r="A23" t="s">
        <v>8</v>
      </c>
      <c r="B23" s="9" t="s">
        <v>7</v>
      </c>
      <c r="C23" s="8">
        <f>D3*0.004</f>
        <v>207.06</v>
      </c>
      <c r="F23" s="9" t="s">
        <v>13</v>
      </c>
      <c r="G23" s="16">
        <v>0.35</v>
      </c>
      <c r="H23" s="17">
        <f>-(F24*0.35)</f>
        <v>-4495.1760588235293</v>
      </c>
    </row>
    <row r="24" spans="1:8" x14ac:dyDescent="0.25">
      <c r="F24" s="21">
        <f>H19</f>
        <v>12843.360168067227</v>
      </c>
    </row>
    <row r="25" spans="1:8" ht="15.75" x14ac:dyDescent="0.25">
      <c r="A25" t="s">
        <v>9</v>
      </c>
      <c r="B25" s="9" t="s">
        <v>7</v>
      </c>
      <c r="C25" s="10"/>
      <c r="G25" s="13" t="s">
        <v>14</v>
      </c>
      <c r="H25" s="6">
        <f>H19+H21+H23</f>
        <v>8013.2341092436973</v>
      </c>
    </row>
    <row r="26" spans="1:8" ht="15.75" thickBot="1" x14ac:dyDescent="0.3">
      <c r="A26" s="16"/>
      <c r="B26" s="14"/>
      <c r="C26" s="7"/>
    </row>
    <row r="27" spans="1:8" x14ac:dyDescent="0.25">
      <c r="E27" t="s">
        <v>100</v>
      </c>
      <c r="H27" s="20">
        <f>H25*0.4</f>
        <v>3205.2936436974792</v>
      </c>
    </row>
    <row r="28" spans="1:8" ht="15.75" x14ac:dyDescent="0.25">
      <c r="A28" t="s">
        <v>10</v>
      </c>
      <c r="C28" s="10">
        <f>C19-C21-C23-C25</f>
        <v>12843.360168067227</v>
      </c>
      <c r="H28" s="18"/>
    </row>
    <row r="29" spans="1:8" x14ac:dyDescent="0.25">
      <c r="H29" s="3"/>
    </row>
    <row r="30" spans="1:8" x14ac:dyDescent="0.25">
      <c r="H30" s="18"/>
    </row>
  </sheetData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A72F7-6442-4073-9764-3EB2AC75123C}">
  <dimension ref="A1:H30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589</v>
      </c>
    </row>
    <row r="3" spans="1:8" ht="21" x14ac:dyDescent="0.35">
      <c r="A3" s="2" t="s">
        <v>1</v>
      </c>
      <c r="D3" s="11">
        <v>2014789</v>
      </c>
      <c r="F3" s="12" t="s">
        <v>3</v>
      </c>
      <c r="H3" s="11">
        <f>(D3/1.19)*0.19</f>
        <v>321689</v>
      </c>
    </row>
    <row r="4" spans="1:8" x14ac:dyDescent="0.25">
      <c r="A4" s="13" t="s">
        <v>29</v>
      </c>
      <c r="C4" s="28">
        <v>795</v>
      </c>
    </row>
    <row r="5" spans="1:8" ht="21" x14ac:dyDescent="0.35">
      <c r="A5" s="2" t="s">
        <v>2</v>
      </c>
      <c r="C5" t="s">
        <v>232</v>
      </c>
    </row>
    <row r="7" spans="1:8" ht="18.75" x14ac:dyDescent="0.3">
      <c r="A7" s="5" t="s">
        <v>602</v>
      </c>
      <c r="D7" s="4">
        <v>192200</v>
      </c>
      <c r="H7" s="4">
        <f>(D7/1.19)*0.19</f>
        <v>30687.394957983193</v>
      </c>
    </row>
    <row r="8" spans="1:8" ht="18.75" x14ac:dyDescent="0.3">
      <c r="A8" s="5" t="s">
        <v>488</v>
      </c>
      <c r="D8" s="4">
        <v>919442</v>
      </c>
      <c r="H8" s="4">
        <f>(D8/1.19)*0.19</f>
        <v>146801.66386554623</v>
      </c>
    </row>
    <row r="9" spans="1:8" ht="18.75" x14ac:dyDescent="0.3">
      <c r="A9" s="5" t="s">
        <v>167</v>
      </c>
      <c r="B9" s="5"/>
      <c r="C9" s="5"/>
      <c r="D9" s="4">
        <v>268126</v>
      </c>
      <c r="H9" s="4">
        <f>(D9/1.19)*0.19</f>
        <v>42810.033613445383</v>
      </c>
    </row>
    <row r="10" spans="1:8" ht="18.75" x14ac:dyDescent="0.3">
      <c r="A10" s="5"/>
      <c r="B10" s="5"/>
      <c r="C10" s="5"/>
      <c r="D10" s="4"/>
      <c r="H10" s="4"/>
    </row>
    <row r="11" spans="1:8" ht="18.75" x14ac:dyDescent="0.3">
      <c r="B11" s="5"/>
      <c r="C11" s="5"/>
      <c r="D11" s="4"/>
      <c r="H11" s="4"/>
    </row>
    <row r="12" spans="1:8" ht="18.75" x14ac:dyDescent="0.3">
      <c r="A12" s="5"/>
      <c r="B12" s="5"/>
      <c r="C12" s="5"/>
      <c r="D12" s="4"/>
      <c r="H12" s="4"/>
    </row>
    <row r="13" spans="1:8" ht="19.5" thickBot="1" x14ac:dyDescent="0.35">
      <c r="A13" s="5"/>
      <c r="B13" s="5"/>
      <c r="C13" s="5"/>
      <c r="D13" s="35"/>
      <c r="E13" s="27"/>
      <c r="H13" s="35"/>
    </row>
    <row r="14" spans="1:8" ht="19.5" thickTop="1" x14ac:dyDescent="0.3">
      <c r="D14" s="4">
        <f>SUM(D7:D13)</f>
        <v>1379768</v>
      </c>
      <c r="H14" s="33">
        <f>SUM(H7:H13)</f>
        <v>220299.09243697481</v>
      </c>
    </row>
    <row r="16" spans="1:8" ht="18.75" x14ac:dyDescent="0.3">
      <c r="C16" t="s">
        <v>4</v>
      </c>
      <c r="D16" s="4">
        <f>D3-D14</f>
        <v>635021</v>
      </c>
      <c r="G16" t="s">
        <v>5</v>
      </c>
      <c r="H16" s="4">
        <f>H3-H14</f>
        <v>101389.90756302519</v>
      </c>
    </row>
    <row r="18" spans="1:8" x14ac:dyDescent="0.25">
      <c r="G18" t="s">
        <v>454</v>
      </c>
    </row>
    <row r="19" spans="1:8" ht="15.75" x14ac:dyDescent="0.25">
      <c r="A19" t="s">
        <v>6</v>
      </c>
      <c r="C19" s="8">
        <f>D16</f>
        <v>635021</v>
      </c>
      <c r="E19" t="s">
        <v>10</v>
      </c>
      <c r="H19" s="6">
        <f>C28</f>
        <v>525571.93643697491</v>
      </c>
    </row>
    <row r="21" spans="1:8" ht="15.75" x14ac:dyDescent="0.25">
      <c r="A21" t="s">
        <v>5</v>
      </c>
      <c r="B21" s="9" t="s">
        <v>7</v>
      </c>
      <c r="C21" s="8">
        <f>H16</f>
        <v>101389.90756302519</v>
      </c>
      <c r="E21" s="13" t="s">
        <v>11</v>
      </c>
      <c r="F21" s="9" t="s">
        <v>12</v>
      </c>
      <c r="G21" s="15" t="s">
        <v>17</v>
      </c>
      <c r="H21" s="3">
        <f>-(F22*0.0077)</f>
        <v>-13036.87</v>
      </c>
    </row>
    <row r="22" spans="1:8" x14ac:dyDescent="0.25">
      <c r="F22" s="21">
        <f>D3-H3</f>
        <v>1693100</v>
      </c>
    </row>
    <row r="23" spans="1:8" ht="16.5" thickBot="1" x14ac:dyDescent="0.3">
      <c r="A23" t="s">
        <v>8</v>
      </c>
      <c r="B23" s="9" t="s">
        <v>7</v>
      </c>
      <c r="C23" s="8">
        <f>D3*0.004</f>
        <v>8059.1559999999999</v>
      </c>
      <c r="F23" s="9" t="s">
        <v>13</v>
      </c>
      <c r="G23" s="16">
        <v>0.35</v>
      </c>
      <c r="H23" s="17">
        <f>-(F24*0.35)</f>
        <v>-183950.17775294121</v>
      </c>
    </row>
    <row r="24" spans="1:8" x14ac:dyDescent="0.25">
      <c r="F24" s="21">
        <f>H19</f>
        <v>525571.93643697491</v>
      </c>
    </row>
    <row r="25" spans="1:8" ht="15.75" x14ac:dyDescent="0.25">
      <c r="A25" t="s">
        <v>9</v>
      </c>
      <c r="B25" s="9" t="s">
        <v>7</v>
      </c>
      <c r="C25" s="10"/>
      <c r="G25" s="13" t="s">
        <v>14</v>
      </c>
      <c r="H25" s="6">
        <f>H19+H21+H23</f>
        <v>328584.88868403371</v>
      </c>
    </row>
    <row r="26" spans="1:8" ht="15.75" thickBot="1" x14ac:dyDescent="0.3">
      <c r="A26" s="16"/>
      <c r="B26" s="14"/>
      <c r="C26" s="7"/>
    </row>
    <row r="27" spans="1:8" x14ac:dyDescent="0.25">
      <c r="E27" t="s">
        <v>100</v>
      </c>
      <c r="H27" s="20">
        <f>H25*0.4</f>
        <v>131433.95547361349</v>
      </c>
    </row>
    <row r="28" spans="1:8" ht="15.75" x14ac:dyDescent="0.25">
      <c r="A28" t="s">
        <v>10</v>
      </c>
      <c r="C28" s="10">
        <f>C19-C21-C23-C25</f>
        <v>525571.93643697491</v>
      </c>
      <c r="H28" s="18"/>
    </row>
    <row r="29" spans="1:8" x14ac:dyDescent="0.25">
      <c r="H29" s="3"/>
    </row>
    <row r="30" spans="1:8" x14ac:dyDescent="0.25">
      <c r="H30" s="18"/>
    </row>
  </sheetData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6BE71-E1B4-4E67-979F-8A9F8BF51CC8}">
  <dimension ref="A1:H30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589</v>
      </c>
    </row>
    <row r="3" spans="1:8" ht="21" x14ac:dyDescent="0.35">
      <c r="A3" s="2" t="s">
        <v>1</v>
      </c>
      <c r="D3" s="11">
        <v>499800</v>
      </c>
      <c r="F3" s="12" t="s">
        <v>3</v>
      </c>
      <c r="H3" s="11">
        <f>(D3/1.19)*0.19</f>
        <v>79800</v>
      </c>
    </row>
    <row r="4" spans="1:8" x14ac:dyDescent="0.25">
      <c r="A4" s="13" t="s">
        <v>29</v>
      </c>
      <c r="C4" s="28">
        <v>796</v>
      </c>
    </row>
    <row r="5" spans="1:8" ht="21" x14ac:dyDescent="0.35">
      <c r="A5" s="2" t="s">
        <v>2</v>
      </c>
      <c r="C5" t="s">
        <v>232</v>
      </c>
    </row>
    <row r="7" spans="1:8" ht="18.75" x14ac:dyDescent="0.3">
      <c r="A7" s="5"/>
      <c r="D7" s="4"/>
      <c r="H7" s="4"/>
    </row>
    <row r="8" spans="1:8" ht="18.75" x14ac:dyDescent="0.3">
      <c r="A8" s="5"/>
      <c r="D8" s="4"/>
      <c r="H8" s="4"/>
    </row>
    <row r="9" spans="1:8" ht="18.75" x14ac:dyDescent="0.3">
      <c r="A9" s="5" t="s">
        <v>167</v>
      </c>
      <c r="B9" s="5"/>
      <c r="C9" s="5"/>
      <c r="D9" s="4">
        <v>322550</v>
      </c>
      <c r="H9" s="4">
        <f>(D9/1.19)*0.19</f>
        <v>51499.579831932773</v>
      </c>
    </row>
    <row r="10" spans="1:8" ht="18.75" x14ac:dyDescent="0.3">
      <c r="A10" s="5"/>
      <c r="B10" s="5"/>
      <c r="C10" s="5"/>
      <c r="D10" s="4"/>
      <c r="H10" s="4"/>
    </row>
    <row r="11" spans="1:8" ht="18.75" x14ac:dyDescent="0.3">
      <c r="B11" s="5"/>
      <c r="C11" s="5"/>
      <c r="D11" s="4"/>
      <c r="H11" s="4"/>
    </row>
    <row r="12" spans="1:8" ht="18.75" x14ac:dyDescent="0.3">
      <c r="A12" s="5"/>
      <c r="B12" s="5"/>
      <c r="C12" s="5"/>
      <c r="D12" s="4"/>
      <c r="H12" s="4"/>
    </row>
    <row r="13" spans="1:8" ht="19.5" thickBot="1" x14ac:dyDescent="0.35">
      <c r="A13" s="5"/>
      <c r="B13" s="5"/>
      <c r="C13" s="5"/>
      <c r="D13" s="35"/>
      <c r="E13" s="27"/>
      <c r="H13" s="35"/>
    </row>
    <row r="14" spans="1:8" ht="19.5" thickTop="1" x14ac:dyDescent="0.3">
      <c r="D14" s="4">
        <f>SUM(D7:D13)</f>
        <v>322550</v>
      </c>
      <c r="H14" s="33">
        <f>SUM(H7:H13)</f>
        <v>51499.579831932773</v>
      </c>
    </row>
    <row r="16" spans="1:8" ht="18.75" x14ac:dyDescent="0.3">
      <c r="C16" t="s">
        <v>4</v>
      </c>
      <c r="D16" s="4">
        <f>D3-D14</f>
        <v>177250</v>
      </c>
      <c r="G16" t="s">
        <v>5</v>
      </c>
      <c r="H16" s="4">
        <f>H3-H14</f>
        <v>28300.420168067227</v>
      </c>
    </row>
    <row r="18" spans="1:8" x14ac:dyDescent="0.25">
      <c r="G18" t="s">
        <v>454</v>
      </c>
    </row>
    <row r="19" spans="1:8" ht="15.75" x14ac:dyDescent="0.25">
      <c r="A19" t="s">
        <v>6</v>
      </c>
      <c r="C19" s="8">
        <f>D16</f>
        <v>177250</v>
      </c>
      <c r="E19" t="s">
        <v>10</v>
      </c>
      <c r="H19" s="6">
        <f>C28</f>
        <v>146950.37983193278</v>
      </c>
    </row>
    <row r="21" spans="1:8" ht="15.75" x14ac:dyDescent="0.25">
      <c r="A21" t="s">
        <v>5</v>
      </c>
      <c r="B21" s="9" t="s">
        <v>7</v>
      </c>
      <c r="C21" s="8">
        <f>H16</f>
        <v>28300.420168067227</v>
      </c>
      <c r="E21" s="13" t="s">
        <v>11</v>
      </c>
      <c r="F21" s="9" t="s">
        <v>12</v>
      </c>
      <c r="G21" s="15" t="s">
        <v>17</v>
      </c>
      <c r="H21" s="3">
        <f>-(F22*0.0077)</f>
        <v>-3234</v>
      </c>
    </row>
    <row r="22" spans="1:8" x14ac:dyDescent="0.25">
      <c r="F22" s="21">
        <f>D3-H3</f>
        <v>420000</v>
      </c>
    </row>
    <row r="23" spans="1:8" ht="16.5" thickBot="1" x14ac:dyDescent="0.3">
      <c r="A23" t="s">
        <v>8</v>
      </c>
      <c r="B23" s="9" t="s">
        <v>7</v>
      </c>
      <c r="C23" s="8">
        <f>D3*0.004</f>
        <v>1999.2</v>
      </c>
      <c r="F23" s="9" t="s">
        <v>13</v>
      </c>
      <c r="G23" s="16">
        <v>0.35</v>
      </c>
      <c r="H23" s="17">
        <f>-(F24*0.35)</f>
        <v>-51432.632941176467</v>
      </c>
    </row>
    <row r="24" spans="1:8" x14ac:dyDescent="0.25">
      <c r="F24" s="21">
        <f>H19</f>
        <v>146950.37983193278</v>
      </c>
    </row>
    <row r="25" spans="1:8" ht="15.75" x14ac:dyDescent="0.25">
      <c r="A25" t="s">
        <v>9</v>
      </c>
      <c r="B25" s="9" t="s">
        <v>7</v>
      </c>
      <c r="C25" s="10"/>
      <c r="G25" s="13" t="s">
        <v>14</v>
      </c>
      <c r="H25" s="6">
        <f>H19+H21+H23</f>
        <v>92283.746890756302</v>
      </c>
    </row>
    <row r="26" spans="1:8" ht="15.75" thickBot="1" x14ac:dyDescent="0.3">
      <c r="A26" s="16"/>
      <c r="B26" s="14"/>
      <c r="C26" s="7"/>
    </row>
    <row r="27" spans="1:8" x14ac:dyDescent="0.25">
      <c r="E27" t="s">
        <v>100</v>
      </c>
      <c r="H27" s="20">
        <f>H25*0.4</f>
        <v>36913.498756302521</v>
      </c>
    </row>
    <row r="28" spans="1:8" ht="15.75" x14ac:dyDescent="0.25">
      <c r="A28" t="s">
        <v>10</v>
      </c>
      <c r="C28" s="10">
        <f>C19-C21-C23-C25</f>
        <v>146950.37983193278</v>
      </c>
      <c r="H28" s="18"/>
    </row>
    <row r="29" spans="1:8" x14ac:dyDescent="0.25">
      <c r="H29" s="3"/>
    </row>
    <row r="30" spans="1:8" x14ac:dyDescent="0.25">
      <c r="H30" s="18"/>
    </row>
  </sheetData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9A6F5-0D31-453D-8C21-B1C25821FF99}">
  <dimension ref="A1:H30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603</v>
      </c>
    </row>
    <row r="3" spans="1:8" ht="21" x14ac:dyDescent="0.35">
      <c r="A3" s="2" t="s">
        <v>1</v>
      </c>
      <c r="D3" s="11">
        <v>414120</v>
      </c>
      <c r="F3" s="12" t="s">
        <v>3</v>
      </c>
      <c r="H3" s="11">
        <f>(D3/1.19)*0.19</f>
        <v>66120</v>
      </c>
    </row>
    <row r="4" spans="1:8" x14ac:dyDescent="0.25">
      <c r="A4" s="13" t="s">
        <v>29</v>
      </c>
      <c r="C4" s="28">
        <v>799</v>
      </c>
    </row>
    <row r="5" spans="1:8" ht="21" x14ac:dyDescent="0.35">
      <c r="A5" s="2" t="s">
        <v>2</v>
      </c>
      <c r="C5" t="s">
        <v>232</v>
      </c>
    </row>
    <row r="7" spans="1:8" ht="18.75" x14ac:dyDescent="0.3">
      <c r="A7" s="5"/>
      <c r="D7" s="4"/>
      <c r="H7" s="4"/>
    </row>
    <row r="8" spans="1:8" ht="18.75" x14ac:dyDescent="0.3">
      <c r="A8" s="5"/>
      <c r="D8" s="4"/>
      <c r="H8" s="4"/>
    </row>
    <row r="9" spans="1:8" ht="18.75" x14ac:dyDescent="0.3">
      <c r="A9" s="5" t="s">
        <v>209</v>
      </c>
      <c r="B9" s="5"/>
      <c r="C9" s="5"/>
      <c r="D9" s="4">
        <v>314221</v>
      </c>
      <c r="H9" s="4">
        <f>(D9/1.19)*0.19</f>
        <v>50169.73949579832</v>
      </c>
    </row>
    <row r="10" spans="1:8" ht="18.75" x14ac:dyDescent="0.3">
      <c r="A10" s="5"/>
      <c r="B10" s="5"/>
      <c r="C10" s="5"/>
      <c r="D10" s="4"/>
      <c r="H10" s="4"/>
    </row>
    <row r="11" spans="1:8" ht="18.75" x14ac:dyDescent="0.3">
      <c r="B11" s="5"/>
      <c r="C11" s="5"/>
      <c r="D11" s="4"/>
      <c r="H11" s="4"/>
    </row>
    <row r="12" spans="1:8" ht="18.75" x14ac:dyDescent="0.3">
      <c r="A12" s="5"/>
      <c r="B12" s="5"/>
      <c r="C12" s="5"/>
      <c r="D12" s="4"/>
      <c r="H12" s="4"/>
    </row>
    <row r="13" spans="1:8" ht="19.5" thickBot="1" x14ac:dyDescent="0.35">
      <c r="A13" s="5"/>
      <c r="B13" s="5"/>
      <c r="C13" s="5"/>
      <c r="D13" s="35"/>
      <c r="E13" s="27"/>
      <c r="H13" s="35"/>
    </row>
    <row r="14" spans="1:8" ht="19.5" thickTop="1" x14ac:dyDescent="0.3">
      <c r="D14" s="4">
        <f>SUM(D7:D13)</f>
        <v>314221</v>
      </c>
      <c r="H14" s="33">
        <f>SUM(H7:H13)</f>
        <v>50169.73949579832</v>
      </c>
    </row>
    <row r="16" spans="1:8" ht="18.75" x14ac:dyDescent="0.3">
      <c r="C16" t="s">
        <v>4</v>
      </c>
      <c r="D16" s="4">
        <f>D3-D14</f>
        <v>99899</v>
      </c>
      <c r="G16" t="s">
        <v>5</v>
      </c>
      <c r="H16" s="4">
        <f>H3-H14</f>
        <v>15950.26050420168</v>
      </c>
    </row>
    <row r="18" spans="1:8" x14ac:dyDescent="0.25">
      <c r="G18" t="s">
        <v>454</v>
      </c>
    </row>
    <row r="19" spans="1:8" ht="15.75" x14ac:dyDescent="0.25">
      <c r="A19" t="s">
        <v>6</v>
      </c>
      <c r="C19" s="8">
        <f>D16</f>
        <v>99899</v>
      </c>
      <c r="E19" t="s">
        <v>10</v>
      </c>
      <c r="H19" s="6">
        <f>C28</f>
        <v>82292.259495798324</v>
      </c>
    </row>
    <row r="21" spans="1:8" ht="15.75" x14ac:dyDescent="0.25">
      <c r="A21" t="s">
        <v>5</v>
      </c>
      <c r="B21" s="9" t="s">
        <v>7</v>
      </c>
      <c r="C21" s="8">
        <f>H16</f>
        <v>15950.26050420168</v>
      </c>
      <c r="E21" s="13" t="s">
        <v>11</v>
      </c>
      <c r="F21" s="9" t="s">
        <v>12</v>
      </c>
      <c r="G21" s="15" t="s">
        <v>17</v>
      </c>
      <c r="H21" s="3">
        <f>-(F22*0.0077)</f>
        <v>-2679.6</v>
      </c>
    </row>
    <row r="22" spans="1:8" x14ac:dyDescent="0.25">
      <c r="F22" s="21">
        <f>D3-H3</f>
        <v>348000</v>
      </c>
    </row>
    <row r="23" spans="1:8" ht="16.5" thickBot="1" x14ac:dyDescent="0.3">
      <c r="A23" t="s">
        <v>8</v>
      </c>
      <c r="B23" s="9" t="s">
        <v>7</v>
      </c>
      <c r="C23" s="8">
        <f>D3*0.004</f>
        <v>1656.48</v>
      </c>
      <c r="F23" s="9" t="s">
        <v>13</v>
      </c>
      <c r="G23" s="16">
        <v>0.35</v>
      </c>
      <c r="H23" s="17">
        <f>-(F24*0.35)</f>
        <v>-28802.290823529413</v>
      </c>
    </row>
    <row r="24" spans="1:8" x14ac:dyDescent="0.25">
      <c r="F24" s="21">
        <f>H19</f>
        <v>82292.259495798324</v>
      </c>
    </row>
    <row r="25" spans="1:8" ht="15.75" x14ac:dyDescent="0.25">
      <c r="A25" t="s">
        <v>9</v>
      </c>
      <c r="B25" s="9" t="s">
        <v>7</v>
      </c>
      <c r="C25" s="10"/>
      <c r="G25" s="13" t="s">
        <v>14</v>
      </c>
      <c r="H25" s="6">
        <f>H19+H21+H23</f>
        <v>50810.368672268902</v>
      </c>
    </row>
    <row r="26" spans="1:8" ht="15.75" thickBot="1" x14ac:dyDescent="0.3">
      <c r="A26" s="16"/>
      <c r="B26" s="14"/>
      <c r="C26" s="7"/>
    </row>
    <row r="27" spans="1:8" x14ac:dyDescent="0.25">
      <c r="E27" t="s">
        <v>100</v>
      </c>
      <c r="H27" s="20">
        <f>H25*0.4</f>
        <v>20324.147468907562</v>
      </c>
    </row>
    <row r="28" spans="1:8" ht="15.75" x14ac:dyDescent="0.25">
      <c r="A28" t="s">
        <v>10</v>
      </c>
      <c r="C28" s="10">
        <f>C19-C21-C23-C25</f>
        <v>82292.259495798324</v>
      </c>
      <c r="H28" s="18"/>
    </row>
    <row r="29" spans="1:8" x14ac:dyDescent="0.25">
      <c r="H29" s="3"/>
    </row>
    <row r="30" spans="1:8" x14ac:dyDescent="0.25">
      <c r="H30" s="18"/>
    </row>
  </sheetData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75C9E-4CC9-4AAC-843B-5F207AB51229}">
  <dimension ref="A1:H30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604</v>
      </c>
    </row>
    <row r="3" spans="1:8" ht="21" x14ac:dyDescent="0.35">
      <c r="A3" s="2" t="s">
        <v>1</v>
      </c>
      <c r="D3" s="11">
        <v>1047438</v>
      </c>
      <c r="F3" s="12" t="s">
        <v>3</v>
      </c>
      <c r="H3" s="11">
        <f>(D3/1.19)*0.19</f>
        <v>167238</v>
      </c>
    </row>
    <row r="4" spans="1:8" x14ac:dyDescent="0.25">
      <c r="A4" s="13" t="s">
        <v>29</v>
      </c>
      <c r="C4" s="28">
        <v>801</v>
      </c>
    </row>
    <row r="5" spans="1:8" ht="21" x14ac:dyDescent="0.35">
      <c r="A5" s="2" t="s">
        <v>2</v>
      </c>
      <c r="C5" t="s">
        <v>232</v>
      </c>
    </row>
    <row r="7" spans="1:8" ht="18.75" x14ac:dyDescent="0.3">
      <c r="A7" s="5"/>
      <c r="D7" s="4"/>
      <c r="H7" s="4"/>
    </row>
    <row r="8" spans="1:8" ht="18.75" x14ac:dyDescent="0.3">
      <c r="A8" s="5"/>
      <c r="D8" s="4"/>
      <c r="H8" s="4"/>
    </row>
    <row r="9" spans="1:8" ht="18.75" x14ac:dyDescent="0.3">
      <c r="A9" s="5" t="s">
        <v>605</v>
      </c>
      <c r="B9" s="5"/>
      <c r="C9" s="5"/>
      <c r="D9" s="4">
        <v>765408</v>
      </c>
      <c r="H9" s="4">
        <f>(D9/1.19)*0.19</f>
        <v>122208</v>
      </c>
    </row>
    <row r="10" spans="1:8" ht="18.75" x14ac:dyDescent="0.3">
      <c r="A10" s="5"/>
      <c r="B10" s="5"/>
      <c r="C10" s="5"/>
      <c r="D10" s="4"/>
      <c r="H10" s="4"/>
    </row>
    <row r="11" spans="1:8" ht="18.75" x14ac:dyDescent="0.3">
      <c r="B11" s="5"/>
      <c r="C11" s="5"/>
      <c r="D11" s="4"/>
      <c r="H11" s="4"/>
    </row>
    <row r="12" spans="1:8" ht="18.75" x14ac:dyDescent="0.3">
      <c r="A12" s="5"/>
      <c r="B12" s="5"/>
      <c r="C12" s="5"/>
      <c r="D12" s="4"/>
      <c r="H12" s="4"/>
    </row>
    <row r="13" spans="1:8" ht="19.5" thickBot="1" x14ac:dyDescent="0.35">
      <c r="A13" s="5"/>
      <c r="B13" s="5"/>
      <c r="C13" s="5"/>
      <c r="D13" s="35"/>
      <c r="E13" s="27"/>
      <c r="H13" s="35"/>
    </row>
    <row r="14" spans="1:8" ht="19.5" thickTop="1" x14ac:dyDescent="0.3">
      <c r="D14" s="4">
        <f>SUM(D7:D13)</f>
        <v>765408</v>
      </c>
      <c r="H14" s="33">
        <f>SUM(H7:H13)</f>
        <v>122208</v>
      </c>
    </row>
    <row r="16" spans="1:8" ht="18.75" x14ac:dyDescent="0.3">
      <c r="C16" t="s">
        <v>4</v>
      </c>
      <c r="D16" s="4">
        <f>D3-D14</f>
        <v>282030</v>
      </c>
      <c r="G16" t="s">
        <v>5</v>
      </c>
      <c r="H16" s="4">
        <f>H3-H14</f>
        <v>45030</v>
      </c>
    </row>
    <row r="18" spans="1:8" x14ac:dyDescent="0.25">
      <c r="G18" t="s">
        <v>454</v>
      </c>
    </row>
    <row r="19" spans="1:8" ht="15.75" x14ac:dyDescent="0.25">
      <c r="A19" t="s">
        <v>6</v>
      </c>
      <c r="C19" s="8">
        <f>D16</f>
        <v>282030</v>
      </c>
      <c r="E19" t="s">
        <v>10</v>
      </c>
      <c r="H19" s="6">
        <f>C28</f>
        <v>232810.24799999999</v>
      </c>
    </row>
    <row r="21" spans="1:8" ht="15.75" x14ac:dyDescent="0.25">
      <c r="A21" t="s">
        <v>5</v>
      </c>
      <c r="B21" s="9" t="s">
        <v>7</v>
      </c>
      <c r="C21" s="8">
        <f>H16</f>
        <v>45030</v>
      </c>
      <c r="E21" s="13" t="s">
        <v>11</v>
      </c>
      <c r="F21" s="9" t="s">
        <v>12</v>
      </c>
      <c r="G21" s="15" t="s">
        <v>17</v>
      </c>
      <c r="H21" s="3">
        <f>-(F22*0.0077)</f>
        <v>-6777.54</v>
      </c>
    </row>
    <row r="22" spans="1:8" x14ac:dyDescent="0.25">
      <c r="F22" s="21">
        <f>D3-H3</f>
        <v>880200</v>
      </c>
    </row>
    <row r="23" spans="1:8" ht="16.5" thickBot="1" x14ac:dyDescent="0.3">
      <c r="A23" t="s">
        <v>8</v>
      </c>
      <c r="B23" s="9" t="s">
        <v>7</v>
      </c>
      <c r="C23" s="8">
        <f>D3*0.004</f>
        <v>4189.7520000000004</v>
      </c>
      <c r="F23" s="9" t="s">
        <v>13</v>
      </c>
      <c r="G23" s="16">
        <v>0.35</v>
      </c>
      <c r="H23" s="17">
        <f>-(F24*0.35)</f>
        <v>-81483.58679999999</v>
      </c>
    </row>
    <row r="24" spans="1:8" x14ac:dyDescent="0.25">
      <c r="F24" s="21">
        <f>H19</f>
        <v>232810.24799999999</v>
      </c>
    </row>
    <row r="25" spans="1:8" ht="15.75" x14ac:dyDescent="0.25">
      <c r="A25" t="s">
        <v>9</v>
      </c>
      <c r="B25" s="9" t="s">
        <v>7</v>
      </c>
      <c r="C25" s="10"/>
      <c r="G25" s="13" t="s">
        <v>14</v>
      </c>
      <c r="H25" s="6">
        <f>H19+H21+H23</f>
        <v>144549.12119999999</v>
      </c>
    </row>
    <row r="26" spans="1:8" ht="15.75" thickBot="1" x14ac:dyDescent="0.3">
      <c r="A26" s="16"/>
      <c r="B26" s="14"/>
      <c r="C26" s="7"/>
    </row>
    <row r="27" spans="1:8" x14ac:dyDescent="0.25">
      <c r="E27" t="s">
        <v>100</v>
      </c>
      <c r="H27" s="20">
        <f>H25*0.4</f>
        <v>57819.648480000003</v>
      </c>
    </row>
    <row r="28" spans="1:8" ht="15.75" x14ac:dyDescent="0.25">
      <c r="A28" t="s">
        <v>10</v>
      </c>
      <c r="C28" s="10">
        <f>C19-C21-C23-C25</f>
        <v>232810.24799999999</v>
      </c>
      <c r="H28" s="18"/>
    </row>
    <row r="29" spans="1:8" x14ac:dyDescent="0.25">
      <c r="H29" s="3"/>
    </row>
    <row r="30" spans="1:8" x14ac:dyDescent="0.25">
      <c r="H30" s="18"/>
    </row>
  </sheetData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7E0EC-4402-40EF-9442-3919DE6CB9DC}">
  <dimension ref="A1:H30"/>
  <sheetViews>
    <sheetView zoomScale="115" zoomScaleNormal="115"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317</v>
      </c>
    </row>
    <row r="3" spans="1:8" ht="21" x14ac:dyDescent="0.35">
      <c r="A3" s="2" t="s">
        <v>1</v>
      </c>
      <c r="D3" s="11">
        <v>19040</v>
      </c>
      <c r="F3" s="12" t="s">
        <v>3</v>
      </c>
      <c r="H3" s="11">
        <f>(D3/1.19)*0.19</f>
        <v>3040</v>
      </c>
    </row>
    <row r="4" spans="1:8" x14ac:dyDescent="0.25">
      <c r="A4" s="13" t="s">
        <v>29</v>
      </c>
      <c r="C4" s="28">
        <v>802</v>
      </c>
    </row>
    <row r="5" spans="1:8" ht="21" x14ac:dyDescent="0.35">
      <c r="A5" s="2" t="s">
        <v>2</v>
      </c>
      <c r="C5" t="s">
        <v>232</v>
      </c>
    </row>
    <row r="7" spans="1:8" ht="18.75" x14ac:dyDescent="0.3">
      <c r="A7" s="5"/>
      <c r="D7" s="4"/>
      <c r="H7" s="4"/>
    </row>
    <row r="8" spans="1:8" ht="18.75" x14ac:dyDescent="0.3">
      <c r="A8" s="5"/>
      <c r="D8" s="4"/>
      <c r="H8" s="4"/>
    </row>
    <row r="9" spans="1:8" ht="18.75" x14ac:dyDescent="0.3">
      <c r="A9" s="5" t="s">
        <v>167</v>
      </c>
      <c r="B9" s="5"/>
      <c r="C9" s="5"/>
      <c r="D9" s="4">
        <v>11600</v>
      </c>
      <c r="H9" s="4">
        <f>(D9/1.19)*0.19</f>
        <v>1852.1008403361345</v>
      </c>
    </row>
    <row r="10" spans="1:8" ht="18.75" x14ac:dyDescent="0.3">
      <c r="A10" s="5"/>
      <c r="B10" s="5"/>
      <c r="C10" s="5"/>
      <c r="D10" s="4"/>
      <c r="H10" s="4"/>
    </row>
    <row r="11" spans="1:8" ht="18.75" x14ac:dyDescent="0.3">
      <c r="B11" s="5"/>
      <c r="C11" s="5"/>
      <c r="D11" s="4"/>
      <c r="H11" s="4"/>
    </row>
    <row r="12" spans="1:8" ht="18.75" x14ac:dyDescent="0.3">
      <c r="A12" s="5"/>
      <c r="B12" s="5"/>
      <c r="C12" s="5"/>
      <c r="D12" s="4"/>
      <c r="H12" s="4"/>
    </row>
    <row r="13" spans="1:8" ht="19.5" thickBot="1" x14ac:dyDescent="0.35">
      <c r="A13" s="5"/>
      <c r="B13" s="5"/>
      <c r="C13" s="5"/>
      <c r="D13" s="35"/>
      <c r="E13" s="27"/>
      <c r="H13" s="35"/>
    </row>
    <row r="14" spans="1:8" ht="19.5" thickTop="1" x14ac:dyDescent="0.3">
      <c r="D14" s="4">
        <f>SUM(D7:D13)</f>
        <v>11600</v>
      </c>
      <c r="H14" s="33">
        <f>SUM(H7:H13)</f>
        <v>1852.1008403361345</v>
      </c>
    </row>
    <row r="16" spans="1:8" ht="18.75" x14ac:dyDescent="0.3">
      <c r="C16" t="s">
        <v>4</v>
      </c>
      <c r="D16" s="4">
        <f>D3-D14</f>
        <v>7440</v>
      </c>
      <c r="G16" t="s">
        <v>5</v>
      </c>
      <c r="H16" s="4">
        <f>H3-H14</f>
        <v>1187.8991596638655</v>
      </c>
    </row>
    <row r="18" spans="1:8" x14ac:dyDescent="0.25">
      <c r="G18" t="s">
        <v>454</v>
      </c>
    </row>
    <row r="19" spans="1:8" ht="15.75" x14ac:dyDescent="0.25">
      <c r="A19" t="s">
        <v>6</v>
      </c>
      <c r="C19" s="8">
        <f>D16</f>
        <v>7440</v>
      </c>
      <c r="E19" t="s">
        <v>10</v>
      </c>
      <c r="H19" s="6">
        <f>C28</f>
        <v>6175.9408403361349</v>
      </c>
    </row>
    <row r="21" spans="1:8" ht="15.75" x14ac:dyDescent="0.25">
      <c r="A21" t="s">
        <v>5</v>
      </c>
      <c r="B21" s="9" t="s">
        <v>7</v>
      </c>
      <c r="C21" s="8">
        <f>H16</f>
        <v>1187.8991596638655</v>
      </c>
      <c r="E21" s="13" t="s">
        <v>11</v>
      </c>
      <c r="F21" s="9" t="s">
        <v>12</v>
      </c>
      <c r="G21" s="15" t="s">
        <v>17</v>
      </c>
      <c r="H21" s="3">
        <f>-(F22*0.0077)</f>
        <v>-123.2</v>
      </c>
    </row>
    <row r="22" spans="1:8" x14ac:dyDescent="0.25">
      <c r="F22" s="21">
        <f>D3-H3</f>
        <v>16000</v>
      </c>
    </row>
    <row r="23" spans="1:8" ht="16.5" thickBot="1" x14ac:dyDescent="0.3">
      <c r="A23" t="s">
        <v>8</v>
      </c>
      <c r="B23" s="9" t="s">
        <v>7</v>
      </c>
      <c r="C23" s="8">
        <f>D3*0.004</f>
        <v>76.16</v>
      </c>
      <c r="F23" s="9" t="s">
        <v>13</v>
      </c>
      <c r="G23" s="16">
        <v>0.35</v>
      </c>
      <c r="H23" s="17">
        <f>-(F24*0.35)</f>
        <v>-2161.5792941176469</v>
      </c>
    </row>
    <row r="24" spans="1:8" x14ac:dyDescent="0.25">
      <c r="F24" s="21">
        <f>H19</f>
        <v>6175.9408403361349</v>
      </c>
    </row>
    <row r="25" spans="1:8" ht="15.75" x14ac:dyDescent="0.25">
      <c r="A25" t="s">
        <v>9</v>
      </c>
      <c r="B25" s="9" t="s">
        <v>7</v>
      </c>
      <c r="C25" s="10"/>
      <c r="G25" s="13" t="s">
        <v>14</v>
      </c>
      <c r="H25" s="6">
        <f>H19+H21+H23</f>
        <v>3891.1615462184882</v>
      </c>
    </row>
    <row r="26" spans="1:8" ht="15.75" thickBot="1" x14ac:dyDescent="0.3">
      <c r="A26" s="16"/>
      <c r="B26" s="14"/>
      <c r="C26" s="7"/>
    </row>
    <row r="27" spans="1:8" x14ac:dyDescent="0.25">
      <c r="E27" t="s">
        <v>100</v>
      </c>
      <c r="H27" s="20">
        <f>H25*0.4</f>
        <v>1556.4646184873955</v>
      </c>
    </row>
    <row r="28" spans="1:8" ht="15.75" x14ac:dyDescent="0.25">
      <c r="A28" t="s">
        <v>10</v>
      </c>
      <c r="C28" s="10">
        <f>C19-C21-C23-C25</f>
        <v>6175.9408403361349</v>
      </c>
      <c r="H28" s="18"/>
    </row>
    <row r="29" spans="1:8" x14ac:dyDescent="0.25">
      <c r="H29" s="3"/>
    </row>
    <row r="30" spans="1:8" x14ac:dyDescent="0.25">
      <c r="H30" s="18"/>
    </row>
  </sheetData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27D79-FD71-4E9D-95E1-AB0B013BCD91}">
  <dimension ref="A1:H30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574</v>
      </c>
    </row>
    <row r="3" spans="1:8" ht="21" x14ac:dyDescent="0.35">
      <c r="A3" s="2" t="s">
        <v>1</v>
      </c>
      <c r="D3" s="11">
        <v>27322400</v>
      </c>
      <c r="F3" s="12" t="s">
        <v>3</v>
      </c>
      <c r="H3" s="11">
        <f>(D3/1.19)*0.19</f>
        <v>4362400</v>
      </c>
    </row>
    <row r="4" spans="1:8" x14ac:dyDescent="0.25">
      <c r="A4" s="13" t="s">
        <v>29</v>
      </c>
      <c r="C4" s="28">
        <v>803</v>
      </c>
    </row>
    <row r="5" spans="1:8" ht="21" x14ac:dyDescent="0.35">
      <c r="A5" s="2" t="s">
        <v>2</v>
      </c>
      <c r="C5" t="s">
        <v>232</v>
      </c>
    </row>
    <row r="7" spans="1:8" ht="18.75" x14ac:dyDescent="0.3">
      <c r="A7" s="5"/>
      <c r="D7" s="4"/>
      <c r="H7" s="4"/>
    </row>
    <row r="8" spans="1:8" ht="18.75" x14ac:dyDescent="0.3">
      <c r="A8" s="5"/>
      <c r="D8" s="4"/>
      <c r="H8" s="4"/>
    </row>
    <row r="9" spans="1:8" ht="18.75" x14ac:dyDescent="0.3">
      <c r="A9" s="5" t="s">
        <v>514</v>
      </c>
      <c r="B9" s="5"/>
      <c r="C9" s="5"/>
      <c r="D9" s="4">
        <v>20651987</v>
      </c>
      <c r="H9" s="4">
        <f>(D9/1.19)*0.19</f>
        <v>3297376.0756302522</v>
      </c>
    </row>
    <row r="10" spans="1:8" ht="18.75" x14ac:dyDescent="0.3">
      <c r="A10" s="5"/>
      <c r="B10" s="5"/>
      <c r="C10" s="5"/>
      <c r="D10" s="4"/>
      <c r="H10" s="4"/>
    </row>
    <row r="11" spans="1:8" ht="18.75" x14ac:dyDescent="0.3">
      <c r="B11" s="5"/>
      <c r="C11" s="5"/>
      <c r="D11" s="4"/>
      <c r="H11" s="4"/>
    </row>
    <row r="12" spans="1:8" ht="18.75" x14ac:dyDescent="0.3">
      <c r="A12" s="5"/>
      <c r="B12" s="5"/>
      <c r="C12" s="5"/>
      <c r="D12" s="4"/>
      <c r="H12" s="4"/>
    </row>
    <row r="13" spans="1:8" ht="19.5" thickBot="1" x14ac:dyDescent="0.35">
      <c r="A13" s="5"/>
      <c r="B13" s="5"/>
      <c r="C13" s="5"/>
      <c r="D13" s="35"/>
      <c r="E13" s="27"/>
      <c r="H13" s="35"/>
    </row>
    <row r="14" spans="1:8" ht="19.5" thickTop="1" x14ac:dyDescent="0.3">
      <c r="D14" s="4">
        <f>SUM(D7:D13)</f>
        <v>20651987</v>
      </c>
      <c r="H14" s="33">
        <f>SUM(H7:H13)</f>
        <v>3297376.0756302522</v>
      </c>
    </row>
    <row r="16" spans="1:8" ht="18.75" x14ac:dyDescent="0.3">
      <c r="C16" t="s">
        <v>4</v>
      </c>
      <c r="D16" s="4">
        <f>D3-D14</f>
        <v>6670413</v>
      </c>
      <c r="G16" t="s">
        <v>5</v>
      </c>
      <c r="H16" s="4">
        <f>H3-H14</f>
        <v>1065023.9243697478</v>
      </c>
    </row>
    <row r="18" spans="1:8" x14ac:dyDescent="0.25">
      <c r="G18" t="s">
        <v>454</v>
      </c>
    </row>
    <row r="19" spans="1:8" ht="15.75" x14ac:dyDescent="0.25">
      <c r="A19" t="s">
        <v>6</v>
      </c>
      <c r="C19" s="8">
        <f>D16</f>
        <v>6670413</v>
      </c>
      <c r="E19" t="s">
        <v>10</v>
      </c>
      <c r="H19" s="6">
        <f>C28</f>
        <v>5496099.4756302526</v>
      </c>
    </row>
    <row r="21" spans="1:8" ht="15.75" x14ac:dyDescent="0.25">
      <c r="A21" t="s">
        <v>5</v>
      </c>
      <c r="B21" s="9" t="s">
        <v>7</v>
      </c>
      <c r="C21" s="8">
        <f>H16</f>
        <v>1065023.9243697478</v>
      </c>
      <c r="E21" s="13" t="s">
        <v>11</v>
      </c>
      <c r="F21" s="9" t="s">
        <v>12</v>
      </c>
      <c r="G21" s="15" t="s">
        <v>17</v>
      </c>
      <c r="H21" s="3">
        <f>-(F22*0.0077)</f>
        <v>-176792</v>
      </c>
    </row>
    <row r="22" spans="1:8" x14ac:dyDescent="0.25">
      <c r="F22" s="21">
        <f>D3-H3</f>
        <v>22960000</v>
      </c>
    </row>
    <row r="23" spans="1:8" ht="16.5" thickBot="1" x14ac:dyDescent="0.3">
      <c r="A23" t="s">
        <v>8</v>
      </c>
      <c r="B23" s="9" t="s">
        <v>7</v>
      </c>
      <c r="C23" s="8">
        <f>D3*0.004</f>
        <v>109289.60000000001</v>
      </c>
      <c r="F23" s="9" t="s">
        <v>13</v>
      </c>
      <c r="G23" s="16">
        <v>0.35</v>
      </c>
      <c r="H23" s="17">
        <f>-(F24*0.35)</f>
        <v>-1923634.8164705883</v>
      </c>
    </row>
    <row r="24" spans="1:8" x14ac:dyDescent="0.25">
      <c r="F24" s="21">
        <f>H19</f>
        <v>5496099.4756302526</v>
      </c>
    </row>
    <row r="25" spans="1:8" ht="15.75" x14ac:dyDescent="0.25">
      <c r="A25" t="s">
        <v>9</v>
      </c>
      <c r="B25" s="9" t="s">
        <v>7</v>
      </c>
      <c r="C25" s="10"/>
      <c r="G25" s="13" t="s">
        <v>14</v>
      </c>
      <c r="H25" s="6">
        <f>H19+H21+H23</f>
        <v>3395672.6591596641</v>
      </c>
    </row>
    <row r="26" spans="1:8" ht="15.75" thickBot="1" x14ac:dyDescent="0.3">
      <c r="A26" s="16"/>
      <c r="B26" s="14"/>
      <c r="C26" s="7"/>
    </row>
    <row r="27" spans="1:8" x14ac:dyDescent="0.25">
      <c r="E27" t="s">
        <v>100</v>
      </c>
      <c r="H27" s="20">
        <f>H25*0.4</f>
        <v>1358269.0636638657</v>
      </c>
    </row>
    <row r="28" spans="1:8" ht="15.75" x14ac:dyDescent="0.25">
      <c r="A28" t="s">
        <v>10</v>
      </c>
      <c r="C28" s="10">
        <f>C19-C21-C23-C25</f>
        <v>5496099.4756302526</v>
      </c>
      <c r="H28" s="18"/>
    </row>
    <row r="29" spans="1:8" x14ac:dyDescent="0.25">
      <c r="H29" s="3"/>
    </row>
    <row r="30" spans="1:8" x14ac:dyDescent="0.25">
      <c r="H30" s="18"/>
    </row>
  </sheetData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A7EE1-02E3-42B1-B2E7-F4EC4ACA13D3}">
  <dimension ref="A1:H30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574</v>
      </c>
    </row>
    <row r="3" spans="1:8" ht="21" x14ac:dyDescent="0.35">
      <c r="A3" s="2" t="s">
        <v>1</v>
      </c>
      <c r="D3" s="11">
        <v>115192</v>
      </c>
      <c r="F3" s="12" t="s">
        <v>3</v>
      </c>
      <c r="H3" s="11">
        <f>(D3/1.19)*0.19</f>
        <v>18392</v>
      </c>
    </row>
    <row r="4" spans="1:8" x14ac:dyDescent="0.25">
      <c r="A4" s="13" t="s">
        <v>29</v>
      </c>
      <c r="C4" s="28">
        <v>805</v>
      </c>
    </row>
    <row r="5" spans="1:8" ht="21" x14ac:dyDescent="0.35">
      <c r="A5" s="2" t="s">
        <v>2</v>
      </c>
      <c r="C5" t="s">
        <v>232</v>
      </c>
    </row>
    <row r="7" spans="1:8" ht="18.75" x14ac:dyDescent="0.3">
      <c r="A7" s="5"/>
      <c r="D7" s="4"/>
      <c r="H7" s="4"/>
    </row>
    <row r="8" spans="1:8" ht="18.75" x14ac:dyDescent="0.3">
      <c r="A8" s="5" t="s">
        <v>562</v>
      </c>
      <c r="D8" s="4">
        <v>12000</v>
      </c>
      <c r="H8" s="4"/>
    </row>
    <row r="9" spans="1:8" ht="18.75" x14ac:dyDescent="0.3">
      <c r="A9" s="5" t="s">
        <v>397</v>
      </c>
      <c r="B9" s="5"/>
      <c r="C9" s="5"/>
      <c r="D9" s="4">
        <v>17000</v>
      </c>
      <c r="H9" s="4">
        <f>(D9/1.19)*0.19</f>
        <v>2714.2857142857142</v>
      </c>
    </row>
    <row r="10" spans="1:8" ht="18.75" x14ac:dyDescent="0.3">
      <c r="A10" s="5" t="s">
        <v>167</v>
      </c>
      <c r="B10" s="5"/>
      <c r="C10" s="5"/>
      <c r="D10" s="4">
        <v>33380</v>
      </c>
      <c r="H10" s="4">
        <f>(D10/1.19)*0.19</f>
        <v>5329.5798319327732</v>
      </c>
    </row>
    <row r="11" spans="1:8" ht="18.75" x14ac:dyDescent="0.3">
      <c r="B11" s="5"/>
      <c r="C11" s="5"/>
      <c r="D11" s="4"/>
      <c r="H11" s="4"/>
    </row>
    <row r="12" spans="1:8" ht="18.75" x14ac:dyDescent="0.3">
      <c r="A12" s="5"/>
      <c r="B12" s="5"/>
      <c r="C12" s="5"/>
      <c r="D12" s="4"/>
      <c r="H12" s="4"/>
    </row>
    <row r="13" spans="1:8" ht="19.5" thickBot="1" x14ac:dyDescent="0.35">
      <c r="A13" s="5"/>
      <c r="B13" s="5"/>
      <c r="C13" s="5"/>
      <c r="D13" s="35"/>
      <c r="E13" s="27"/>
      <c r="H13" s="35"/>
    </row>
    <row r="14" spans="1:8" ht="19.5" thickTop="1" x14ac:dyDescent="0.3">
      <c r="D14" s="4">
        <f>SUM(D7:D13)</f>
        <v>62380</v>
      </c>
      <c r="H14" s="33">
        <f>SUM(H7:H13)</f>
        <v>8043.865546218487</v>
      </c>
    </row>
    <row r="16" spans="1:8" ht="18.75" x14ac:dyDescent="0.3">
      <c r="C16" t="s">
        <v>4</v>
      </c>
      <c r="D16" s="4">
        <f>D3-D14</f>
        <v>52812</v>
      </c>
      <c r="G16" t="s">
        <v>5</v>
      </c>
      <c r="H16" s="4">
        <f>H3-H14</f>
        <v>10348.134453781513</v>
      </c>
    </row>
    <row r="18" spans="1:8" x14ac:dyDescent="0.25">
      <c r="G18" t="s">
        <v>454</v>
      </c>
    </row>
    <row r="19" spans="1:8" ht="15.75" x14ac:dyDescent="0.25">
      <c r="A19" t="s">
        <v>6</v>
      </c>
      <c r="C19" s="8">
        <f>D16</f>
        <v>52812</v>
      </c>
      <c r="E19" t="s">
        <v>10</v>
      </c>
      <c r="H19" s="6">
        <f>C28</f>
        <v>42003.097546218487</v>
      </c>
    </row>
    <row r="21" spans="1:8" ht="15.75" x14ac:dyDescent="0.25">
      <c r="A21" t="s">
        <v>5</v>
      </c>
      <c r="B21" s="9" t="s">
        <v>7</v>
      </c>
      <c r="C21" s="8">
        <f>H16</f>
        <v>10348.134453781513</v>
      </c>
      <c r="E21" s="13" t="s">
        <v>11</v>
      </c>
      <c r="F21" s="9" t="s">
        <v>12</v>
      </c>
      <c r="G21" s="15" t="s">
        <v>17</v>
      </c>
      <c r="H21" s="3">
        <f>-(F22*0.0077)</f>
        <v>-745.36</v>
      </c>
    </row>
    <row r="22" spans="1:8" x14ac:dyDescent="0.25">
      <c r="F22" s="21">
        <f>D3-H3</f>
        <v>96800</v>
      </c>
    </row>
    <row r="23" spans="1:8" ht="16.5" thickBot="1" x14ac:dyDescent="0.3">
      <c r="A23" t="s">
        <v>8</v>
      </c>
      <c r="B23" s="9" t="s">
        <v>7</v>
      </c>
      <c r="C23" s="8">
        <f>D3*0.004</f>
        <v>460.76800000000003</v>
      </c>
      <c r="F23" s="9" t="s">
        <v>13</v>
      </c>
      <c r="G23" s="16">
        <v>0.35</v>
      </c>
      <c r="H23" s="17">
        <f>-(F24*0.35)</f>
        <v>-14701.084141176469</v>
      </c>
    </row>
    <row r="24" spans="1:8" x14ac:dyDescent="0.25">
      <c r="F24" s="21">
        <f>H19</f>
        <v>42003.097546218487</v>
      </c>
    </row>
    <row r="25" spans="1:8" ht="15.75" x14ac:dyDescent="0.25">
      <c r="A25" t="s">
        <v>9</v>
      </c>
      <c r="B25" s="9" t="s">
        <v>7</v>
      </c>
      <c r="C25" s="10"/>
      <c r="G25" s="13" t="s">
        <v>14</v>
      </c>
      <c r="H25" s="6">
        <f>H19+H21+H23</f>
        <v>26556.653405042016</v>
      </c>
    </row>
    <row r="26" spans="1:8" ht="15.75" thickBot="1" x14ac:dyDescent="0.3">
      <c r="A26" s="16"/>
      <c r="B26" s="14"/>
      <c r="C26" s="7"/>
    </row>
    <row r="27" spans="1:8" x14ac:dyDescent="0.25">
      <c r="E27" t="s">
        <v>100</v>
      </c>
      <c r="H27" s="20">
        <f>H25*0.4</f>
        <v>10622.661362016806</v>
      </c>
    </row>
    <row r="28" spans="1:8" ht="15.75" x14ac:dyDescent="0.25">
      <c r="A28" t="s">
        <v>10</v>
      </c>
      <c r="C28" s="10">
        <f>C19-C21-C23-C25</f>
        <v>42003.097546218487</v>
      </c>
      <c r="H28" s="18"/>
    </row>
    <row r="29" spans="1:8" x14ac:dyDescent="0.25">
      <c r="H29" s="3"/>
    </row>
    <row r="30" spans="1:8" x14ac:dyDescent="0.25">
      <c r="H30" s="18"/>
    </row>
  </sheetData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AD265-BE85-43A3-8000-6A7CB282702C}">
  <dimension ref="A1:H30"/>
  <sheetViews>
    <sheetView topLeftCell="A4"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574</v>
      </c>
    </row>
    <row r="3" spans="1:8" ht="21" x14ac:dyDescent="0.35">
      <c r="A3" s="2" t="s">
        <v>1</v>
      </c>
      <c r="D3" s="11">
        <v>2090830</v>
      </c>
      <c r="F3" s="12" t="s">
        <v>3</v>
      </c>
      <c r="H3" s="11">
        <f>(D3/1.19)*0.19</f>
        <v>333830</v>
      </c>
    </row>
    <row r="4" spans="1:8" x14ac:dyDescent="0.25">
      <c r="A4" s="13" t="s">
        <v>29</v>
      </c>
      <c r="C4" s="28">
        <v>806</v>
      </c>
    </row>
    <row r="5" spans="1:8" ht="21" x14ac:dyDescent="0.35">
      <c r="A5" s="2" t="s">
        <v>2</v>
      </c>
      <c r="C5" t="s">
        <v>232</v>
      </c>
    </row>
    <row r="7" spans="1:8" ht="18.75" x14ac:dyDescent="0.3">
      <c r="A7" s="5" t="s">
        <v>606</v>
      </c>
      <c r="D7" s="4">
        <v>1543632</v>
      </c>
      <c r="H7" s="4">
        <f t="shared" ref="H7" si="0">(D7/1.19)*0.19</f>
        <v>246462.25210084036</v>
      </c>
    </row>
    <row r="8" spans="1:8" ht="18.75" x14ac:dyDescent="0.3">
      <c r="A8" s="5" t="s">
        <v>607</v>
      </c>
      <c r="D8" s="4">
        <v>30000</v>
      </c>
      <c r="H8" s="4">
        <v>0</v>
      </c>
    </row>
    <row r="9" spans="1:8" ht="18.75" x14ac:dyDescent="0.3">
      <c r="A9" s="5"/>
      <c r="B9" s="5"/>
      <c r="C9" s="5"/>
      <c r="D9" s="4"/>
      <c r="H9" s="4"/>
    </row>
    <row r="10" spans="1:8" ht="18.75" x14ac:dyDescent="0.3">
      <c r="A10" s="5"/>
      <c r="B10" s="5"/>
      <c r="C10" s="5"/>
      <c r="D10" s="4"/>
      <c r="H10" s="4"/>
    </row>
    <row r="11" spans="1:8" ht="18.75" x14ac:dyDescent="0.3">
      <c r="B11" s="5"/>
      <c r="C11" s="5"/>
      <c r="D11" s="4"/>
      <c r="H11" s="4"/>
    </row>
    <row r="12" spans="1:8" ht="18.75" x14ac:dyDescent="0.3">
      <c r="A12" s="5"/>
      <c r="B12" s="5"/>
      <c r="C12" s="5"/>
      <c r="D12" s="4"/>
      <c r="H12" s="4"/>
    </row>
    <row r="13" spans="1:8" ht="19.5" thickBot="1" x14ac:dyDescent="0.35">
      <c r="A13" s="5"/>
      <c r="B13" s="5"/>
      <c r="C13" s="5"/>
      <c r="D13" s="35"/>
      <c r="E13" s="27"/>
      <c r="H13" s="35"/>
    </row>
    <row r="14" spans="1:8" ht="19.5" thickTop="1" x14ac:dyDescent="0.3">
      <c r="D14" s="4">
        <f>SUM(D7:D13)</f>
        <v>1573632</v>
      </c>
      <c r="H14" s="33">
        <f>SUM(H7:H13)</f>
        <v>246462.25210084036</v>
      </c>
    </row>
    <row r="16" spans="1:8" ht="18.75" x14ac:dyDescent="0.3">
      <c r="C16" t="s">
        <v>4</v>
      </c>
      <c r="D16" s="4">
        <f>D3-D14</f>
        <v>517198</v>
      </c>
      <c r="G16" t="s">
        <v>5</v>
      </c>
      <c r="H16" s="4">
        <f>H3-H14</f>
        <v>87367.747899159644</v>
      </c>
    </row>
    <row r="18" spans="1:8" x14ac:dyDescent="0.25">
      <c r="G18" t="s">
        <v>454</v>
      </c>
    </row>
    <row r="19" spans="1:8" ht="15.75" x14ac:dyDescent="0.25">
      <c r="A19" t="s">
        <v>6</v>
      </c>
      <c r="C19" s="8">
        <f>D16</f>
        <v>517198</v>
      </c>
      <c r="E19" t="s">
        <v>10</v>
      </c>
      <c r="H19" s="6">
        <f>C28</f>
        <v>421466.93210084032</v>
      </c>
    </row>
    <row r="21" spans="1:8" ht="15.75" x14ac:dyDescent="0.25">
      <c r="A21" t="s">
        <v>5</v>
      </c>
      <c r="B21" s="9" t="s">
        <v>7</v>
      </c>
      <c r="C21" s="8">
        <f>H16</f>
        <v>87367.747899159644</v>
      </c>
      <c r="E21" s="13" t="s">
        <v>11</v>
      </c>
      <c r="F21" s="9" t="s">
        <v>12</v>
      </c>
      <c r="G21" s="15" t="s">
        <v>17</v>
      </c>
      <c r="H21" s="3">
        <f>-(F22*0.0077)</f>
        <v>-13528.9</v>
      </c>
    </row>
    <row r="22" spans="1:8" x14ac:dyDescent="0.25">
      <c r="F22" s="21">
        <f>D3-H3</f>
        <v>1757000</v>
      </c>
    </row>
    <row r="23" spans="1:8" ht="16.5" thickBot="1" x14ac:dyDescent="0.3">
      <c r="A23" t="s">
        <v>8</v>
      </c>
      <c r="B23" s="9" t="s">
        <v>7</v>
      </c>
      <c r="C23" s="8">
        <f>D3*0.004</f>
        <v>8363.32</v>
      </c>
      <c r="F23" s="9" t="s">
        <v>13</v>
      </c>
      <c r="G23" s="16">
        <v>0.35</v>
      </c>
      <c r="H23" s="17">
        <f>-(F24*0.35)</f>
        <v>-147513.42623529412</v>
      </c>
    </row>
    <row r="24" spans="1:8" x14ac:dyDescent="0.25">
      <c r="F24" s="21">
        <f>H19</f>
        <v>421466.93210084032</v>
      </c>
    </row>
    <row r="25" spans="1:8" ht="15.75" x14ac:dyDescent="0.25">
      <c r="A25" t="s">
        <v>9</v>
      </c>
      <c r="B25" s="9" t="s">
        <v>7</v>
      </c>
      <c r="C25" s="10"/>
      <c r="G25" s="13" t="s">
        <v>14</v>
      </c>
      <c r="H25" s="6">
        <f>H19+H21+H23</f>
        <v>260424.60586554618</v>
      </c>
    </row>
    <row r="26" spans="1:8" ht="15.75" thickBot="1" x14ac:dyDescent="0.3">
      <c r="A26" s="16"/>
      <c r="B26" s="14"/>
      <c r="C26" s="7"/>
    </row>
    <row r="27" spans="1:8" x14ac:dyDescent="0.25">
      <c r="E27" t="s">
        <v>100</v>
      </c>
      <c r="H27" s="20">
        <f>H25*0.4</f>
        <v>104169.84234621847</v>
      </c>
    </row>
    <row r="28" spans="1:8" ht="15.75" x14ac:dyDescent="0.25">
      <c r="A28" t="s">
        <v>10</v>
      </c>
      <c r="C28" s="10">
        <f>C19-C21-C23-C25</f>
        <v>421466.93210084032</v>
      </c>
      <c r="H28" s="18"/>
    </row>
    <row r="29" spans="1:8" x14ac:dyDescent="0.25">
      <c r="H29" s="3"/>
    </row>
    <row r="30" spans="1:8" x14ac:dyDescent="0.25">
      <c r="H30" s="18"/>
    </row>
  </sheetData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16FAF-11EE-41AB-9647-6FC9F30FFB0E}">
  <dimension ref="A1:H30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574</v>
      </c>
    </row>
    <row r="3" spans="1:8" ht="21" x14ac:dyDescent="0.35">
      <c r="A3" s="2" t="s">
        <v>1</v>
      </c>
      <c r="D3" s="11">
        <v>76755</v>
      </c>
      <c r="F3" s="12" t="s">
        <v>3</v>
      </c>
      <c r="H3" s="11">
        <f>(D3/1.19)*0.19</f>
        <v>12255</v>
      </c>
    </row>
    <row r="4" spans="1:8" x14ac:dyDescent="0.25">
      <c r="A4" s="13" t="s">
        <v>29</v>
      </c>
      <c r="C4" s="28">
        <v>807</v>
      </c>
    </row>
    <row r="5" spans="1:8" ht="21" x14ac:dyDescent="0.35">
      <c r="A5" s="2" t="s">
        <v>2</v>
      </c>
      <c r="C5" t="s">
        <v>232</v>
      </c>
    </row>
    <row r="7" spans="1:8" ht="18.75" x14ac:dyDescent="0.3">
      <c r="A7" s="5" t="s">
        <v>209</v>
      </c>
      <c r="D7" s="4">
        <v>42660</v>
      </c>
      <c r="H7" s="4">
        <f t="shared" ref="H7" si="0">(D7/1.19)*0.19</f>
        <v>6811.2605042016812</v>
      </c>
    </row>
    <row r="8" spans="1:8" ht="18.75" x14ac:dyDescent="0.3">
      <c r="A8" s="5"/>
      <c r="D8" s="4"/>
      <c r="H8" s="4"/>
    </row>
    <row r="9" spans="1:8" ht="18.75" x14ac:dyDescent="0.3">
      <c r="A9" s="5"/>
      <c r="B9" s="5"/>
      <c r="C9" s="5"/>
      <c r="D9" s="4"/>
      <c r="H9" s="4"/>
    </row>
    <row r="10" spans="1:8" ht="18.75" x14ac:dyDescent="0.3">
      <c r="A10" s="5"/>
      <c r="B10" s="5"/>
      <c r="C10" s="5"/>
      <c r="D10" s="4"/>
      <c r="H10" s="4"/>
    </row>
    <row r="11" spans="1:8" ht="18.75" x14ac:dyDescent="0.3">
      <c r="B11" s="5"/>
      <c r="C11" s="5"/>
      <c r="D11" s="4"/>
      <c r="H11" s="4"/>
    </row>
    <row r="12" spans="1:8" ht="18.75" x14ac:dyDescent="0.3">
      <c r="A12" s="5"/>
      <c r="B12" s="5"/>
      <c r="C12" s="5"/>
      <c r="D12" s="4"/>
      <c r="H12" s="4"/>
    </row>
    <row r="13" spans="1:8" ht="19.5" thickBot="1" x14ac:dyDescent="0.35">
      <c r="A13" s="5"/>
      <c r="B13" s="5"/>
      <c r="C13" s="5"/>
      <c r="D13" s="35"/>
      <c r="E13" s="27"/>
      <c r="H13" s="35"/>
    </row>
    <row r="14" spans="1:8" ht="19.5" thickTop="1" x14ac:dyDescent="0.3">
      <c r="D14" s="4">
        <f>SUM(D7:D13)</f>
        <v>42660</v>
      </c>
      <c r="H14" s="33">
        <f>SUM(H7:H13)</f>
        <v>6811.2605042016812</v>
      </c>
    </row>
    <row r="16" spans="1:8" ht="18.75" x14ac:dyDescent="0.3">
      <c r="C16" t="s">
        <v>4</v>
      </c>
      <c r="D16" s="4">
        <f>D3-D14</f>
        <v>34095</v>
      </c>
      <c r="G16" t="s">
        <v>5</v>
      </c>
      <c r="H16" s="4">
        <f>H3-H14</f>
        <v>5443.7394957983188</v>
      </c>
    </row>
    <row r="18" spans="1:8" x14ac:dyDescent="0.25">
      <c r="G18" t="s">
        <v>454</v>
      </c>
    </row>
    <row r="19" spans="1:8" ht="15.75" x14ac:dyDescent="0.25">
      <c r="A19" t="s">
        <v>6</v>
      </c>
      <c r="C19" s="8">
        <f>D16</f>
        <v>34095</v>
      </c>
      <c r="E19" t="s">
        <v>10</v>
      </c>
      <c r="H19" s="6">
        <f>C28</f>
        <v>28344.24050420168</v>
      </c>
    </row>
    <row r="21" spans="1:8" ht="15.75" x14ac:dyDescent="0.25">
      <c r="A21" t="s">
        <v>5</v>
      </c>
      <c r="B21" s="9" t="s">
        <v>7</v>
      </c>
      <c r="C21" s="8">
        <f>H16</f>
        <v>5443.7394957983188</v>
      </c>
      <c r="E21" s="13" t="s">
        <v>11</v>
      </c>
      <c r="F21" s="9" t="s">
        <v>12</v>
      </c>
      <c r="G21" s="15" t="s">
        <v>17</v>
      </c>
      <c r="H21" s="3">
        <f>-(F22*0.0077)</f>
        <v>-496.65000000000003</v>
      </c>
    </row>
    <row r="22" spans="1:8" x14ac:dyDescent="0.25">
      <c r="F22" s="21">
        <f>D3-H3</f>
        <v>64500</v>
      </c>
    </row>
    <row r="23" spans="1:8" ht="16.5" thickBot="1" x14ac:dyDescent="0.3">
      <c r="A23" t="s">
        <v>8</v>
      </c>
      <c r="B23" s="9" t="s">
        <v>7</v>
      </c>
      <c r="C23" s="8">
        <f>D3*0.004</f>
        <v>307.02</v>
      </c>
      <c r="F23" s="9" t="s">
        <v>13</v>
      </c>
      <c r="G23" s="16">
        <v>0.35</v>
      </c>
      <c r="H23" s="17">
        <f>-(F24*0.35)</f>
        <v>-9920.484176470587</v>
      </c>
    </row>
    <row r="24" spans="1:8" x14ac:dyDescent="0.25">
      <c r="F24" s="21">
        <f>H19</f>
        <v>28344.24050420168</v>
      </c>
    </row>
    <row r="25" spans="1:8" ht="15.75" x14ac:dyDescent="0.25">
      <c r="A25" t="s">
        <v>9</v>
      </c>
      <c r="B25" s="9" t="s">
        <v>7</v>
      </c>
      <c r="C25" s="10"/>
      <c r="G25" s="13" t="s">
        <v>14</v>
      </c>
      <c r="H25" s="6">
        <f>H19+H21+H23</f>
        <v>17927.10632773109</v>
      </c>
    </row>
    <row r="26" spans="1:8" ht="15.75" thickBot="1" x14ac:dyDescent="0.3">
      <c r="A26" s="16"/>
      <c r="B26" s="14"/>
      <c r="C26" s="7"/>
    </row>
    <row r="27" spans="1:8" x14ac:dyDescent="0.25">
      <c r="E27" t="s">
        <v>100</v>
      </c>
      <c r="H27" s="20">
        <f>H25*0.4</f>
        <v>7170.8425310924358</v>
      </c>
    </row>
    <row r="28" spans="1:8" ht="15.75" x14ac:dyDescent="0.25">
      <c r="A28" t="s">
        <v>10</v>
      </c>
      <c r="C28" s="10">
        <f>C19-C21-C23-C25</f>
        <v>28344.24050420168</v>
      </c>
      <c r="H28" s="18"/>
    </row>
    <row r="29" spans="1:8" x14ac:dyDescent="0.25">
      <c r="H29" s="3"/>
    </row>
    <row r="30" spans="1:8" x14ac:dyDescent="0.25">
      <c r="H30" s="18"/>
    </row>
  </sheetData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B3AE3-4897-47C2-9E2D-F8FB58636328}">
  <dimension ref="A1:H30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570</v>
      </c>
    </row>
    <row r="3" spans="1:8" ht="21" x14ac:dyDescent="0.35">
      <c r="A3" s="2" t="s">
        <v>1</v>
      </c>
      <c r="D3" s="11">
        <v>656523</v>
      </c>
      <c r="F3" s="12" t="s">
        <v>3</v>
      </c>
      <c r="H3" s="11">
        <f>(D3/1.19)*0.19</f>
        <v>104823</v>
      </c>
    </row>
    <row r="4" spans="1:8" x14ac:dyDescent="0.25">
      <c r="A4" s="13" t="s">
        <v>29</v>
      </c>
      <c r="C4" s="28">
        <v>807</v>
      </c>
    </row>
    <row r="5" spans="1:8" ht="21" x14ac:dyDescent="0.35">
      <c r="A5" s="2" t="s">
        <v>2</v>
      </c>
      <c r="C5" t="s">
        <v>232</v>
      </c>
    </row>
    <row r="7" spans="1:8" ht="18.75" x14ac:dyDescent="0.3">
      <c r="A7" s="5" t="s">
        <v>444</v>
      </c>
      <c r="D7" s="4">
        <v>52598</v>
      </c>
      <c r="H7" s="4">
        <f t="shared" ref="H7:H13" si="0">(D7/1.19)*0.19</f>
        <v>8398</v>
      </c>
    </row>
    <row r="8" spans="1:8" ht="18.75" x14ac:dyDescent="0.3">
      <c r="A8" s="5" t="s">
        <v>488</v>
      </c>
      <c r="D8" s="4">
        <v>60800</v>
      </c>
      <c r="H8" s="4">
        <f t="shared" si="0"/>
        <v>9707.5630252100855</v>
      </c>
    </row>
    <row r="9" spans="1:8" ht="18.75" x14ac:dyDescent="0.3">
      <c r="A9" s="5" t="s">
        <v>608</v>
      </c>
      <c r="B9" s="5"/>
      <c r="C9" s="5"/>
      <c r="D9" s="4">
        <v>15035</v>
      </c>
      <c r="H9" s="4">
        <f t="shared" si="0"/>
        <v>2400.546218487395</v>
      </c>
    </row>
    <row r="10" spans="1:8" ht="18.75" x14ac:dyDescent="0.3">
      <c r="A10" s="5" t="s">
        <v>592</v>
      </c>
      <c r="B10" s="5"/>
      <c r="C10" s="5"/>
      <c r="D10" s="4">
        <v>273700</v>
      </c>
      <c r="H10" s="4">
        <f t="shared" si="0"/>
        <v>43700</v>
      </c>
    </row>
    <row r="11" spans="1:8" ht="18.75" x14ac:dyDescent="0.3">
      <c r="B11" s="5"/>
      <c r="C11" s="5"/>
      <c r="D11" s="4"/>
      <c r="H11" s="4">
        <f t="shared" si="0"/>
        <v>0</v>
      </c>
    </row>
    <row r="12" spans="1:8" ht="18.75" x14ac:dyDescent="0.3">
      <c r="A12" s="5"/>
      <c r="B12" s="5"/>
      <c r="C12" s="5"/>
      <c r="D12" s="4"/>
      <c r="H12" s="4">
        <f t="shared" si="0"/>
        <v>0</v>
      </c>
    </row>
    <row r="13" spans="1:8" ht="19.5" thickBot="1" x14ac:dyDescent="0.35">
      <c r="A13" s="5"/>
      <c r="B13" s="5"/>
      <c r="C13" s="5"/>
      <c r="D13" s="35"/>
      <c r="E13" s="27"/>
      <c r="H13" s="4">
        <f t="shared" si="0"/>
        <v>0</v>
      </c>
    </row>
    <row r="14" spans="1:8" ht="19.5" thickTop="1" x14ac:dyDescent="0.3">
      <c r="D14" s="4">
        <f>SUM(D7:D13)</f>
        <v>402133</v>
      </c>
      <c r="H14" s="33">
        <f>SUM(H7:H13)</f>
        <v>64206.10924369748</v>
      </c>
    </row>
    <row r="16" spans="1:8" ht="18.75" x14ac:dyDescent="0.3">
      <c r="C16" t="s">
        <v>4</v>
      </c>
      <c r="D16" s="4">
        <f>D3-D14</f>
        <v>254390</v>
      </c>
      <c r="G16" t="s">
        <v>5</v>
      </c>
      <c r="H16" s="4">
        <f>H3-H14</f>
        <v>40616.89075630252</v>
      </c>
    </row>
    <row r="18" spans="1:8" x14ac:dyDescent="0.25">
      <c r="G18" t="s">
        <v>454</v>
      </c>
    </row>
    <row r="19" spans="1:8" ht="15.75" x14ac:dyDescent="0.25">
      <c r="A19" t="s">
        <v>6</v>
      </c>
      <c r="C19" s="8">
        <f>D16</f>
        <v>254390</v>
      </c>
      <c r="E19" t="s">
        <v>10</v>
      </c>
      <c r="H19" s="6">
        <f>C28</f>
        <v>211147.01724369748</v>
      </c>
    </row>
    <row r="21" spans="1:8" ht="15.75" x14ac:dyDescent="0.25">
      <c r="A21" t="s">
        <v>5</v>
      </c>
      <c r="B21" s="9" t="s">
        <v>7</v>
      </c>
      <c r="C21" s="8">
        <f>H16</f>
        <v>40616.89075630252</v>
      </c>
      <c r="E21" s="13" t="s">
        <v>11</v>
      </c>
      <c r="F21" s="9" t="s">
        <v>12</v>
      </c>
      <c r="G21" s="15" t="s">
        <v>17</v>
      </c>
      <c r="H21" s="3">
        <f>-(F22*0.0077)</f>
        <v>-4248.09</v>
      </c>
    </row>
    <row r="22" spans="1:8" x14ac:dyDescent="0.25">
      <c r="F22" s="21">
        <f>D3-H3</f>
        <v>551700</v>
      </c>
    </row>
    <row r="23" spans="1:8" ht="16.5" thickBot="1" x14ac:dyDescent="0.3">
      <c r="A23" t="s">
        <v>8</v>
      </c>
      <c r="B23" s="9" t="s">
        <v>7</v>
      </c>
      <c r="C23" s="8">
        <f>D3*0.004</f>
        <v>2626.0920000000001</v>
      </c>
      <c r="F23" s="9" t="s">
        <v>13</v>
      </c>
      <c r="G23" s="16">
        <v>0.35</v>
      </c>
      <c r="H23" s="17">
        <f>-(F24*0.35)</f>
        <v>-73901.456035294119</v>
      </c>
    </row>
    <row r="24" spans="1:8" x14ac:dyDescent="0.25">
      <c r="F24" s="21">
        <f>H19</f>
        <v>211147.01724369748</v>
      </c>
    </row>
    <row r="25" spans="1:8" ht="15.75" x14ac:dyDescent="0.25">
      <c r="A25" t="s">
        <v>9</v>
      </c>
      <c r="B25" s="9" t="s">
        <v>7</v>
      </c>
      <c r="C25" s="10"/>
      <c r="G25" s="13" t="s">
        <v>14</v>
      </c>
      <c r="H25" s="6">
        <f>H19+H21+H23</f>
        <v>132997.47120840335</v>
      </c>
    </row>
    <row r="26" spans="1:8" ht="15.75" thickBot="1" x14ac:dyDescent="0.3">
      <c r="A26" s="16"/>
      <c r="B26" s="14"/>
      <c r="C26" s="7"/>
    </row>
    <row r="27" spans="1:8" x14ac:dyDescent="0.25">
      <c r="E27" t="s">
        <v>100</v>
      </c>
      <c r="H27" s="20">
        <f>H25*0.4</f>
        <v>53198.988483361347</v>
      </c>
    </row>
    <row r="28" spans="1:8" ht="15.75" x14ac:dyDescent="0.25">
      <c r="A28" t="s">
        <v>10</v>
      </c>
      <c r="C28" s="10">
        <f>C19-C21-C23-C25</f>
        <v>211147.01724369748</v>
      </c>
      <c r="H28" s="18"/>
    </row>
    <row r="29" spans="1:8" x14ac:dyDescent="0.25">
      <c r="H29" s="3"/>
    </row>
    <row r="30" spans="1:8" x14ac:dyDescent="0.25">
      <c r="H30" s="18"/>
    </row>
  </sheetData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6EE60-BB3B-41AD-A0CF-5CA55AFD859D}">
  <dimension ref="A1:H30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609</v>
      </c>
    </row>
    <row r="3" spans="1:8" ht="21" x14ac:dyDescent="0.35">
      <c r="A3" s="2" t="s">
        <v>1</v>
      </c>
      <c r="D3" s="11">
        <v>383775</v>
      </c>
      <c r="F3" s="12" t="s">
        <v>3</v>
      </c>
      <c r="H3" s="11">
        <f>(D3/1.19)*0.19</f>
        <v>61275</v>
      </c>
    </row>
    <row r="4" spans="1:8" x14ac:dyDescent="0.25">
      <c r="A4" s="13" t="s">
        <v>29</v>
      </c>
      <c r="C4" s="28">
        <v>818</v>
      </c>
    </row>
    <row r="5" spans="1:8" ht="21" x14ac:dyDescent="0.35">
      <c r="A5" s="2" t="s">
        <v>2</v>
      </c>
      <c r="C5" t="s">
        <v>232</v>
      </c>
    </row>
    <row r="7" spans="1:8" ht="18.75" x14ac:dyDescent="0.3">
      <c r="A7" s="5"/>
      <c r="D7" s="4"/>
      <c r="H7" s="4"/>
    </row>
    <row r="8" spans="1:8" ht="18.75" x14ac:dyDescent="0.3">
      <c r="A8" s="5" t="s">
        <v>488</v>
      </c>
      <c r="D8" s="4">
        <v>217242</v>
      </c>
      <c r="H8" s="4">
        <f t="shared" ref="H8:H13" si="0">(D8/1.19)*0.19</f>
        <v>34685.697478991598</v>
      </c>
    </row>
    <row r="9" spans="1:8" ht="18.75" x14ac:dyDescent="0.3">
      <c r="A9" s="5"/>
      <c r="B9" s="5"/>
      <c r="C9" s="5"/>
      <c r="D9" s="4"/>
      <c r="H9" s="4">
        <f t="shared" si="0"/>
        <v>0</v>
      </c>
    </row>
    <row r="10" spans="1:8" ht="18.75" x14ac:dyDescent="0.3">
      <c r="A10" s="5"/>
      <c r="B10" s="5"/>
      <c r="C10" s="5"/>
      <c r="D10" s="4"/>
      <c r="H10" s="4">
        <f t="shared" si="0"/>
        <v>0</v>
      </c>
    </row>
    <row r="11" spans="1:8" ht="18.75" x14ac:dyDescent="0.3">
      <c r="B11" s="5"/>
      <c r="C11" s="5"/>
      <c r="D11" s="4"/>
      <c r="H11" s="4">
        <f t="shared" si="0"/>
        <v>0</v>
      </c>
    </row>
    <row r="12" spans="1:8" ht="18.75" x14ac:dyDescent="0.3">
      <c r="A12" s="5"/>
      <c r="B12" s="5"/>
      <c r="C12" s="5"/>
      <c r="D12" s="4"/>
      <c r="H12" s="4">
        <f t="shared" si="0"/>
        <v>0</v>
      </c>
    </row>
    <row r="13" spans="1:8" ht="19.5" thickBot="1" x14ac:dyDescent="0.35">
      <c r="A13" s="5"/>
      <c r="B13" s="5"/>
      <c r="C13" s="5"/>
      <c r="D13" s="35"/>
      <c r="E13" s="27"/>
      <c r="H13" s="35">
        <f t="shared" si="0"/>
        <v>0</v>
      </c>
    </row>
    <row r="14" spans="1:8" ht="19.5" thickTop="1" x14ac:dyDescent="0.3">
      <c r="D14" s="4">
        <f>SUM(D7:D13)</f>
        <v>217242</v>
      </c>
      <c r="H14" s="33">
        <f>SUM(H7:H13)</f>
        <v>34685.697478991598</v>
      </c>
    </row>
    <row r="16" spans="1:8" ht="18.75" x14ac:dyDescent="0.3">
      <c r="C16" t="s">
        <v>4</v>
      </c>
      <c r="D16" s="4">
        <f>D3-D14</f>
        <v>166533</v>
      </c>
      <c r="G16" t="s">
        <v>5</v>
      </c>
      <c r="H16" s="4">
        <f>H3-H14</f>
        <v>26589.302521008402</v>
      </c>
    </row>
    <row r="18" spans="1:8" x14ac:dyDescent="0.25">
      <c r="G18" t="s">
        <v>454</v>
      </c>
    </row>
    <row r="19" spans="1:8" ht="15.75" x14ac:dyDescent="0.25">
      <c r="A19" t="s">
        <v>6</v>
      </c>
      <c r="C19" s="8">
        <f>D16</f>
        <v>166533</v>
      </c>
      <c r="E19" t="s">
        <v>10</v>
      </c>
      <c r="H19" s="6">
        <f>C28</f>
        <v>138408.59747899158</v>
      </c>
    </row>
    <row r="21" spans="1:8" ht="15.75" x14ac:dyDescent="0.25">
      <c r="A21" t="s">
        <v>5</v>
      </c>
      <c r="B21" s="9" t="s">
        <v>7</v>
      </c>
      <c r="C21" s="8">
        <f>H16</f>
        <v>26589.302521008402</v>
      </c>
      <c r="E21" s="13" t="s">
        <v>11</v>
      </c>
      <c r="F21" s="9" t="s">
        <v>12</v>
      </c>
      <c r="G21" s="15" t="s">
        <v>17</v>
      </c>
      <c r="H21" s="3">
        <f>-(F22*0.0077)</f>
        <v>-2483.25</v>
      </c>
    </row>
    <row r="22" spans="1:8" x14ac:dyDescent="0.25">
      <c r="F22" s="21">
        <f>D3-H3</f>
        <v>322500</v>
      </c>
    </row>
    <row r="23" spans="1:8" ht="16.5" thickBot="1" x14ac:dyDescent="0.3">
      <c r="A23" t="s">
        <v>8</v>
      </c>
      <c r="B23" s="9" t="s">
        <v>7</v>
      </c>
      <c r="C23" s="8">
        <f>D3*0.004</f>
        <v>1535.1000000000001</v>
      </c>
      <c r="F23" s="9" t="s">
        <v>13</v>
      </c>
      <c r="G23" s="16">
        <v>0.35</v>
      </c>
      <c r="H23" s="17">
        <f>-(F24*0.35)</f>
        <v>-48443.009117647052</v>
      </c>
    </row>
    <row r="24" spans="1:8" x14ac:dyDescent="0.25">
      <c r="F24" s="21">
        <f>H19</f>
        <v>138408.59747899158</v>
      </c>
    </row>
    <row r="25" spans="1:8" ht="15.75" x14ac:dyDescent="0.25">
      <c r="A25" t="s">
        <v>9</v>
      </c>
      <c r="B25" s="9" t="s">
        <v>7</v>
      </c>
      <c r="C25" s="10"/>
      <c r="G25" s="13" t="s">
        <v>14</v>
      </c>
      <c r="H25" s="6">
        <f>H19+H21+H23</f>
        <v>87482.338361344533</v>
      </c>
    </row>
    <row r="26" spans="1:8" ht="15.75" thickBot="1" x14ac:dyDescent="0.3">
      <c r="A26" s="16"/>
      <c r="B26" s="14"/>
      <c r="C26" s="7"/>
    </row>
    <row r="27" spans="1:8" x14ac:dyDescent="0.25">
      <c r="E27" t="s">
        <v>100</v>
      </c>
      <c r="H27" s="20">
        <f>H25*0.4</f>
        <v>34992.935344537815</v>
      </c>
    </row>
    <row r="28" spans="1:8" ht="15.75" x14ac:dyDescent="0.25">
      <c r="A28" t="s">
        <v>10</v>
      </c>
      <c r="C28" s="10">
        <f>C19-C21-C23-C25</f>
        <v>138408.59747899158</v>
      </c>
      <c r="H28" s="18"/>
    </row>
    <row r="29" spans="1:8" x14ac:dyDescent="0.25">
      <c r="H29" s="3"/>
    </row>
    <row r="30" spans="1:8" x14ac:dyDescent="0.25">
      <c r="H30" s="18"/>
    </row>
  </sheetData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4E79C-679D-46E4-B51E-841AD7C2CCC0}">
  <dimension ref="A1:H30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574</v>
      </c>
    </row>
    <row r="3" spans="1:8" ht="21" x14ac:dyDescent="0.35">
      <c r="A3" s="2" t="s">
        <v>1</v>
      </c>
      <c r="D3" s="11">
        <v>597380</v>
      </c>
      <c r="F3" s="12" t="s">
        <v>3</v>
      </c>
      <c r="H3" s="11">
        <f>(D3/1.19)*0.19</f>
        <v>95380</v>
      </c>
    </row>
    <row r="4" spans="1:8" x14ac:dyDescent="0.25">
      <c r="A4" s="13" t="s">
        <v>29</v>
      </c>
      <c r="C4" s="28">
        <v>820</v>
      </c>
    </row>
    <row r="5" spans="1:8" ht="21" x14ac:dyDescent="0.35">
      <c r="A5" s="2" t="s">
        <v>2</v>
      </c>
      <c r="C5" t="s">
        <v>232</v>
      </c>
    </row>
    <row r="7" spans="1:8" ht="18.75" x14ac:dyDescent="0.3">
      <c r="A7" s="5"/>
      <c r="D7" s="4"/>
      <c r="H7" s="4"/>
    </row>
    <row r="8" spans="1:8" ht="18.75" x14ac:dyDescent="0.3">
      <c r="A8" s="5" t="s">
        <v>606</v>
      </c>
      <c r="D8" s="4">
        <v>441038</v>
      </c>
      <c r="H8" s="4">
        <f t="shared" ref="H8:H13" si="0">(D8/1.19)*0.19</f>
        <v>70417.831932773115</v>
      </c>
    </row>
    <row r="9" spans="1:8" ht="18.75" x14ac:dyDescent="0.3">
      <c r="A9" s="5" t="s">
        <v>610</v>
      </c>
      <c r="B9" s="5"/>
      <c r="C9" s="5"/>
      <c r="D9" s="4">
        <v>20000</v>
      </c>
      <c r="H9" s="4">
        <v>0</v>
      </c>
    </row>
    <row r="10" spans="1:8" ht="18.75" x14ac:dyDescent="0.3">
      <c r="A10" s="5"/>
      <c r="B10" s="5"/>
      <c r="C10" s="5"/>
      <c r="D10" s="4"/>
      <c r="H10" s="4">
        <f t="shared" si="0"/>
        <v>0</v>
      </c>
    </row>
    <row r="11" spans="1:8" ht="18.75" x14ac:dyDescent="0.3">
      <c r="B11" s="5"/>
      <c r="C11" s="5"/>
      <c r="D11" s="4"/>
      <c r="H11" s="4">
        <f t="shared" si="0"/>
        <v>0</v>
      </c>
    </row>
    <row r="12" spans="1:8" ht="18.75" x14ac:dyDescent="0.3">
      <c r="A12" s="5"/>
      <c r="B12" s="5"/>
      <c r="C12" s="5"/>
      <c r="D12" s="4"/>
      <c r="H12" s="4">
        <f t="shared" si="0"/>
        <v>0</v>
      </c>
    </row>
    <row r="13" spans="1:8" ht="19.5" thickBot="1" x14ac:dyDescent="0.35">
      <c r="A13" s="5"/>
      <c r="B13" s="5"/>
      <c r="C13" s="5"/>
      <c r="D13" s="35"/>
      <c r="E13" s="27"/>
      <c r="H13" s="35">
        <f t="shared" si="0"/>
        <v>0</v>
      </c>
    </row>
    <row r="14" spans="1:8" ht="19.5" thickTop="1" x14ac:dyDescent="0.3">
      <c r="D14" s="4">
        <f>SUM(D7:D13)</f>
        <v>461038</v>
      </c>
      <c r="H14" s="33">
        <f>SUM(H7:H13)</f>
        <v>70417.831932773115</v>
      </c>
    </row>
    <row r="16" spans="1:8" ht="18.75" x14ac:dyDescent="0.3">
      <c r="C16" t="s">
        <v>4</v>
      </c>
      <c r="D16" s="4">
        <f>D3-D14</f>
        <v>136342</v>
      </c>
      <c r="G16" t="s">
        <v>5</v>
      </c>
      <c r="H16" s="4">
        <f>H3-H14</f>
        <v>24962.168067226885</v>
      </c>
    </row>
    <row r="18" spans="1:8" x14ac:dyDescent="0.25">
      <c r="G18" t="s">
        <v>454</v>
      </c>
    </row>
    <row r="19" spans="1:8" ht="15.75" x14ac:dyDescent="0.25">
      <c r="A19" t="s">
        <v>6</v>
      </c>
      <c r="C19" s="8">
        <f>D16</f>
        <v>136342</v>
      </c>
      <c r="E19" t="s">
        <v>10</v>
      </c>
      <c r="H19" s="6">
        <f>C28</f>
        <v>108990.31193277311</v>
      </c>
    </row>
    <row r="21" spans="1:8" ht="15.75" x14ac:dyDescent="0.25">
      <c r="A21" t="s">
        <v>5</v>
      </c>
      <c r="B21" s="9" t="s">
        <v>7</v>
      </c>
      <c r="C21" s="8">
        <f>H16</f>
        <v>24962.168067226885</v>
      </c>
      <c r="E21" s="13" t="s">
        <v>11</v>
      </c>
      <c r="F21" s="9" t="s">
        <v>12</v>
      </c>
      <c r="G21" s="15" t="s">
        <v>17</v>
      </c>
      <c r="H21" s="3">
        <f>-(F22*0.0077)</f>
        <v>-3865.4</v>
      </c>
    </row>
    <row r="22" spans="1:8" x14ac:dyDescent="0.25">
      <c r="F22" s="21">
        <f>D3-H3</f>
        <v>502000</v>
      </c>
    </row>
    <row r="23" spans="1:8" ht="16.5" thickBot="1" x14ac:dyDescent="0.3">
      <c r="A23" t="s">
        <v>8</v>
      </c>
      <c r="B23" s="9" t="s">
        <v>7</v>
      </c>
      <c r="C23" s="8">
        <f>D3*0.004</f>
        <v>2389.52</v>
      </c>
      <c r="F23" s="9" t="s">
        <v>13</v>
      </c>
      <c r="G23" s="16">
        <v>0.35</v>
      </c>
      <c r="H23" s="17">
        <f>-(F24*0.35)</f>
        <v>-38146.609176470585</v>
      </c>
    </row>
    <row r="24" spans="1:8" x14ac:dyDescent="0.25">
      <c r="F24" s="21">
        <f>H19</f>
        <v>108990.31193277311</v>
      </c>
    </row>
    <row r="25" spans="1:8" ht="15.75" x14ac:dyDescent="0.25">
      <c r="A25" t="s">
        <v>9</v>
      </c>
      <c r="B25" s="9" t="s">
        <v>7</v>
      </c>
      <c r="C25" s="10"/>
      <c r="G25" s="13" t="s">
        <v>14</v>
      </c>
      <c r="H25" s="6">
        <f>H19+H21+H23</f>
        <v>66978.302756302524</v>
      </c>
    </row>
    <row r="26" spans="1:8" ht="15.75" thickBot="1" x14ac:dyDescent="0.3">
      <c r="A26" s="16"/>
      <c r="B26" s="14"/>
      <c r="C26" s="7"/>
    </row>
    <row r="27" spans="1:8" x14ac:dyDescent="0.25">
      <c r="E27" t="s">
        <v>100</v>
      </c>
      <c r="H27" s="20">
        <f>H25*0.4</f>
        <v>26791.321102521011</v>
      </c>
    </row>
    <row r="28" spans="1:8" ht="15.75" x14ac:dyDescent="0.25">
      <c r="A28" t="s">
        <v>10</v>
      </c>
      <c r="C28" s="10">
        <f>C19-C21-C23-C25</f>
        <v>108990.31193277311</v>
      </c>
      <c r="H28" s="18"/>
    </row>
    <row r="29" spans="1:8" x14ac:dyDescent="0.25">
      <c r="H29" s="3"/>
    </row>
    <row r="30" spans="1:8" x14ac:dyDescent="0.25">
      <c r="H30" s="18"/>
    </row>
  </sheetData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C040F-D669-4DF6-B160-C925EF43E584}">
  <dimension ref="A1:H30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294</v>
      </c>
    </row>
    <row r="3" spans="1:8" ht="21" x14ac:dyDescent="0.35">
      <c r="A3" s="2" t="s">
        <v>1</v>
      </c>
      <c r="D3" s="11">
        <v>533001</v>
      </c>
      <c r="F3" s="12" t="s">
        <v>3</v>
      </c>
      <c r="H3" s="11">
        <f>(D3/1.19)*0.19</f>
        <v>85101</v>
      </c>
    </row>
    <row r="4" spans="1:8" x14ac:dyDescent="0.25">
      <c r="A4" s="13" t="s">
        <v>29</v>
      </c>
      <c r="C4" s="28">
        <v>821</v>
      </c>
    </row>
    <row r="5" spans="1:8" ht="21" x14ac:dyDescent="0.35">
      <c r="A5" s="2" t="s">
        <v>2</v>
      </c>
      <c r="C5" t="s">
        <v>232</v>
      </c>
    </row>
    <row r="7" spans="1:8" ht="18.75" x14ac:dyDescent="0.3">
      <c r="A7" s="5"/>
      <c r="D7" s="4"/>
      <c r="H7" s="4"/>
    </row>
    <row r="8" spans="1:8" ht="18.75" x14ac:dyDescent="0.3">
      <c r="A8" s="5" t="s">
        <v>397</v>
      </c>
      <c r="D8" s="4">
        <v>219350</v>
      </c>
      <c r="H8" s="4">
        <f t="shared" ref="H8:H13" si="0">(D8/1.19)*0.19</f>
        <v>35022.268907563026</v>
      </c>
    </row>
    <row r="9" spans="1:8" ht="18.75" x14ac:dyDescent="0.3">
      <c r="A9" s="5" t="s">
        <v>611</v>
      </c>
      <c r="B9" s="5"/>
      <c r="C9" s="5"/>
      <c r="D9" s="4">
        <v>71700</v>
      </c>
      <c r="H9" s="4">
        <f t="shared" si="0"/>
        <v>11447.899159663866</v>
      </c>
    </row>
    <row r="10" spans="1:8" ht="18.75" x14ac:dyDescent="0.3">
      <c r="A10" s="5" t="s">
        <v>612</v>
      </c>
      <c r="B10" s="5"/>
      <c r="C10" s="5"/>
      <c r="D10" s="4">
        <v>70001</v>
      </c>
      <c r="H10" s="4">
        <f t="shared" si="0"/>
        <v>11176.63025210084</v>
      </c>
    </row>
    <row r="11" spans="1:8" ht="18.75" x14ac:dyDescent="0.3">
      <c r="A11" s="5" t="s">
        <v>167</v>
      </c>
      <c r="B11" s="5"/>
      <c r="C11" s="5"/>
      <c r="D11" s="4">
        <v>16000</v>
      </c>
      <c r="H11" s="4">
        <f t="shared" si="0"/>
        <v>2554.6218487394963</v>
      </c>
    </row>
    <row r="12" spans="1:8" ht="18.75" x14ac:dyDescent="0.3">
      <c r="A12" s="5"/>
      <c r="B12" s="5"/>
      <c r="C12" s="5"/>
      <c r="D12" s="4"/>
      <c r="H12" s="4">
        <f t="shared" si="0"/>
        <v>0</v>
      </c>
    </row>
    <row r="13" spans="1:8" ht="19.5" thickBot="1" x14ac:dyDescent="0.35">
      <c r="A13" s="5"/>
      <c r="B13" s="5"/>
      <c r="C13" s="5"/>
      <c r="D13" s="35"/>
      <c r="E13" s="27"/>
      <c r="H13" s="35">
        <f t="shared" si="0"/>
        <v>0</v>
      </c>
    </row>
    <row r="14" spans="1:8" ht="19.5" thickTop="1" x14ac:dyDescent="0.3">
      <c r="D14" s="4">
        <f>SUM(D7:D13)</f>
        <v>377051</v>
      </c>
      <c r="H14" s="33">
        <f>SUM(H7:H13)</f>
        <v>60201.420168067227</v>
      </c>
    </row>
    <row r="16" spans="1:8" ht="18.75" x14ac:dyDescent="0.3">
      <c r="C16" t="s">
        <v>4</v>
      </c>
      <c r="D16" s="4">
        <f>D3-D14</f>
        <v>155950</v>
      </c>
      <c r="G16" t="s">
        <v>5</v>
      </c>
      <c r="H16" s="4">
        <f>H3-H14</f>
        <v>24899.579831932773</v>
      </c>
    </row>
    <row r="18" spans="1:8" x14ac:dyDescent="0.25">
      <c r="G18" t="s">
        <v>454</v>
      </c>
    </row>
    <row r="19" spans="1:8" ht="15.75" x14ac:dyDescent="0.25">
      <c r="A19" t="s">
        <v>6</v>
      </c>
      <c r="C19" s="8">
        <f>D16</f>
        <v>155950</v>
      </c>
      <c r="E19" t="s">
        <v>10</v>
      </c>
      <c r="H19" s="6">
        <f>C28</f>
        <v>128918.41616806723</v>
      </c>
    </row>
    <row r="21" spans="1:8" ht="15.75" x14ac:dyDescent="0.25">
      <c r="A21" t="s">
        <v>5</v>
      </c>
      <c r="B21" s="9" t="s">
        <v>7</v>
      </c>
      <c r="C21" s="8">
        <f>H16</f>
        <v>24899.579831932773</v>
      </c>
      <c r="E21" s="13" t="s">
        <v>11</v>
      </c>
      <c r="F21" s="9" t="s">
        <v>12</v>
      </c>
      <c r="G21" s="15" t="s">
        <v>17</v>
      </c>
      <c r="H21" s="3">
        <f>-(F22*0.0077)</f>
        <v>-3448.83</v>
      </c>
    </row>
    <row r="22" spans="1:8" x14ac:dyDescent="0.25">
      <c r="F22" s="21">
        <f>D3-H3</f>
        <v>447900</v>
      </c>
    </row>
    <row r="23" spans="1:8" ht="16.5" thickBot="1" x14ac:dyDescent="0.3">
      <c r="A23" t="s">
        <v>8</v>
      </c>
      <c r="B23" s="9" t="s">
        <v>7</v>
      </c>
      <c r="C23" s="8">
        <f>D3*0.004</f>
        <v>2132.0039999999999</v>
      </c>
      <c r="F23" s="9" t="s">
        <v>13</v>
      </c>
      <c r="G23" s="16">
        <v>0.35</v>
      </c>
      <c r="H23" s="17">
        <f>-(F24*0.35)</f>
        <v>-45121.445658823526</v>
      </c>
    </row>
    <row r="24" spans="1:8" x14ac:dyDescent="0.25">
      <c r="F24" s="21">
        <f>H19</f>
        <v>128918.41616806723</v>
      </c>
    </row>
    <row r="25" spans="1:8" ht="15.75" x14ac:dyDescent="0.25">
      <c r="A25" t="s">
        <v>9</v>
      </c>
      <c r="B25" s="9" t="s">
        <v>7</v>
      </c>
      <c r="C25" s="10"/>
      <c r="G25" s="13" t="s">
        <v>14</v>
      </c>
      <c r="H25" s="6">
        <f>H19+H21+H23</f>
        <v>80348.140509243705</v>
      </c>
    </row>
    <row r="26" spans="1:8" ht="15.75" thickBot="1" x14ac:dyDescent="0.3">
      <c r="A26" s="16"/>
      <c r="B26" s="14"/>
      <c r="C26" s="7"/>
    </row>
    <row r="27" spans="1:8" x14ac:dyDescent="0.25">
      <c r="E27" t="s">
        <v>100</v>
      </c>
      <c r="H27" s="20">
        <f>H25*0.4</f>
        <v>32139.256203697485</v>
      </c>
    </row>
    <row r="28" spans="1:8" ht="15.75" x14ac:dyDescent="0.25">
      <c r="A28" t="s">
        <v>10</v>
      </c>
      <c r="C28" s="10">
        <f>C19-C21-C23-C25</f>
        <v>128918.41616806723</v>
      </c>
      <c r="H28" s="18"/>
    </row>
    <row r="29" spans="1:8" x14ac:dyDescent="0.25">
      <c r="H29" s="3"/>
    </row>
    <row r="30" spans="1:8" x14ac:dyDescent="0.25">
      <c r="H30" s="18"/>
    </row>
  </sheetData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17F05-D993-474B-B215-3935EE4C7FEA}">
  <dimension ref="A1:H30"/>
  <sheetViews>
    <sheetView topLeftCell="A7" workbookViewId="0">
      <selection activeCell="A7"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613</v>
      </c>
    </row>
    <row r="3" spans="1:8" ht="21" x14ac:dyDescent="0.35">
      <c r="A3" s="2" t="s">
        <v>1</v>
      </c>
      <c r="D3" s="11">
        <v>760708</v>
      </c>
      <c r="F3" s="12" t="s">
        <v>3</v>
      </c>
      <c r="H3" s="11">
        <f>(D3/1.19)*0.19</f>
        <v>121457.57983193277</v>
      </c>
    </row>
    <row r="4" spans="1:8" x14ac:dyDescent="0.25">
      <c r="A4" s="13" t="s">
        <v>29</v>
      </c>
      <c r="C4" s="28">
        <v>824</v>
      </c>
    </row>
    <row r="5" spans="1:8" ht="21" x14ac:dyDescent="0.35">
      <c r="A5" s="2" t="s">
        <v>2</v>
      </c>
      <c r="C5" t="s">
        <v>232</v>
      </c>
    </row>
    <row r="7" spans="1:8" ht="18.75" x14ac:dyDescent="0.3">
      <c r="A7" s="5"/>
      <c r="D7" s="4"/>
      <c r="H7" s="4"/>
    </row>
    <row r="8" spans="1:8" ht="18.75" x14ac:dyDescent="0.3">
      <c r="A8" s="5" t="s">
        <v>560</v>
      </c>
      <c r="D8" s="4">
        <v>400554</v>
      </c>
      <c r="H8" s="4">
        <f t="shared" ref="H8:H13" si="0">(D8/1.19)*0.19</f>
        <v>63954</v>
      </c>
    </row>
    <row r="9" spans="1:8" ht="18.75" x14ac:dyDescent="0.3">
      <c r="A9" s="5"/>
      <c r="B9" s="5"/>
      <c r="C9" s="5"/>
      <c r="D9" s="4"/>
      <c r="H9" s="4"/>
    </row>
    <row r="10" spans="1:8" ht="18.75" x14ac:dyDescent="0.3">
      <c r="A10" s="5"/>
      <c r="B10" s="5"/>
      <c r="C10" s="5"/>
      <c r="D10" s="4"/>
      <c r="H10" s="4"/>
    </row>
    <row r="11" spans="1:8" ht="18.75" x14ac:dyDescent="0.3">
      <c r="A11" s="5"/>
      <c r="B11" s="5"/>
      <c r="C11" s="5"/>
      <c r="D11" s="4"/>
      <c r="H11" s="4"/>
    </row>
    <row r="12" spans="1:8" ht="18.75" x14ac:dyDescent="0.3">
      <c r="A12" s="5"/>
      <c r="B12" s="5"/>
      <c r="C12" s="5"/>
      <c r="D12" s="4"/>
      <c r="H12" s="4">
        <f t="shared" si="0"/>
        <v>0</v>
      </c>
    </row>
    <row r="13" spans="1:8" ht="19.5" thickBot="1" x14ac:dyDescent="0.35">
      <c r="A13" s="5"/>
      <c r="B13" s="5"/>
      <c r="C13" s="5"/>
      <c r="D13" s="35"/>
      <c r="E13" s="27"/>
      <c r="H13" s="35">
        <f t="shared" si="0"/>
        <v>0</v>
      </c>
    </row>
    <row r="14" spans="1:8" ht="19.5" thickTop="1" x14ac:dyDescent="0.3">
      <c r="D14" s="4">
        <f>SUM(D7:D13)</f>
        <v>400554</v>
      </c>
      <c r="H14" s="33">
        <f>SUM(H7:H13)</f>
        <v>63954</v>
      </c>
    </row>
    <row r="16" spans="1:8" ht="18.75" x14ac:dyDescent="0.3">
      <c r="C16" t="s">
        <v>4</v>
      </c>
      <c r="D16" s="4">
        <f>D3-D14</f>
        <v>360154</v>
      </c>
      <c r="G16" t="s">
        <v>5</v>
      </c>
      <c r="H16" s="4">
        <f>H3-H14</f>
        <v>57503.579831932773</v>
      </c>
    </row>
    <row r="18" spans="1:8" x14ac:dyDescent="0.25">
      <c r="G18" t="s">
        <v>454</v>
      </c>
    </row>
    <row r="19" spans="1:8" ht="15.75" x14ac:dyDescent="0.25">
      <c r="A19" t="s">
        <v>6</v>
      </c>
      <c r="C19" s="8">
        <f>D16</f>
        <v>360154</v>
      </c>
      <c r="E19" t="s">
        <v>10</v>
      </c>
      <c r="H19" s="6">
        <f>C28</f>
        <v>299607.58816806722</v>
      </c>
    </row>
    <row r="21" spans="1:8" ht="15.75" x14ac:dyDescent="0.25">
      <c r="A21" t="s">
        <v>5</v>
      </c>
      <c r="B21" s="9" t="s">
        <v>7</v>
      </c>
      <c r="C21" s="8">
        <f>H16</f>
        <v>57503.579831932773</v>
      </c>
      <c r="E21" s="13" t="s">
        <v>11</v>
      </c>
      <c r="F21" s="9" t="s">
        <v>12</v>
      </c>
      <c r="G21" s="15" t="s">
        <v>17</v>
      </c>
      <c r="H21" s="3">
        <f>-(F22*0.0077)</f>
        <v>-4922.2282352941174</v>
      </c>
    </row>
    <row r="22" spans="1:8" x14ac:dyDescent="0.25">
      <c r="F22" s="21">
        <f>D3-H3</f>
        <v>639250.42016806721</v>
      </c>
    </row>
    <row r="23" spans="1:8" ht="16.5" thickBot="1" x14ac:dyDescent="0.3">
      <c r="A23" t="s">
        <v>8</v>
      </c>
      <c r="B23" s="9" t="s">
        <v>7</v>
      </c>
      <c r="C23" s="8">
        <f>D3*0.004</f>
        <v>3042.8319999999999</v>
      </c>
      <c r="F23" s="9" t="s">
        <v>13</v>
      </c>
      <c r="G23" s="16">
        <v>0.35</v>
      </c>
      <c r="H23" s="17">
        <f>-(F24*0.35)</f>
        <v>-104862.65585882352</v>
      </c>
    </row>
    <row r="24" spans="1:8" x14ac:dyDescent="0.25">
      <c r="F24" s="21">
        <f>H19</f>
        <v>299607.58816806722</v>
      </c>
    </row>
    <row r="25" spans="1:8" ht="15.75" x14ac:dyDescent="0.25">
      <c r="A25" t="s">
        <v>9</v>
      </c>
      <c r="B25" s="9" t="s">
        <v>7</v>
      </c>
      <c r="C25" s="10"/>
      <c r="G25" s="13" t="s">
        <v>14</v>
      </c>
      <c r="H25" s="6">
        <f>H19+H21+H23</f>
        <v>189822.7040739496</v>
      </c>
    </row>
    <row r="26" spans="1:8" ht="15.75" thickBot="1" x14ac:dyDescent="0.3">
      <c r="A26" s="16"/>
      <c r="B26" s="14"/>
      <c r="C26" s="7"/>
    </row>
    <row r="27" spans="1:8" x14ac:dyDescent="0.25">
      <c r="E27" t="s">
        <v>100</v>
      </c>
      <c r="H27" s="20">
        <f>H25*0.4</f>
        <v>75929.081629579843</v>
      </c>
    </row>
    <row r="28" spans="1:8" ht="15.75" x14ac:dyDescent="0.25">
      <c r="A28" t="s">
        <v>10</v>
      </c>
      <c r="C28" s="10">
        <f>C19-C21-C23-C25</f>
        <v>299607.58816806722</v>
      </c>
      <c r="H28" s="18"/>
    </row>
    <row r="29" spans="1:8" x14ac:dyDescent="0.25">
      <c r="H29" s="3"/>
    </row>
    <row r="30" spans="1:8" x14ac:dyDescent="0.25">
      <c r="H30" s="18"/>
    </row>
  </sheetData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2E2F2-2ACE-4A81-83EE-39DC3C159A6C}">
  <dimension ref="A1:H30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570</v>
      </c>
    </row>
    <row r="3" spans="1:8" ht="21" x14ac:dyDescent="0.35">
      <c r="A3" s="2" t="s">
        <v>1</v>
      </c>
      <c r="D3" s="11">
        <v>647360</v>
      </c>
      <c r="F3" s="12" t="s">
        <v>3</v>
      </c>
      <c r="H3" s="11">
        <f>(D3/1.19)*0.19</f>
        <v>103360</v>
      </c>
    </row>
    <row r="4" spans="1:8" x14ac:dyDescent="0.25">
      <c r="A4" s="13" t="s">
        <v>29</v>
      </c>
      <c r="C4" s="28">
        <v>825</v>
      </c>
    </row>
    <row r="5" spans="1:8" ht="21" x14ac:dyDescent="0.35">
      <c r="A5" s="2" t="s">
        <v>2</v>
      </c>
      <c r="C5" t="s">
        <v>232</v>
      </c>
    </row>
    <row r="7" spans="1:8" ht="18.75" x14ac:dyDescent="0.3">
      <c r="A7" s="5"/>
      <c r="D7" s="4"/>
      <c r="H7" s="4"/>
    </row>
    <row r="8" spans="1:8" ht="18.75" x14ac:dyDescent="0.3">
      <c r="A8" s="5" t="s">
        <v>608</v>
      </c>
      <c r="D8" s="4">
        <v>270500</v>
      </c>
      <c r="H8" s="4">
        <f t="shared" ref="H8:H13" si="0">(D8/1.19)*0.19</f>
        <v>43189.075630252104</v>
      </c>
    </row>
    <row r="9" spans="1:8" ht="18.75" x14ac:dyDescent="0.3">
      <c r="A9" s="5" t="s">
        <v>488</v>
      </c>
      <c r="B9" s="5"/>
      <c r="C9" s="5"/>
      <c r="D9" s="4">
        <v>75610</v>
      </c>
      <c r="H9" s="4">
        <f t="shared" si="0"/>
        <v>12072.18487394958</v>
      </c>
    </row>
    <row r="10" spans="1:8" ht="18.75" x14ac:dyDescent="0.3">
      <c r="A10" s="5" t="s">
        <v>614</v>
      </c>
      <c r="B10" s="5"/>
      <c r="C10" s="5"/>
      <c r="D10" s="4">
        <v>38080</v>
      </c>
      <c r="H10" s="4">
        <f t="shared" si="0"/>
        <v>6080</v>
      </c>
    </row>
    <row r="11" spans="1:8" ht="18.75" x14ac:dyDescent="0.3">
      <c r="A11" s="5"/>
      <c r="B11" s="5"/>
      <c r="C11" s="5"/>
      <c r="D11" s="4"/>
      <c r="H11" s="4">
        <f t="shared" si="0"/>
        <v>0</v>
      </c>
    </row>
    <row r="12" spans="1:8" ht="18.75" x14ac:dyDescent="0.3">
      <c r="A12" s="5"/>
      <c r="B12" s="5"/>
      <c r="C12" s="5"/>
      <c r="D12" s="4"/>
      <c r="H12" s="4">
        <f t="shared" si="0"/>
        <v>0</v>
      </c>
    </row>
    <row r="13" spans="1:8" ht="19.5" thickBot="1" x14ac:dyDescent="0.35">
      <c r="A13" s="5"/>
      <c r="B13" s="5"/>
      <c r="C13" s="5"/>
      <c r="D13" s="35"/>
      <c r="E13" s="27"/>
      <c r="H13" s="35">
        <f t="shared" si="0"/>
        <v>0</v>
      </c>
    </row>
    <row r="14" spans="1:8" ht="19.5" thickTop="1" x14ac:dyDescent="0.3">
      <c r="D14" s="4">
        <f>SUM(D7:D13)</f>
        <v>384190</v>
      </c>
      <c r="H14" s="33">
        <f>SUM(H7:H13)</f>
        <v>61341.26050420168</v>
      </c>
    </row>
    <row r="16" spans="1:8" ht="18.75" x14ac:dyDescent="0.3">
      <c r="C16" t="s">
        <v>4</v>
      </c>
      <c r="D16" s="4">
        <f>D3-D14</f>
        <v>263170</v>
      </c>
      <c r="G16" t="s">
        <v>5</v>
      </c>
      <c r="H16" s="4">
        <f>H3-H14</f>
        <v>42018.73949579832</v>
      </c>
    </row>
    <row r="18" spans="1:8" x14ac:dyDescent="0.25">
      <c r="G18" t="s">
        <v>454</v>
      </c>
    </row>
    <row r="19" spans="1:8" ht="15.75" x14ac:dyDescent="0.25">
      <c r="A19" t="s">
        <v>6</v>
      </c>
      <c r="C19" s="8">
        <f>D16</f>
        <v>263170</v>
      </c>
      <c r="E19" t="s">
        <v>10</v>
      </c>
      <c r="H19" s="6">
        <f>C28</f>
        <v>218561.82050420169</v>
      </c>
    </row>
    <row r="21" spans="1:8" ht="15.75" x14ac:dyDescent="0.25">
      <c r="A21" t="s">
        <v>5</v>
      </c>
      <c r="B21" s="9" t="s">
        <v>7</v>
      </c>
      <c r="C21" s="8">
        <f>H16</f>
        <v>42018.73949579832</v>
      </c>
      <c r="E21" s="13" t="s">
        <v>11</v>
      </c>
      <c r="F21" s="9" t="s">
        <v>12</v>
      </c>
      <c r="G21" s="15" t="s">
        <v>17</v>
      </c>
      <c r="H21" s="3">
        <f>-(F22*0.0077)</f>
        <v>-4188.8</v>
      </c>
    </row>
    <row r="22" spans="1:8" x14ac:dyDescent="0.25">
      <c r="F22" s="21">
        <f>D3-H3</f>
        <v>544000</v>
      </c>
    </row>
    <row r="23" spans="1:8" ht="16.5" thickBot="1" x14ac:dyDescent="0.3">
      <c r="A23" t="s">
        <v>8</v>
      </c>
      <c r="B23" s="9" t="s">
        <v>7</v>
      </c>
      <c r="C23" s="8">
        <f>D3*0.004</f>
        <v>2589.44</v>
      </c>
      <c r="F23" s="9" t="s">
        <v>13</v>
      </c>
      <c r="G23" s="16">
        <v>0.35</v>
      </c>
      <c r="H23" s="17">
        <f>-(F24*0.35)</f>
        <v>-76496.637176470584</v>
      </c>
    </row>
    <row r="24" spans="1:8" x14ac:dyDescent="0.25">
      <c r="F24" s="21">
        <f>H19</f>
        <v>218561.82050420169</v>
      </c>
    </row>
    <row r="25" spans="1:8" ht="15.75" x14ac:dyDescent="0.25">
      <c r="A25" t="s">
        <v>9</v>
      </c>
      <c r="B25" s="9" t="s">
        <v>7</v>
      </c>
      <c r="C25" s="10"/>
      <c r="G25" s="13" t="s">
        <v>14</v>
      </c>
      <c r="H25" s="6">
        <f>H19+H21+H23</f>
        <v>137876.38332773111</v>
      </c>
    </row>
    <row r="26" spans="1:8" ht="15.75" thickBot="1" x14ac:dyDescent="0.3">
      <c r="A26" s="16"/>
      <c r="B26" s="14"/>
      <c r="C26" s="7"/>
    </row>
    <row r="27" spans="1:8" x14ac:dyDescent="0.25">
      <c r="E27" t="s">
        <v>100</v>
      </c>
      <c r="H27" s="20">
        <f>H25*0.4</f>
        <v>55150.553331092444</v>
      </c>
    </row>
    <row r="28" spans="1:8" ht="15.75" x14ac:dyDescent="0.25">
      <c r="A28" t="s">
        <v>10</v>
      </c>
      <c r="C28" s="10">
        <f>C19-C21-C23-C25</f>
        <v>218561.82050420169</v>
      </c>
      <c r="H28" s="18"/>
    </row>
    <row r="29" spans="1:8" x14ac:dyDescent="0.25">
      <c r="H29" s="3"/>
    </row>
    <row r="30" spans="1:8" x14ac:dyDescent="0.25">
      <c r="H30" s="18"/>
    </row>
  </sheetData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BE0C3-A0D3-4957-A48A-B75ED610BC3A}">
  <dimension ref="A1:H30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615</v>
      </c>
    </row>
    <row r="3" spans="1:8" ht="21" x14ac:dyDescent="0.35">
      <c r="A3" s="2" t="s">
        <v>1</v>
      </c>
      <c r="D3" s="11">
        <v>88060</v>
      </c>
      <c r="F3" s="12" t="s">
        <v>3</v>
      </c>
      <c r="H3" s="11">
        <f>(D3/1.19)*0.19</f>
        <v>14060</v>
      </c>
    </row>
    <row r="4" spans="1:8" x14ac:dyDescent="0.25">
      <c r="A4" s="13" t="s">
        <v>29</v>
      </c>
      <c r="C4" s="28">
        <v>826</v>
      </c>
    </row>
    <row r="5" spans="1:8" ht="21" x14ac:dyDescent="0.35">
      <c r="A5" s="2" t="s">
        <v>2</v>
      </c>
      <c r="C5" t="s">
        <v>232</v>
      </c>
    </row>
    <row r="7" spans="1:8" ht="18.75" x14ac:dyDescent="0.3">
      <c r="A7" s="5"/>
      <c r="D7" s="4"/>
      <c r="H7" s="4"/>
    </row>
    <row r="8" spans="1:8" ht="18.75" x14ac:dyDescent="0.3">
      <c r="A8" s="5" t="s">
        <v>167</v>
      </c>
      <c r="D8" s="4">
        <v>61976</v>
      </c>
      <c r="H8" s="4">
        <f t="shared" ref="H8:H13" si="0">(D8/1.19)*0.19</f>
        <v>9895.3277310924386</v>
      </c>
    </row>
    <row r="9" spans="1:8" ht="18.75" x14ac:dyDescent="0.3">
      <c r="A9" s="5"/>
      <c r="B9" s="5"/>
      <c r="C9" s="5"/>
      <c r="D9" s="4"/>
      <c r="H9" s="4"/>
    </row>
    <row r="10" spans="1:8" ht="18.75" x14ac:dyDescent="0.3">
      <c r="A10" s="5"/>
      <c r="B10" s="5"/>
      <c r="C10" s="5"/>
      <c r="D10" s="4"/>
      <c r="H10" s="4"/>
    </row>
    <row r="11" spans="1:8" ht="18.75" x14ac:dyDescent="0.3">
      <c r="A11" s="5"/>
      <c r="B11" s="5"/>
      <c r="C11" s="5"/>
      <c r="D11" s="4"/>
      <c r="H11" s="4">
        <f t="shared" si="0"/>
        <v>0</v>
      </c>
    </row>
    <row r="12" spans="1:8" ht="18.75" x14ac:dyDescent="0.3">
      <c r="A12" s="5"/>
      <c r="B12" s="5"/>
      <c r="C12" s="5"/>
      <c r="D12" s="4"/>
      <c r="H12" s="4">
        <f t="shared" si="0"/>
        <v>0</v>
      </c>
    </row>
    <row r="13" spans="1:8" ht="19.5" thickBot="1" x14ac:dyDescent="0.35">
      <c r="A13" s="5"/>
      <c r="B13" s="5"/>
      <c r="C13" s="5"/>
      <c r="D13" s="35"/>
      <c r="E13" s="27"/>
      <c r="H13" s="35">
        <f t="shared" si="0"/>
        <v>0</v>
      </c>
    </row>
    <row r="14" spans="1:8" ht="19.5" thickTop="1" x14ac:dyDescent="0.3">
      <c r="D14" s="4">
        <f>SUM(D7:D13)</f>
        <v>61976</v>
      </c>
      <c r="H14" s="33">
        <f>SUM(H7:H13)</f>
        <v>9895.3277310924386</v>
      </c>
    </row>
    <row r="16" spans="1:8" ht="18.75" x14ac:dyDescent="0.3">
      <c r="C16" t="s">
        <v>4</v>
      </c>
      <c r="D16" s="4">
        <f>D3-D14</f>
        <v>26084</v>
      </c>
      <c r="G16" t="s">
        <v>5</v>
      </c>
      <c r="H16" s="4">
        <f>H3-H14</f>
        <v>4164.6722689075614</v>
      </c>
    </row>
    <row r="18" spans="1:8" x14ac:dyDescent="0.25">
      <c r="G18" t="s">
        <v>454</v>
      </c>
    </row>
    <row r="19" spans="1:8" ht="15.75" x14ac:dyDescent="0.25">
      <c r="A19" t="s">
        <v>6</v>
      </c>
      <c r="C19" s="8">
        <f>D16</f>
        <v>26084</v>
      </c>
      <c r="E19" t="s">
        <v>10</v>
      </c>
      <c r="H19" s="6">
        <f>C28</f>
        <v>21567.087731092437</v>
      </c>
    </row>
    <row r="21" spans="1:8" ht="15.75" x14ac:dyDescent="0.25">
      <c r="A21" t="s">
        <v>5</v>
      </c>
      <c r="B21" s="9" t="s">
        <v>7</v>
      </c>
      <c r="C21" s="8">
        <f>H16</f>
        <v>4164.6722689075614</v>
      </c>
      <c r="E21" s="13" t="s">
        <v>11</v>
      </c>
      <c r="F21" s="9" t="s">
        <v>12</v>
      </c>
      <c r="G21" s="15" t="s">
        <v>17</v>
      </c>
      <c r="H21" s="3">
        <f>-(F22*0.0077)</f>
        <v>-569.80000000000007</v>
      </c>
    </row>
    <row r="22" spans="1:8" x14ac:dyDescent="0.25">
      <c r="F22" s="21">
        <f>D3-H3</f>
        <v>74000</v>
      </c>
    </row>
    <row r="23" spans="1:8" ht="16.5" thickBot="1" x14ac:dyDescent="0.3">
      <c r="A23" t="s">
        <v>8</v>
      </c>
      <c r="B23" s="9" t="s">
        <v>7</v>
      </c>
      <c r="C23" s="8">
        <f>D3*0.004</f>
        <v>352.24</v>
      </c>
      <c r="F23" s="9" t="s">
        <v>13</v>
      </c>
      <c r="G23" s="16">
        <v>0.35</v>
      </c>
      <c r="H23" s="17">
        <f>-(F24*0.35)</f>
        <v>-7548.4807058823526</v>
      </c>
    </row>
    <row r="24" spans="1:8" x14ac:dyDescent="0.25">
      <c r="F24" s="21">
        <f>H19</f>
        <v>21567.087731092437</v>
      </c>
    </row>
    <row r="25" spans="1:8" ht="15.75" x14ac:dyDescent="0.25">
      <c r="A25" t="s">
        <v>9</v>
      </c>
      <c r="B25" s="9" t="s">
        <v>7</v>
      </c>
      <c r="C25" s="10"/>
      <c r="G25" s="13" t="s">
        <v>14</v>
      </c>
      <c r="H25" s="6">
        <f>H19+H21+H23</f>
        <v>13448.807025210084</v>
      </c>
    </row>
    <row r="26" spans="1:8" ht="15.75" thickBot="1" x14ac:dyDescent="0.3">
      <c r="A26" s="16"/>
      <c r="B26" s="14"/>
      <c r="C26" s="7"/>
    </row>
    <row r="27" spans="1:8" x14ac:dyDescent="0.25">
      <c r="E27" t="s">
        <v>100</v>
      </c>
      <c r="H27" s="20">
        <f>H25*0.4</f>
        <v>5379.5228100840341</v>
      </c>
    </row>
    <row r="28" spans="1:8" ht="15.75" x14ac:dyDescent="0.25">
      <c r="A28" t="s">
        <v>10</v>
      </c>
      <c r="C28" s="10">
        <f>C19-C21-C23-C25</f>
        <v>21567.087731092437</v>
      </c>
      <c r="H28" s="18"/>
    </row>
    <row r="29" spans="1:8" x14ac:dyDescent="0.25">
      <c r="H29" s="3"/>
    </row>
    <row r="30" spans="1:8" x14ac:dyDescent="0.25">
      <c r="H30" s="18"/>
    </row>
  </sheetData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6CCF9-CDB1-42BA-8315-98DEEED06A9F}">
  <dimension ref="A1:H30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616</v>
      </c>
    </row>
    <row r="3" spans="1:8" ht="21" x14ac:dyDescent="0.35">
      <c r="A3" s="2" t="s">
        <v>1</v>
      </c>
      <c r="D3" s="11">
        <v>489227</v>
      </c>
      <c r="F3" s="12" t="s">
        <v>3</v>
      </c>
      <c r="H3" s="11">
        <f>(D3/1.19)*0.19</f>
        <v>78111.873949579836</v>
      </c>
    </row>
    <row r="4" spans="1:8" x14ac:dyDescent="0.25">
      <c r="A4" s="13" t="s">
        <v>29</v>
      </c>
      <c r="C4" s="28">
        <v>829</v>
      </c>
    </row>
    <row r="5" spans="1:8" ht="21" x14ac:dyDescent="0.35">
      <c r="A5" s="2" t="s">
        <v>2</v>
      </c>
      <c r="C5" t="s">
        <v>232</v>
      </c>
    </row>
    <row r="7" spans="1:8" ht="18.75" x14ac:dyDescent="0.3">
      <c r="A7" s="5"/>
      <c r="D7" s="4"/>
      <c r="H7" s="4"/>
    </row>
    <row r="8" spans="1:8" ht="18.75" x14ac:dyDescent="0.3">
      <c r="A8" s="5" t="s">
        <v>167</v>
      </c>
      <c r="D8" s="4">
        <v>348840</v>
      </c>
      <c r="H8" s="4">
        <f t="shared" ref="H8:H13" si="0">(D8/1.19)*0.19</f>
        <v>55697.142857142862</v>
      </c>
    </row>
    <row r="9" spans="1:8" ht="18.75" x14ac:dyDescent="0.3">
      <c r="A9" s="5"/>
      <c r="B9" s="5"/>
      <c r="C9" s="5"/>
      <c r="D9" s="4"/>
      <c r="H9" s="4">
        <f t="shared" si="0"/>
        <v>0</v>
      </c>
    </row>
    <row r="10" spans="1:8" ht="18.75" x14ac:dyDescent="0.3">
      <c r="A10" s="5"/>
      <c r="B10" s="5"/>
      <c r="C10" s="5"/>
      <c r="D10" s="4"/>
      <c r="H10" s="4">
        <f t="shared" si="0"/>
        <v>0</v>
      </c>
    </row>
    <row r="11" spans="1:8" ht="18.75" x14ac:dyDescent="0.3">
      <c r="A11" s="5"/>
      <c r="B11" s="5"/>
      <c r="C11" s="5"/>
      <c r="D11" s="4"/>
      <c r="H11" s="4">
        <f t="shared" si="0"/>
        <v>0</v>
      </c>
    </row>
    <row r="12" spans="1:8" ht="18.75" x14ac:dyDescent="0.3">
      <c r="A12" s="5"/>
      <c r="B12" s="5"/>
      <c r="C12" s="5"/>
      <c r="D12" s="4"/>
      <c r="H12" s="4">
        <f t="shared" si="0"/>
        <v>0</v>
      </c>
    </row>
    <row r="13" spans="1:8" ht="19.5" thickBot="1" x14ac:dyDescent="0.35">
      <c r="A13" s="5"/>
      <c r="B13" s="5"/>
      <c r="C13" s="5"/>
      <c r="D13" s="35"/>
      <c r="E13" s="27"/>
      <c r="H13" s="35">
        <f t="shared" si="0"/>
        <v>0</v>
      </c>
    </row>
    <row r="14" spans="1:8" ht="19.5" thickTop="1" x14ac:dyDescent="0.3">
      <c r="D14" s="4">
        <f>SUM(D7:D13)</f>
        <v>348840</v>
      </c>
      <c r="H14" s="33">
        <f>SUM(H7:H13)</f>
        <v>55697.142857142862</v>
      </c>
    </row>
    <row r="16" spans="1:8" ht="18.75" x14ac:dyDescent="0.3">
      <c r="C16" t="s">
        <v>4</v>
      </c>
      <c r="D16" s="4">
        <f>D3-D14</f>
        <v>140387</v>
      </c>
      <c r="G16" t="s">
        <v>5</v>
      </c>
      <c r="H16" s="4">
        <f>H3-H14</f>
        <v>22414.731092436974</v>
      </c>
    </row>
    <row r="18" spans="1:8" x14ac:dyDescent="0.25">
      <c r="G18" t="s">
        <v>454</v>
      </c>
    </row>
    <row r="19" spans="1:8" ht="15.75" x14ac:dyDescent="0.25">
      <c r="A19" t="s">
        <v>6</v>
      </c>
      <c r="C19" s="8">
        <f>D16</f>
        <v>140387</v>
      </c>
      <c r="E19" t="s">
        <v>10</v>
      </c>
      <c r="H19" s="6">
        <f>C28</f>
        <v>116015.36090756304</v>
      </c>
    </row>
    <row r="21" spans="1:8" ht="15.75" x14ac:dyDescent="0.25">
      <c r="A21" t="s">
        <v>5</v>
      </c>
      <c r="B21" s="9" t="s">
        <v>7</v>
      </c>
      <c r="C21" s="8">
        <f>H16</f>
        <v>22414.731092436974</v>
      </c>
      <c r="E21" s="13" t="s">
        <v>11</v>
      </c>
      <c r="F21" s="9" t="s">
        <v>12</v>
      </c>
      <c r="G21" s="15" t="s">
        <v>17</v>
      </c>
      <c r="H21" s="3">
        <f>-(F22*0.0077)</f>
        <v>-3165.5864705882354</v>
      </c>
    </row>
    <row r="22" spans="1:8" x14ac:dyDescent="0.25">
      <c r="F22" s="21">
        <f>D3-H3</f>
        <v>411115.12605042016</v>
      </c>
    </row>
    <row r="23" spans="1:8" ht="16.5" thickBot="1" x14ac:dyDescent="0.3">
      <c r="A23" t="s">
        <v>8</v>
      </c>
      <c r="B23" s="9" t="s">
        <v>7</v>
      </c>
      <c r="C23" s="8">
        <f>D3*0.004</f>
        <v>1956.9080000000001</v>
      </c>
      <c r="F23" s="9" t="s">
        <v>13</v>
      </c>
      <c r="G23" s="16">
        <v>0.35</v>
      </c>
      <c r="H23" s="17">
        <f>-(F24*0.35)</f>
        <v>-40605.37631764706</v>
      </c>
    </row>
    <row r="24" spans="1:8" x14ac:dyDescent="0.25">
      <c r="F24" s="21">
        <f>H19</f>
        <v>116015.36090756304</v>
      </c>
    </row>
    <row r="25" spans="1:8" ht="15.75" x14ac:dyDescent="0.25">
      <c r="A25" t="s">
        <v>9</v>
      </c>
      <c r="B25" s="9" t="s">
        <v>7</v>
      </c>
      <c r="C25" s="10"/>
      <c r="G25" s="13" t="s">
        <v>14</v>
      </c>
      <c r="H25" s="6">
        <f>H19+H21+H23</f>
        <v>72244.398119327729</v>
      </c>
    </row>
    <row r="26" spans="1:8" ht="15.75" thickBot="1" x14ac:dyDescent="0.3">
      <c r="A26" s="16"/>
      <c r="B26" s="14"/>
      <c r="C26" s="7"/>
    </row>
    <row r="27" spans="1:8" x14ac:dyDescent="0.25">
      <c r="E27" t="s">
        <v>100</v>
      </c>
      <c r="H27" s="20">
        <f>H25*0.4</f>
        <v>28897.759247731094</v>
      </c>
    </row>
    <row r="28" spans="1:8" ht="15.75" x14ac:dyDescent="0.25">
      <c r="A28" t="s">
        <v>10</v>
      </c>
      <c r="C28" s="10">
        <f>C19-C21-C23-C25</f>
        <v>116015.36090756304</v>
      </c>
      <c r="H28" s="18"/>
    </row>
    <row r="29" spans="1:8" x14ac:dyDescent="0.25">
      <c r="H29" s="3"/>
    </row>
    <row r="30" spans="1:8" x14ac:dyDescent="0.25">
      <c r="H30" s="18"/>
    </row>
  </sheetData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BA7C0-758A-4236-B00F-A75A508C6D87}">
  <dimension ref="A1:H30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617</v>
      </c>
    </row>
    <row r="3" spans="1:8" ht="21" x14ac:dyDescent="0.35">
      <c r="A3" s="2" t="s">
        <v>1</v>
      </c>
      <c r="D3" s="11">
        <v>218960</v>
      </c>
      <c r="F3" s="12" t="s">
        <v>3</v>
      </c>
      <c r="H3" s="11">
        <f>(D3/1.19)*0.19</f>
        <v>34960</v>
      </c>
    </row>
    <row r="4" spans="1:8" x14ac:dyDescent="0.25">
      <c r="A4" s="13" t="s">
        <v>29</v>
      </c>
      <c r="C4" s="28">
        <v>837</v>
      </c>
    </row>
    <row r="5" spans="1:8" ht="21" x14ac:dyDescent="0.35">
      <c r="A5" s="2" t="s">
        <v>2</v>
      </c>
      <c r="C5" t="s">
        <v>232</v>
      </c>
    </row>
    <row r="7" spans="1:8" ht="18.75" x14ac:dyDescent="0.3">
      <c r="A7" s="5"/>
      <c r="D7" s="4"/>
      <c r="H7" s="4"/>
    </row>
    <row r="8" spans="1:8" ht="18.75" x14ac:dyDescent="0.3">
      <c r="A8" s="5" t="s">
        <v>488</v>
      </c>
      <c r="D8" s="4">
        <v>161269</v>
      </c>
      <c r="H8" s="4">
        <f t="shared" ref="H8:H13" si="0">(D8/1.19)*0.19</f>
        <v>25748.831932773108</v>
      </c>
    </row>
    <row r="9" spans="1:8" ht="18.75" x14ac:dyDescent="0.3">
      <c r="A9" s="5"/>
      <c r="B9" s="5"/>
      <c r="C9" s="5"/>
      <c r="D9" s="4"/>
      <c r="H9" s="4">
        <f t="shared" si="0"/>
        <v>0</v>
      </c>
    </row>
    <row r="10" spans="1:8" ht="18.75" x14ac:dyDescent="0.3">
      <c r="A10" s="5"/>
      <c r="B10" s="5"/>
      <c r="C10" s="5"/>
      <c r="D10" s="4"/>
      <c r="H10" s="4">
        <f t="shared" si="0"/>
        <v>0</v>
      </c>
    </row>
    <row r="11" spans="1:8" ht="18.75" x14ac:dyDescent="0.3">
      <c r="A11" s="5"/>
      <c r="B11" s="5"/>
      <c r="C11" s="5"/>
      <c r="D11" s="4"/>
      <c r="H11" s="4">
        <f t="shared" si="0"/>
        <v>0</v>
      </c>
    </row>
    <row r="12" spans="1:8" ht="18.75" x14ac:dyDescent="0.3">
      <c r="A12" s="5"/>
      <c r="B12" s="5"/>
      <c r="C12" s="5"/>
      <c r="D12" s="4"/>
      <c r="H12" s="4">
        <f t="shared" si="0"/>
        <v>0</v>
      </c>
    </row>
    <row r="13" spans="1:8" ht="19.5" thickBot="1" x14ac:dyDescent="0.35">
      <c r="A13" s="5"/>
      <c r="B13" s="5"/>
      <c r="C13" s="5"/>
      <c r="D13" s="35"/>
      <c r="E13" s="27"/>
      <c r="H13" s="35">
        <f t="shared" si="0"/>
        <v>0</v>
      </c>
    </row>
    <row r="14" spans="1:8" ht="19.5" thickTop="1" x14ac:dyDescent="0.3">
      <c r="D14" s="4">
        <f>SUM(D7:D13)</f>
        <v>161269</v>
      </c>
      <c r="H14" s="33">
        <f>SUM(H7:H13)</f>
        <v>25748.831932773108</v>
      </c>
    </row>
    <row r="16" spans="1:8" ht="18.75" x14ac:dyDescent="0.3">
      <c r="C16" t="s">
        <v>4</v>
      </c>
      <c r="D16" s="4">
        <f>D3-D14</f>
        <v>57691</v>
      </c>
      <c r="G16" t="s">
        <v>5</v>
      </c>
      <c r="H16" s="4">
        <f>H3-H14</f>
        <v>9211.1680672268922</v>
      </c>
    </row>
    <row r="18" spans="1:8" x14ac:dyDescent="0.25">
      <c r="G18" t="s">
        <v>454</v>
      </c>
    </row>
    <row r="19" spans="1:8" ht="15.75" x14ac:dyDescent="0.25">
      <c r="A19" t="s">
        <v>6</v>
      </c>
      <c r="C19" s="8">
        <f>D16</f>
        <v>57691</v>
      </c>
      <c r="E19" t="s">
        <v>10</v>
      </c>
      <c r="H19" s="6">
        <f>C28</f>
        <v>47603.991932773111</v>
      </c>
    </row>
    <row r="21" spans="1:8" ht="15.75" x14ac:dyDescent="0.25">
      <c r="A21" t="s">
        <v>5</v>
      </c>
      <c r="B21" s="9" t="s">
        <v>7</v>
      </c>
      <c r="C21" s="8">
        <f>H16</f>
        <v>9211.1680672268922</v>
      </c>
      <c r="E21" s="13" t="s">
        <v>11</v>
      </c>
      <c r="F21" s="9" t="s">
        <v>12</v>
      </c>
      <c r="G21" s="15" t="s">
        <v>17</v>
      </c>
      <c r="H21" s="3">
        <f>-(F22*0.0077)</f>
        <v>-1416.8</v>
      </c>
    </row>
    <row r="22" spans="1:8" x14ac:dyDescent="0.25">
      <c r="F22" s="21">
        <f>D3-H3</f>
        <v>184000</v>
      </c>
    </row>
    <row r="23" spans="1:8" ht="16.5" thickBot="1" x14ac:dyDescent="0.3">
      <c r="A23" t="s">
        <v>8</v>
      </c>
      <c r="B23" s="9" t="s">
        <v>7</v>
      </c>
      <c r="C23" s="8">
        <f>D3*0.004</f>
        <v>875.84</v>
      </c>
      <c r="F23" s="9" t="s">
        <v>13</v>
      </c>
      <c r="G23" s="16">
        <v>0.35</v>
      </c>
      <c r="H23" s="17">
        <f>-(F24*0.35)</f>
        <v>-16661.397176470589</v>
      </c>
    </row>
    <row r="24" spans="1:8" x14ac:dyDescent="0.25">
      <c r="F24" s="21">
        <f>H19</f>
        <v>47603.991932773111</v>
      </c>
    </row>
    <row r="25" spans="1:8" ht="15.75" x14ac:dyDescent="0.25">
      <c r="A25" t="s">
        <v>9</v>
      </c>
      <c r="B25" s="9" t="s">
        <v>7</v>
      </c>
      <c r="C25" s="10"/>
      <c r="G25" s="13" t="s">
        <v>14</v>
      </c>
      <c r="H25" s="6">
        <f>H19+H21+H23</f>
        <v>29525.794756302519</v>
      </c>
    </row>
    <row r="26" spans="1:8" ht="15.75" thickBot="1" x14ac:dyDescent="0.3">
      <c r="A26" s="16"/>
      <c r="B26" s="14"/>
      <c r="C26" s="7"/>
    </row>
    <row r="27" spans="1:8" x14ac:dyDescent="0.25">
      <c r="E27" t="s">
        <v>100</v>
      </c>
      <c r="H27" s="20">
        <f>H25*0.4</f>
        <v>11810.317902521008</v>
      </c>
    </row>
    <row r="28" spans="1:8" ht="15.75" x14ac:dyDescent="0.25">
      <c r="A28" t="s">
        <v>10</v>
      </c>
      <c r="C28" s="10">
        <f>C19-C21-C23-C25</f>
        <v>47603.991932773111</v>
      </c>
      <c r="H28" s="18"/>
    </row>
    <row r="29" spans="1:8" x14ac:dyDescent="0.25">
      <c r="H29" s="3"/>
    </row>
    <row r="30" spans="1:8" x14ac:dyDescent="0.25">
      <c r="H30" s="18"/>
    </row>
  </sheetData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13125-78D3-4C49-BC81-C7A8E2A1389C}">
  <dimension ref="A1:H30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618</v>
      </c>
    </row>
    <row r="3" spans="1:8" ht="21" x14ac:dyDescent="0.35">
      <c r="A3" s="2" t="s">
        <v>1</v>
      </c>
      <c r="D3" s="11">
        <v>202300</v>
      </c>
      <c r="F3" s="12" t="s">
        <v>3</v>
      </c>
      <c r="H3" s="11">
        <f>(D3/1.19)*0.19</f>
        <v>32300</v>
      </c>
    </row>
    <row r="4" spans="1:8" x14ac:dyDescent="0.25">
      <c r="A4" s="13" t="s">
        <v>29</v>
      </c>
      <c r="C4" s="28">
        <v>839</v>
      </c>
    </row>
    <row r="5" spans="1:8" ht="21" x14ac:dyDescent="0.35">
      <c r="A5" s="2" t="s">
        <v>2</v>
      </c>
      <c r="C5" t="s">
        <v>232</v>
      </c>
    </row>
    <row r="7" spans="1:8" ht="18.75" x14ac:dyDescent="0.3">
      <c r="A7" s="5"/>
      <c r="D7" s="4"/>
      <c r="H7" s="4"/>
    </row>
    <row r="8" spans="1:8" ht="18.75" x14ac:dyDescent="0.3">
      <c r="A8" s="5" t="s">
        <v>425</v>
      </c>
      <c r="D8" s="4">
        <v>121201</v>
      </c>
      <c r="H8" s="4">
        <f t="shared" ref="H8:H13" si="0">(D8/1.19)*0.19</f>
        <v>19351.420168067227</v>
      </c>
    </row>
    <row r="9" spans="1:8" ht="18.75" x14ac:dyDescent="0.3">
      <c r="A9" s="5"/>
      <c r="B9" s="5"/>
      <c r="C9" s="5"/>
      <c r="D9" s="4"/>
      <c r="H9" s="4">
        <f t="shared" si="0"/>
        <v>0</v>
      </c>
    </row>
    <row r="10" spans="1:8" ht="18.75" x14ac:dyDescent="0.3">
      <c r="A10" s="5"/>
      <c r="B10" s="5"/>
      <c r="C10" s="5"/>
      <c r="D10" s="4"/>
      <c r="H10" s="4">
        <f t="shared" si="0"/>
        <v>0</v>
      </c>
    </row>
    <row r="11" spans="1:8" ht="18.75" x14ac:dyDescent="0.3">
      <c r="A11" s="5"/>
      <c r="B11" s="5"/>
      <c r="C11" s="5"/>
      <c r="D11" s="4"/>
      <c r="H11" s="4">
        <f t="shared" si="0"/>
        <v>0</v>
      </c>
    </row>
    <row r="12" spans="1:8" ht="18.75" x14ac:dyDescent="0.3">
      <c r="A12" s="5"/>
      <c r="B12" s="5"/>
      <c r="C12" s="5"/>
      <c r="D12" s="4"/>
      <c r="H12" s="4">
        <f t="shared" si="0"/>
        <v>0</v>
      </c>
    </row>
    <row r="13" spans="1:8" ht="19.5" thickBot="1" x14ac:dyDescent="0.35">
      <c r="A13" s="5"/>
      <c r="B13" s="5"/>
      <c r="C13" s="5"/>
      <c r="D13" s="35"/>
      <c r="E13" s="27"/>
      <c r="H13" s="35">
        <f t="shared" si="0"/>
        <v>0</v>
      </c>
    </row>
    <row r="14" spans="1:8" ht="19.5" thickTop="1" x14ac:dyDescent="0.3">
      <c r="D14" s="4">
        <f>SUM(D7:D13)</f>
        <v>121201</v>
      </c>
      <c r="H14" s="33">
        <f>SUM(H7:H13)</f>
        <v>19351.420168067227</v>
      </c>
    </row>
    <row r="16" spans="1:8" ht="18.75" x14ac:dyDescent="0.3">
      <c r="C16" t="s">
        <v>4</v>
      </c>
      <c r="D16" s="4">
        <f>D3-D14</f>
        <v>81099</v>
      </c>
      <c r="G16" t="s">
        <v>5</v>
      </c>
      <c r="H16" s="4">
        <f>H3-H14</f>
        <v>12948.579831932773</v>
      </c>
    </row>
    <row r="18" spans="1:8" x14ac:dyDescent="0.25">
      <c r="G18" t="s">
        <v>454</v>
      </c>
    </row>
    <row r="19" spans="1:8" ht="15.75" x14ac:dyDescent="0.25">
      <c r="A19" t="s">
        <v>6</v>
      </c>
      <c r="C19" s="8">
        <f>D16</f>
        <v>81099</v>
      </c>
      <c r="E19" t="s">
        <v>10</v>
      </c>
      <c r="H19" s="6">
        <f>C28</f>
        <v>67341.22016806723</v>
      </c>
    </row>
    <row r="21" spans="1:8" ht="15.75" x14ac:dyDescent="0.25">
      <c r="A21" t="s">
        <v>5</v>
      </c>
      <c r="B21" s="9" t="s">
        <v>7</v>
      </c>
      <c r="C21" s="8">
        <f>H16</f>
        <v>12948.579831932773</v>
      </c>
      <c r="E21" s="13" t="s">
        <v>11</v>
      </c>
      <c r="F21" s="9" t="s">
        <v>12</v>
      </c>
      <c r="G21" s="15" t="s">
        <v>17</v>
      </c>
      <c r="H21" s="3">
        <f>-(F22*0.0077)</f>
        <v>-1309</v>
      </c>
    </row>
    <row r="22" spans="1:8" x14ac:dyDescent="0.25">
      <c r="F22" s="21">
        <f>D3-H3</f>
        <v>170000</v>
      </c>
    </row>
    <row r="23" spans="1:8" ht="16.5" thickBot="1" x14ac:dyDescent="0.3">
      <c r="A23" t="s">
        <v>8</v>
      </c>
      <c r="B23" s="9" t="s">
        <v>7</v>
      </c>
      <c r="C23" s="8">
        <f>D3*0.004</f>
        <v>809.2</v>
      </c>
      <c r="F23" s="9" t="s">
        <v>13</v>
      </c>
      <c r="G23" s="16">
        <v>0.35</v>
      </c>
      <c r="H23" s="17">
        <f>-(F24*0.35)</f>
        <v>-23569.42705882353</v>
      </c>
    </row>
    <row r="24" spans="1:8" x14ac:dyDescent="0.25">
      <c r="F24" s="21">
        <f>H19</f>
        <v>67341.22016806723</v>
      </c>
    </row>
    <row r="25" spans="1:8" ht="15.75" x14ac:dyDescent="0.25">
      <c r="A25" t="s">
        <v>9</v>
      </c>
      <c r="B25" s="9" t="s">
        <v>7</v>
      </c>
      <c r="C25" s="10"/>
      <c r="G25" s="13" t="s">
        <v>14</v>
      </c>
      <c r="H25" s="6">
        <f>H19+H21+H23</f>
        <v>42462.793109243699</v>
      </c>
    </row>
    <row r="26" spans="1:8" ht="15.75" thickBot="1" x14ac:dyDescent="0.3">
      <c r="A26" s="16"/>
      <c r="B26" s="14"/>
      <c r="C26" s="7"/>
    </row>
    <row r="27" spans="1:8" x14ac:dyDescent="0.25">
      <c r="E27" t="s">
        <v>100</v>
      </c>
      <c r="H27" s="20">
        <f>H25*0.4</f>
        <v>16985.117243697481</v>
      </c>
    </row>
    <row r="28" spans="1:8" ht="15.75" x14ac:dyDescent="0.25">
      <c r="A28" t="s">
        <v>10</v>
      </c>
      <c r="C28" s="10">
        <f>C19-C21-C23-C25</f>
        <v>67341.22016806723</v>
      </c>
      <c r="H28" s="18"/>
    </row>
    <row r="29" spans="1:8" x14ac:dyDescent="0.25">
      <c r="H29" s="3"/>
    </row>
    <row r="30" spans="1:8" x14ac:dyDescent="0.25">
      <c r="H30" s="18"/>
    </row>
  </sheetData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C662C-0DD3-45E5-AEFC-0CC4D64C52E9}">
  <dimension ref="A1:H30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619</v>
      </c>
    </row>
    <row r="3" spans="1:8" ht="21" x14ac:dyDescent="0.35">
      <c r="A3" s="2" t="s">
        <v>1</v>
      </c>
      <c r="D3" s="11">
        <v>649621</v>
      </c>
      <c r="F3" s="12" t="s">
        <v>3</v>
      </c>
      <c r="H3" s="11">
        <f>(D3/1.19)*0.19</f>
        <v>103721</v>
      </c>
    </row>
    <row r="4" spans="1:8" x14ac:dyDescent="0.25">
      <c r="A4" s="13" t="s">
        <v>29</v>
      </c>
      <c r="C4" s="28">
        <v>840</v>
      </c>
    </row>
    <row r="5" spans="1:8" ht="21" x14ac:dyDescent="0.35">
      <c r="A5" s="2" t="s">
        <v>2</v>
      </c>
      <c r="C5" t="s">
        <v>232</v>
      </c>
    </row>
    <row r="7" spans="1:8" ht="18.75" x14ac:dyDescent="0.3">
      <c r="A7" s="5"/>
      <c r="D7" s="4"/>
      <c r="H7" s="4"/>
    </row>
    <row r="8" spans="1:8" ht="18.75" x14ac:dyDescent="0.3">
      <c r="A8" s="5" t="s">
        <v>425</v>
      </c>
      <c r="D8" s="4">
        <v>434826</v>
      </c>
      <c r="H8" s="4">
        <f t="shared" ref="H8:H13" si="0">(D8/1.19)*0.19</f>
        <v>69426</v>
      </c>
    </row>
    <row r="9" spans="1:8" ht="18.75" x14ac:dyDescent="0.3">
      <c r="A9" s="5"/>
      <c r="B9" s="5"/>
      <c r="C9" s="5"/>
      <c r="D9" s="4"/>
      <c r="H9" s="4">
        <f t="shared" si="0"/>
        <v>0</v>
      </c>
    </row>
    <row r="10" spans="1:8" ht="18.75" x14ac:dyDescent="0.3">
      <c r="A10" s="5"/>
      <c r="B10" s="5"/>
      <c r="C10" s="5"/>
      <c r="D10" s="4"/>
      <c r="H10" s="4">
        <f t="shared" si="0"/>
        <v>0</v>
      </c>
    </row>
    <row r="11" spans="1:8" ht="18.75" x14ac:dyDescent="0.3">
      <c r="A11" s="5"/>
      <c r="B11" s="5"/>
      <c r="C11" s="5"/>
      <c r="D11" s="4"/>
      <c r="H11" s="4">
        <f t="shared" si="0"/>
        <v>0</v>
      </c>
    </row>
    <row r="12" spans="1:8" ht="18.75" x14ac:dyDescent="0.3">
      <c r="A12" s="5"/>
      <c r="B12" s="5"/>
      <c r="C12" s="5"/>
      <c r="D12" s="4"/>
      <c r="H12" s="4">
        <f t="shared" si="0"/>
        <v>0</v>
      </c>
    </row>
    <row r="13" spans="1:8" ht="19.5" thickBot="1" x14ac:dyDescent="0.35">
      <c r="A13" s="5"/>
      <c r="B13" s="5"/>
      <c r="C13" s="5"/>
      <c r="D13" s="35"/>
      <c r="E13" s="27"/>
      <c r="H13" s="35">
        <f t="shared" si="0"/>
        <v>0</v>
      </c>
    </row>
    <row r="14" spans="1:8" ht="19.5" thickTop="1" x14ac:dyDescent="0.3">
      <c r="D14" s="4">
        <f>SUM(D7:D13)</f>
        <v>434826</v>
      </c>
      <c r="H14" s="33">
        <f>SUM(H7:H13)</f>
        <v>69426</v>
      </c>
    </row>
    <row r="16" spans="1:8" ht="18.75" x14ac:dyDescent="0.3">
      <c r="C16" t="s">
        <v>4</v>
      </c>
      <c r="D16" s="4">
        <f>D3-D14</f>
        <v>214795</v>
      </c>
      <c r="G16" t="s">
        <v>5</v>
      </c>
      <c r="H16" s="4">
        <f>H3-H14</f>
        <v>34295</v>
      </c>
    </row>
    <row r="18" spans="1:8" x14ac:dyDescent="0.25">
      <c r="G18" t="s">
        <v>454</v>
      </c>
    </row>
    <row r="19" spans="1:8" ht="15.75" x14ac:dyDescent="0.25">
      <c r="A19" t="s">
        <v>6</v>
      </c>
      <c r="C19" s="8">
        <f>D16</f>
        <v>214795</v>
      </c>
      <c r="E19" t="s">
        <v>10</v>
      </c>
      <c r="H19" s="6">
        <f>C28</f>
        <v>177901.516</v>
      </c>
    </row>
    <row r="21" spans="1:8" ht="15.75" x14ac:dyDescent="0.25">
      <c r="A21" t="s">
        <v>5</v>
      </c>
      <c r="B21" s="9" t="s">
        <v>7</v>
      </c>
      <c r="C21" s="8">
        <f>H16</f>
        <v>34295</v>
      </c>
      <c r="E21" s="13" t="s">
        <v>11</v>
      </c>
      <c r="F21" s="9" t="s">
        <v>12</v>
      </c>
      <c r="G21" s="15" t="s">
        <v>17</v>
      </c>
      <c r="H21" s="3">
        <f>-(F22*0.0077)</f>
        <v>-4203.43</v>
      </c>
    </row>
    <row r="22" spans="1:8" x14ac:dyDescent="0.25">
      <c r="F22" s="21">
        <f>D3-H3</f>
        <v>545900</v>
      </c>
    </row>
    <row r="23" spans="1:8" ht="16.5" thickBot="1" x14ac:dyDescent="0.3">
      <c r="A23" t="s">
        <v>8</v>
      </c>
      <c r="B23" s="9" t="s">
        <v>7</v>
      </c>
      <c r="C23" s="8">
        <f>D3*0.004</f>
        <v>2598.4839999999999</v>
      </c>
      <c r="F23" s="9" t="s">
        <v>13</v>
      </c>
      <c r="G23" s="16">
        <v>0.35</v>
      </c>
      <c r="H23" s="17">
        <f>-(F24*0.35)</f>
        <v>-62265.530599999998</v>
      </c>
    </row>
    <row r="24" spans="1:8" x14ac:dyDescent="0.25">
      <c r="F24" s="21">
        <f>H19</f>
        <v>177901.516</v>
      </c>
    </row>
    <row r="25" spans="1:8" ht="15.75" x14ac:dyDescent="0.25">
      <c r="A25" t="s">
        <v>9</v>
      </c>
      <c r="B25" s="9" t="s">
        <v>7</v>
      </c>
      <c r="C25" s="10"/>
      <c r="G25" s="13" t="s">
        <v>14</v>
      </c>
      <c r="H25" s="6">
        <f>H19+H21+H23</f>
        <v>111432.55540000001</v>
      </c>
    </row>
    <row r="26" spans="1:8" ht="15.75" thickBot="1" x14ac:dyDescent="0.3">
      <c r="A26" s="16"/>
      <c r="B26" s="14"/>
      <c r="C26" s="7"/>
    </row>
    <row r="27" spans="1:8" x14ac:dyDescent="0.25">
      <c r="E27" t="s">
        <v>100</v>
      </c>
      <c r="H27" s="20">
        <f>H25*0.4</f>
        <v>44573.022160000008</v>
      </c>
    </row>
    <row r="28" spans="1:8" ht="15.75" x14ac:dyDescent="0.25">
      <c r="A28" t="s">
        <v>10</v>
      </c>
      <c r="C28" s="10">
        <f>C19-C21-C23-C25</f>
        <v>177901.516</v>
      </c>
      <c r="H28" s="18"/>
    </row>
    <row r="29" spans="1:8" x14ac:dyDescent="0.25">
      <c r="H29" s="3"/>
    </row>
    <row r="30" spans="1:8" x14ac:dyDescent="0.25">
      <c r="H30" s="18"/>
    </row>
  </sheetData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EC0D8-6A20-4C80-8F09-75B849F411E8}">
  <dimension ref="A1:H30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620</v>
      </c>
    </row>
    <row r="3" spans="1:8" ht="21" x14ac:dyDescent="0.35">
      <c r="A3" s="2" t="s">
        <v>1</v>
      </c>
      <c r="D3" s="11">
        <v>1884960</v>
      </c>
      <c r="F3" s="12" t="s">
        <v>3</v>
      </c>
      <c r="H3" s="11">
        <f>(D3/1.19)*0.19</f>
        <v>300960</v>
      </c>
    </row>
    <row r="4" spans="1:8" x14ac:dyDescent="0.25">
      <c r="A4" s="13" t="s">
        <v>29</v>
      </c>
      <c r="C4" s="28">
        <v>841</v>
      </c>
    </row>
    <row r="5" spans="1:8" ht="21" x14ac:dyDescent="0.35">
      <c r="A5" s="2" t="s">
        <v>2</v>
      </c>
      <c r="C5" t="s">
        <v>232</v>
      </c>
    </row>
    <row r="7" spans="1:8" ht="18.75" x14ac:dyDescent="0.3">
      <c r="A7" s="5"/>
      <c r="D7" s="4"/>
      <c r="H7" s="4"/>
    </row>
    <row r="8" spans="1:8" ht="18.75" x14ac:dyDescent="0.3">
      <c r="A8" s="5" t="s">
        <v>606</v>
      </c>
      <c r="D8" s="4">
        <v>884313</v>
      </c>
      <c r="H8" s="4">
        <f t="shared" ref="H8:H13" si="0">(D8/1.19)*0.19</f>
        <v>141192.83193277312</v>
      </c>
    </row>
    <row r="9" spans="1:8" ht="18.75" x14ac:dyDescent="0.3">
      <c r="A9" s="5" t="s">
        <v>621</v>
      </c>
      <c r="B9" s="5"/>
      <c r="C9" s="5"/>
      <c r="D9" s="4">
        <v>60000</v>
      </c>
      <c r="H9" s="4">
        <f t="shared" si="0"/>
        <v>9579.8319327731097</v>
      </c>
    </row>
    <row r="10" spans="1:8" ht="18.75" x14ac:dyDescent="0.3">
      <c r="A10" s="5"/>
      <c r="B10" s="5"/>
      <c r="C10" s="5"/>
      <c r="D10" s="4"/>
      <c r="H10" s="4">
        <f t="shared" si="0"/>
        <v>0</v>
      </c>
    </row>
    <row r="11" spans="1:8" ht="18.75" x14ac:dyDescent="0.3">
      <c r="A11" s="5"/>
      <c r="B11" s="5"/>
      <c r="C11" s="5"/>
      <c r="D11" s="4"/>
      <c r="H11" s="4">
        <f t="shared" si="0"/>
        <v>0</v>
      </c>
    </row>
    <row r="12" spans="1:8" ht="18.75" x14ac:dyDescent="0.3">
      <c r="A12" s="5"/>
      <c r="B12" s="5"/>
      <c r="C12" s="5"/>
      <c r="D12" s="4"/>
      <c r="H12" s="4">
        <f t="shared" si="0"/>
        <v>0</v>
      </c>
    </row>
    <row r="13" spans="1:8" ht="19.5" thickBot="1" x14ac:dyDescent="0.35">
      <c r="A13" s="5"/>
      <c r="B13" s="5"/>
      <c r="C13" s="5"/>
      <c r="D13" s="35"/>
      <c r="E13" s="27"/>
      <c r="H13" s="35">
        <f t="shared" si="0"/>
        <v>0</v>
      </c>
    </row>
    <row r="14" spans="1:8" ht="19.5" thickTop="1" x14ac:dyDescent="0.3">
      <c r="D14" s="4">
        <f>SUM(D7:D13)</f>
        <v>944313</v>
      </c>
      <c r="H14" s="33">
        <f>SUM(H7:H13)</f>
        <v>150772.66386554623</v>
      </c>
    </row>
    <row r="16" spans="1:8" ht="18.75" x14ac:dyDescent="0.3">
      <c r="C16" t="s">
        <v>4</v>
      </c>
      <c r="D16" s="4">
        <f>D3-D14</f>
        <v>940647</v>
      </c>
      <c r="G16" t="s">
        <v>5</v>
      </c>
      <c r="H16" s="4">
        <f>H3-H14</f>
        <v>150187.33613445377</v>
      </c>
    </row>
    <row r="18" spans="1:8" x14ac:dyDescent="0.25">
      <c r="G18" t="s">
        <v>454</v>
      </c>
    </row>
    <row r="19" spans="1:8" ht="15.75" x14ac:dyDescent="0.25">
      <c r="A19" t="s">
        <v>6</v>
      </c>
      <c r="C19" s="8">
        <f>D16</f>
        <v>940647</v>
      </c>
      <c r="E19" t="s">
        <v>10</v>
      </c>
      <c r="H19" s="6">
        <f>C28</f>
        <v>782919.82386554626</v>
      </c>
    </row>
    <row r="21" spans="1:8" ht="15.75" x14ac:dyDescent="0.25">
      <c r="A21" t="s">
        <v>5</v>
      </c>
      <c r="B21" s="9" t="s">
        <v>7</v>
      </c>
      <c r="C21" s="8">
        <f>H16</f>
        <v>150187.33613445377</v>
      </c>
      <c r="E21" s="13" t="s">
        <v>11</v>
      </c>
      <c r="F21" s="9" t="s">
        <v>12</v>
      </c>
      <c r="G21" s="15" t="s">
        <v>17</v>
      </c>
      <c r="H21" s="3">
        <f>-(F22*0.0077)</f>
        <v>-12196.800000000001</v>
      </c>
    </row>
    <row r="22" spans="1:8" x14ac:dyDescent="0.25">
      <c r="F22" s="21">
        <f>D3-H3</f>
        <v>1584000</v>
      </c>
    </row>
    <row r="23" spans="1:8" ht="16.5" thickBot="1" x14ac:dyDescent="0.3">
      <c r="A23" t="s">
        <v>8</v>
      </c>
      <c r="B23" s="9" t="s">
        <v>7</v>
      </c>
      <c r="C23" s="8">
        <f>D3*0.004</f>
        <v>7539.84</v>
      </c>
      <c r="F23" s="9" t="s">
        <v>13</v>
      </c>
      <c r="G23" s="16">
        <v>0.35</v>
      </c>
      <c r="H23" s="17">
        <f>-(F24*0.35)</f>
        <v>-274021.93835294119</v>
      </c>
    </row>
    <row r="24" spans="1:8" x14ac:dyDescent="0.25">
      <c r="F24" s="21">
        <f>H19</f>
        <v>782919.82386554626</v>
      </c>
    </row>
    <row r="25" spans="1:8" ht="15.75" x14ac:dyDescent="0.25">
      <c r="A25" t="s">
        <v>9</v>
      </c>
      <c r="B25" s="9" t="s">
        <v>7</v>
      </c>
      <c r="C25" s="10"/>
      <c r="G25" s="13" t="s">
        <v>14</v>
      </c>
      <c r="H25" s="6">
        <f>H19+H21+H23</f>
        <v>496701.08551260503</v>
      </c>
    </row>
    <row r="26" spans="1:8" ht="15.75" thickBot="1" x14ac:dyDescent="0.3">
      <c r="A26" s="16"/>
      <c r="B26" s="14"/>
      <c r="C26" s="7"/>
    </row>
    <row r="27" spans="1:8" x14ac:dyDescent="0.25">
      <c r="E27" t="s">
        <v>100</v>
      </c>
      <c r="H27" s="20">
        <f>H25*0.4</f>
        <v>198680.43420504202</v>
      </c>
    </row>
    <row r="28" spans="1:8" ht="15.75" x14ac:dyDescent="0.25">
      <c r="A28" t="s">
        <v>10</v>
      </c>
      <c r="C28" s="10">
        <f>C19-C21-C23-C25</f>
        <v>782919.82386554626</v>
      </c>
      <c r="H28" s="18"/>
    </row>
    <row r="29" spans="1:8" x14ac:dyDescent="0.25">
      <c r="H29" s="3"/>
    </row>
    <row r="30" spans="1:8" x14ac:dyDescent="0.25">
      <c r="H30" s="18"/>
    </row>
  </sheetData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49486-6DF3-41E3-AD48-81971EF504D8}">
  <dimension ref="A1:H30"/>
  <sheetViews>
    <sheetView workbookViewId="0">
      <selection activeCell="C5" sqref="C5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300</v>
      </c>
    </row>
    <row r="3" spans="1:8" ht="21" x14ac:dyDescent="0.35">
      <c r="A3" s="2" t="s">
        <v>1</v>
      </c>
      <c r="D3" s="11">
        <v>1165962</v>
      </c>
      <c r="F3" s="12" t="s">
        <v>3</v>
      </c>
      <c r="H3" s="11">
        <f>(D3/1.19)*0.19</f>
        <v>186162</v>
      </c>
    </row>
    <row r="4" spans="1:8" x14ac:dyDescent="0.25">
      <c r="A4" s="13" t="s">
        <v>29</v>
      </c>
      <c r="C4" s="28">
        <v>842</v>
      </c>
    </row>
    <row r="5" spans="1:8" ht="21" x14ac:dyDescent="0.35">
      <c r="A5" s="2" t="s">
        <v>2</v>
      </c>
      <c r="C5" t="s">
        <v>232</v>
      </c>
    </row>
    <row r="7" spans="1:8" ht="18.75" x14ac:dyDescent="0.3">
      <c r="A7" s="5"/>
      <c r="D7" s="4"/>
      <c r="H7" s="4"/>
    </row>
    <row r="8" spans="1:8" ht="18.75" x14ac:dyDescent="0.3">
      <c r="A8" s="5" t="s">
        <v>488</v>
      </c>
      <c r="D8" s="4">
        <v>160536</v>
      </c>
      <c r="H8" s="4">
        <f t="shared" ref="H8:H13" si="0">(D8/1.19)*0.19</f>
        <v>25631.798319327732</v>
      </c>
    </row>
    <row r="9" spans="1:8" ht="18.75" x14ac:dyDescent="0.3">
      <c r="A9" s="5" t="s">
        <v>554</v>
      </c>
      <c r="B9" s="5"/>
      <c r="C9" s="5"/>
      <c r="D9" s="4">
        <v>514230</v>
      </c>
      <c r="H9" s="4">
        <f t="shared" si="0"/>
        <v>82103.94957983194</v>
      </c>
    </row>
    <row r="10" spans="1:8" ht="18.75" x14ac:dyDescent="0.3">
      <c r="A10" s="5" t="s">
        <v>444</v>
      </c>
      <c r="B10" s="5"/>
      <c r="C10" s="5"/>
      <c r="D10" s="4">
        <v>23562</v>
      </c>
      <c r="H10" s="4">
        <f t="shared" si="0"/>
        <v>3762</v>
      </c>
    </row>
    <row r="11" spans="1:8" ht="18.75" x14ac:dyDescent="0.3">
      <c r="A11" s="5" t="s">
        <v>466</v>
      </c>
      <c r="B11" s="5"/>
      <c r="C11" s="5"/>
      <c r="D11" s="4">
        <v>48731</v>
      </c>
      <c r="H11" s="4">
        <f t="shared" si="0"/>
        <v>7780.5798319327732</v>
      </c>
    </row>
    <row r="12" spans="1:8" ht="18.75" x14ac:dyDescent="0.3">
      <c r="A12" s="5" t="s">
        <v>167</v>
      </c>
      <c r="B12" s="5"/>
      <c r="C12" s="5"/>
      <c r="D12" s="4">
        <v>56099</v>
      </c>
      <c r="H12" s="4">
        <f t="shared" si="0"/>
        <v>8956.9831932773122</v>
      </c>
    </row>
    <row r="13" spans="1:8" ht="19.5" thickBot="1" x14ac:dyDescent="0.35">
      <c r="A13" s="5" t="s">
        <v>608</v>
      </c>
      <c r="B13" s="5"/>
      <c r="C13" s="5"/>
      <c r="D13" s="35">
        <v>6605</v>
      </c>
      <c r="E13" s="27"/>
      <c r="H13" s="35">
        <f t="shared" si="0"/>
        <v>1054.579831932773</v>
      </c>
    </row>
    <row r="14" spans="1:8" ht="19.5" thickTop="1" x14ac:dyDescent="0.3">
      <c r="D14" s="4">
        <f>SUM(D7:D13)</f>
        <v>809763</v>
      </c>
      <c r="H14" s="33">
        <f>SUM(H7:H13)</f>
        <v>129289.89075630253</v>
      </c>
    </row>
    <row r="16" spans="1:8" ht="18.75" x14ac:dyDescent="0.3">
      <c r="C16" t="s">
        <v>4</v>
      </c>
      <c r="D16" s="4">
        <f>D3-D14</f>
        <v>356199</v>
      </c>
      <c r="G16" t="s">
        <v>5</v>
      </c>
      <c r="H16" s="4">
        <f>H3-H14</f>
        <v>56872.109243697472</v>
      </c>
    </row>
    <row r="18" spans="1:8" x14ac:dyDescent="0.25">
      <c r="G18" t="s">
        <v>454</v>
      </c>
    </row>
    <row r="19" spans="1:8" ht="15.75" x14ac:dyDescent="0.25">
      <c r="A19" t="s">
        <v>6</v>
      </c>
      <c r="C19" s="8">
        <f>D16</f>
        <v>356199</v>
      </c>
      <c r="E19" t="s">
        <v>10</v>
      </c>
      <c r="H19" s="6">
        <f>C28</f>
        <v>294663.04275630252</v>
      </c>
    </row>
    <row r="21" spans="1:8" ht="15.75" x14ac:dyDescent="0.25">
      <c r="A21" t="s">
        <v>5</v>
      </c>
      <c r="B21" s="9" t="s">
        <v>7</v>
      </c>
      <c r="C21" s="8">
        <f>H16</f>
        <v>56872.109243697472</v>
      </c>
      <c r="E21" s="13" t="s">
        <v>11</v>
      </c>
      <c r="F21" s="9" t="s">
        <v>12</v>
      </c>
      <c r="G21" s="15" t="s">
        <v>17</v>
      </c>
      <c r="H21" s="3">
        <f>-(F22*0.0077)</f>
        <v>-7544.46</v>
      </c>
    </row>
    <row r="22" spans="1:8" x14ac:dyDescent="0.25">
      <c r="F22" s="21">
        <f>D3-H3</f>
        <v>979800</v>
      </c>
    </row>
    <row r="23" spans="1:8" ht="16.5" thickBot="1" x14ac:dyDescent="0.3">
      <c r="A23" t="s">
        <v>8</v>
      </c>
      <c r="B23" s="9" t="s">
        <v>7</v>
      </c>
      <c r="C23" s="8">
        <f>D3*0.004</f>
        <v>4663.848</v>
      </c>
      <c r="F23" s="9" t="s">
        <v>13</v>
      </c>
      <c r="G23" s="16">
        <v>0.35</v>
      </c>
      <c r="H23" s="17">
        <f>-(F24*0.35)</f>
        <v>-103132.06496470587</v>
      </c>
    </row>
    <row r="24" spans="1:8" x14ac:dyDescent="0.25">
      <c r="F24" s="21">
        <f>H19</f>
        <v>294663.04275630252</v>
      </c>
    </row>
    <row r="25" spans="1:8" ht="15.75" x14ac:dyDescent="0.25">
      <c r="A25" t="s">
        <v>9</v>
      </c>
      <c r="B25" s="9" t="s">
        <v>7</v>
      </c>
      <c r="C25" s="10"/>
      <c r="G25" s="13" t="s">
        <v>14</v>
      </c>
      <c r="H25" s="6">
        <f>H19+H21+H23</f>
        <v>183986.51779159662</v>
      </c>
    </row>
    <row r="26" spans="1:8" ht="15.75" thickBot="1" x14ac:dyDescent="0.3">
      <c r="A26" s="16"/>
      <c r="B26" s="14"/>
      <c r="C26" s="7"/>
    </row>
    <row r="27" spans="1:8" x14ac:dyDescent="0.25">
      <c r="E27" t="s">
        <v>100</v>
      </c>
      <c r="H27" s="20">
        <f>H25*0.4</f>
        <v>73594.607116638654</v>
      </c>
    </row>
    <row r="28" spans="1:8" ht="15.75" x14ac:dyDescent="0.25">
      <c r="A28" t="s">
        <v>10</v>
      </c>
      <c r="C28" s="10">
        <f>C19-C21-C23-C25</f>
        <v>294663.04275630252</v>
      </c>
      <c r="H28" s="18"/>
    </row>
    <row r="29" spans="1:8" x14ac:dyDescent="0.25">
      <c r="H29" s="3"/>
    </row>
    <row r="30" spans="1:8" x14ac:dyDescent="0.25">
      <c r="H30" s="18"/>
    </row>
  </sheetData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CD846-8848-4BBC-A5AB-C57493B2FC13}">
  <dimension ref="A1:H30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622</v>
      </c>
    </row>
    <row r="3" spans="1:8" ht="21" x14ac:dyDescent="0.35">
      <c r="A3" s="2" t="s">
        <v>1</v>
      </c>
      <c r="D3" s="11">
        <v>1064158</v>
      </c>
      <c r="F3" s="12" t="s">
        <v>3</v>
      </c>
      <c r="H3" s="11">
        <f>(D3/1.19)*0.19</f>
        <v>169907.57983193276</v>
      </c>
    </row>
    <row r="4" spans="1:8" x14ac:dyDescent="0.25">
      <c r="A4" s="13" t="s">
        <v>29</v>
      </c>
      <c r="C4" s="28">
        <v>845</v>
      </c>
    </row>
    <row r="5" spans="1:8" ht="21" x14ac:dyDescent="0.35">
      <c r="A5" s="2" t="s">
        <v>2</v>
      </c>
      <c r="C5" t="s">
        <v>232</v>
      </c>
    </row>
    <row r="7" spans="1:8" ht="18.75" x14ac:dyDescent="0.3">
      <c r="A7" s="5"/>
      <c r="D7" s="4"/>
      <c r="H7" s="4"/>
    </row>
    <row r="8" spans="1:8" ht="18.75" x14ac:dyDescent="0.3">
      <c r="A8" s="5" t="s">
        <v>488</v>
      </c>
      <c r="D8" s="4">
        <v>86000</v>
      </c>
      <c r="H8" s="4">
        <f t="shared" ref="H8:H11" si="0">(D8/1.19)*0.19</f>
        <v>13731.092436974792</v>
      </c>
    </row>
    <row r="9" spans="1:8" ht="18.75" x14ac:dyDescent="0.3">
      <c r="A9" s="5" t="s">
        <v>222</v>
      </c>
      <c r="B9" s="5"/>
      <c r="C9" s="5"/>
      <c r="D9" s="4">
        <v>140000</v>
      </c>
      <c r="H9" s="4">
        <f t="shared" si="0"/>
        <v>22352.941176470587</v>
      </c>
    </row>
    <row r="10" spans="1:8" ht="18.75" x14ac:dyDescent="0.3">
      <c r="A10" s="5" t="s">
        <v>167</v>
      </c>
      <c r="B10" s="5"/>
      <c r="C10" s="5"/>
      <c r="D10" s="4">
        <v>64800</v>
      </c>
      <c r="H10" s="4">
        <f t="shared" si="0"/>
        <v>10346.218487394957</v>
      </c>
    </row>
    <row r="11" spans="1:8" ht="18.75" x14ac:dyDescent="0.3">
      <c r="A11" s="5" t="s">
        <v>444</v>
      </c>
      <c r="B11" s="5"/>
      <c r="C11" s="5"/>
      <c r="D11" s="4">
        <v>119000</v>
      </c>
      <c r="H11" s="4">
        <f t="shared" si="0"/>
        <v>19000</v>
      </c>
    </row>
    <row r="12" spans="1:8" ht="18.75" x14ac:dyDescent="0.3">
      <c r="A12" s="5"/>
      <c r="B12" s="5"/>
      <c r="C12" s="5"/>
      <c r="D12" s="4"/>
      <c r="H12" s="4"/>
    </row>
    <row r="13" spans="1:8" ht="19.5" thickBot="1" x14ac:dyDescent="0.35">
      <c r="A13" s="5"/>
      <c r="B13" s="5"/>
      <c r="C13" s="5"/>
      <c r="D13" s="35"/>
      <c r="E13" s="27"/>
      <c r="H13" s="35"/>
    </row>
    <row r="14" spans="1:8" ht="19.5" thickTop="1" x14ac:dyDescent="0.3">
      <c r="D14" s="4">
        <f>SUM(D7:D13)</f>
        <v>409800</v>
      </c>
      <c r="H14" s="33">
        <f>SUM(H7:H13)</f>
        <v>65430.252100840342</v>
      </c>
    </row>
    <row r="16" spans="1:8" ht="18.75" x14ac:dyDescent="0.3">
      <c r="C16" t="s">
        <v>4</v>
      </c>
      <c r="D16" s="4">
        <f>D3-D14</f>
        <v>654358</v>
      </c>
      <c r="G16" t="s">
        <v>5</v>
      </c>
      <c r="H16" s="4">
        <f>H3-H14</f>
        <v>104477.32773109242</v>
      </c>
    </row>
    <row r="18" spans="1:8" x14ac:dyDescent="0.25">
      <c r="G18" t="s">
        <v>454</v>
      </c>
    </row>
    <row r="19" spans="1:8" ht="15.75" x14ac:dyDescent="0.25">
      <c r="A19" t="s">
        <v>6</v>
      </c>
      <c r="C19" s="8">
        <f>D16</f>
        <v>654358</v>
      </c>
      <c r="E19" t="s">
        <v>10</v>
      </c>
      <c r="H19" s="6">
        <f>C28</f>
        <v>545624.04026890756</v>
      </c>
    </row>
    <row r="21" spans="1:8" ht="15.75" x14ac:dyDescent="0.25">
      <c r="A21" t="s">
        <v>5</v>
      </c>
      <c r="B21" s="9" t="s">
        <v>7</v>
      </c>
      <c r="C21" s="8">
        <f>H16</f>
        <v>104477.32773109242</v>
      </c>
      <c r="E21" s="13" t="s">
        <v>11</v>
      </c>
      <c r="F21" s="9" t="s">
        <v>12</v>
      </c>
      <c r="G21" s="15" t="s">
        <v>17</v>
      </c>
      <c r="H21" s="3">
        <f>-(F22*0.0077)</f>
        <v>-6885.7282352941174</v>
      </c>
    </row>
    <row r="22" spans="1:8" x14ac:dyDescent="0.25">
      <c r="F22" s="21">
        <f>D3-H3</f>
        <v>894250.42016806721</v>
      </c>
    </row>
    <row r="23" spans="1:8" ht="16.5" thickBot="1" x14ac:dyDescent="0.3">
      <c r="A23" t="s">
        <v>8</v>
      </c>
      <c r="B23" s="9" t="s">
        <v>7</v>
      </c>
      <c r="C23" s="8">
        <f>D3*0.004</f>
        <v>4256.6320000000005</v>
      </c>
      <c r="F23" s="9" t="s">
        <v>13</v>
      </c>
      <c r="G23" s="16">
        <v>0.35</v>
      </c>
      <c r="H23" s="17">
        <f>-(F24*0.35)</f>
        <v>-190968.41409411764</v>
      </c>
    </row>
    <row r="24" spans="1:8" x14ac:dyDescent="0.25">
      <c r="F24" s="21">
        <f>H19</f>
        <v>545624.04026890756</v>
      </c>
    </row>
    <row r="25" spans="1:8" ht="15.75" x14ac:dyDescent="0.25">
      <c r="A25" t="s">
        <v>9</v>
      </c>
      <c r="B25" s="9" t="s">
        <v>7</v>
      </c>
      <c r="C25" s="10"/>
      <c r="G25" s="13" t="s">
        <v>14</v>
      </c>
      <c r="H25" s="6">
        <f>H19+H21+H23</f>
        <v>347769.8979394958</v>
      </c>
    </row>
    <row r="26" spans="1:8" ht="15.75" thickBot="1" x14ac:dyDescent="0.3">
      <c r="A26" s="16"/>
      <c r="B26" s="14"/>
      <c r="C26" s="7"/>
    </row>
    <row r="27" spans="1:8" x14ac:dyDescent="0.25">
      <c r="E27" t="s">
        <v>100</v>
      </c>
      <c r="H27" s="20">
        <f>H25*0.4</f>
        <v>139107.95917579831</v>
      </c>
    </row>
    <row r="28" spans="1:8" ht="15.75" x14ac:dyDescent="0.25">
      <c r="A28" t="s">
        <v>10</v>
      </c>
      <c r="C28" s="10">
        <f>C19-C21-C23-C25</f>
        <v>545624.04026890756</v>
      </c>
      <c r="H28" s="18"/>
    </row>
    <row r="29" spans="1:8" x14ac:dyDescent="0.25">
      <c r="H29" s="3"/>
    </row>
    <row r="30" spans="1:8" x14ac:dyDescent="0.25">
      <c r="H30" s="18"/>
    </row>
  </sheetData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546AC-96F3-4188-8324-60AE5D6E1B58}">
  <dimension ref="A1:H30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570</v>
      </c>
    </row>
    <row r="3" spans="1:8" ht="21" x14ac:dyDescent="0.35">
      <c r="A3" s="2" t="s">
        <v>1</v>
      </c>
      <c r="D3" s="11">
        <v>1526056</v>
      </c>
      <c r="F3" s="12" t="s">
        <v>3</v>
      </c>
      <c r="H3" s="11">
        <f>(D3/1.19)*0.19</f>
        <v>243656</v>
      </c>
    </row>
    <row r="4" spans="1:8" x14ac:dyDescent="0.25">
      <c r="A4" s="13" t="s">
        <v>29</v>
      </c>
      <c r="C4" s="28">
        <v>852</v>
      </c>
    </row>
    <row r="5" spans="1:8" ht="21" x14ac:dyDescent="0.35">
      <c r="A5" s="2" t="s">
        <v>2</v>
      </c>
      <c r="C5" t="s">
        <v>232</v>
      </c>
    </row>
    <row r="7" spans="1:8" ht="18.75" x14ac:dyDescent="0.3">
      <c r="A7" s="5"/>
      <c r="D7" s="4"/>
      <c r="H7" s="4"/>
    </row>
    <row r="8" spans="1:8" ht="18.75" x14ac:dyDescent="0.3">
      <c r="A8" s="5" t="s">
        <v>488</v>
      </c>
      <c r="D8" s="4">
        <v>486167</v>
      </c>
      <c r="H8" s="4">
        <f t="shared" ref="H8:H10" si="0">(D8/1.19)*0.19</f>
        <v>77623.302521008416</v>
      </c>
    </row>
    <row r="9" spans="1:8" ht="18.75" x14ac:dyDescent="0.3">
      <c r="A9" s="5" t="s">
        <v>608</v>
      </c>
      <c r="B9" s="5"/>
      <c r="C9" s="5"/>
      <c r="D9" s="4">
        <v>155858</v>
      </c>
      <c r="H9" s="4">
        <f t="shared" si="0"/>
        <v>24884.890756302524</v>
      </c>
    </row>
    <row r="10" spans="1:8" ht="18.75" x14ac:dyDescent="0.3">
      <c r="A10" s="5" t="s">
        <v>623</v>
      </c>
      <c r="B10" s="5"/>
      <c r="C10" s="5"/>
      <c r="D10" s="4">
        <v>104500</v>
      </c>
      <c r="H10" s="4">
        <f t="shared" si="0"/>
        <v>16684.873949579833</v>
      </c>
    </row>
    <row r="11" spans="1:8" ht="18.75" x14ac:dyDescent="0.3">
      <c r="A11" s="5" t="s">
        <v>475</v>
      </c>
      <c r="B11" s="5"/>
      <c r="C11" s="5"/>
      <c r="D11" s="4">
        <v>50000</v>
      </c>
      <c r="H11" s="4"/>
    </row>
    <row r="12" spans="1:8" ht="18.75" x14ac:dyDescent="0.3">
      <c r="A12" s="5"/>
      <c r="B12" s="5"/>
      <c r="C12" s="5"/>
      <c r="D12" s="4"/>
      <c r="H12" s="4"/>
    </row>
    <row r="13" spans="1:8" ht="19.5" thickBot="1" x14ac:dyDescent="0.35">
      <c r="A13" s="5"/>
      <c r="B13" s="5"/>
      <c r="C13" s="5"/>
      <c r="D13" s="35"/>
      <c r="E13" s="27"/>
      <c r="H13" s="35"/>
    </row>
    <row r="14" spans="1:8" ht="19.5" thickTop="1" x14ac:dyDescent="0.3">
      <c r="D14" s="4">
        <f>SUM(D7:D13)</f>
        <v>796525</v>
      </c>
      <c r="H14" s="33">
        <f>SUM(H7:H13)</f>
        <v>119193.06722689078</v>
      </c>
    </row>
    <row r="16" spans="1:8" ht="18.75" x14ac:dyDescent="0.3">
      <c r="C16" t="s">
        <v>4</v>
      </c>
      <c r="D16" s="4">
        <f>D3-D14</f>
        <v>729531</v>
      </c>
      <c r="G16" t="s">
        <v>5</v>
      </c>
      <c r="H16" s="4">
        <f>H3-H14</f>
        <v>124462.93277310922</v>
      </c>
    </row>
    <row r="18" spans="1:8" x14ac:dyDescent="0.25">
      <c r="G18" t="s">
        <v>454</v>
      </c>
    </row>
    <row r="19" spans="1:8" ht="15.75" x14ac:dyDescent="0.25">
      <c r="A19" t="s">
        <v>6</v>
      </c>
      <c r="C19" s="8">
        <f>D16</f>
        <v>729531</v>
      </c>
      <c r="E19" t="s">
        <v>10</v>
      </c>
      <c r="H19" s="6">
        <f>C28</f>
        <v>598963.84322689078</v>
      </c>
    </row>
    <row r="21" spans="1:8" ht="15.75" x14ac:dyDescent="0.25">
      <c r="A21" t="s">
        <v>5</v>
      </c>
      <c r="B21" s="9" t="s">
        <v>7</v>
      </c>
      <c r="C21" s="8">
        <f>H16</f>
        <v>124462.93277310922</v>
      </c>
      <c r="E21" s="13" t="s">
        <v>11</v>
      </c>
      <c r="F21" s="9" t="s">
        <v>12</v>
      </c>
      <c r="G21" s="15" t="s">
        <v>17</v>
      </c>
      <c r="H21" s="3">
        <f>-(F22*0.0077)</f>
        <v>-9874.48</v>
      </c>
    </row>
    <row r="22" spans="1:8" x14ac:dyDescent="0.25">
      <c r="F22" s="21">
        <f>D3-H3</f>
        <v>1282400</v>
      </c>
    </row>
    <row r="23" spans="1:8" ht="16.5" thickBot="1" x14ac:dyDescent="0.3">
      <c r="A23" t="s">
        <v>8</v>
      </c>
      <c r="B23" s="9" t="s">
        <v>7</v>
      </c>
      <c r="C23" s="8">
        <f>D3*0.004</f>
        <v>6104.2240000000002</v>
      </c>
      <c r="F23" s="9" t="s">
        <v>13</v>
      </c>
      <c r="G23" s="16">
        <v>0.35</v>
      </c>
      <c r="H23" s="17">
        <f>-(F24*0.35)</f>
        <v>-209637.34512941175</v>
      </c>
    </row>
    <row r="24" spans="1:8" x14ac:dyDescent="0.25">
      <c r="F24" s="21">
        <f>H19</f>
        <v>598963.84322689078</v>
      </c>
    </row>
    <row r="25" spans="1:8" ht="15.75" x14ac:dyDescent="0.25">
      <c r="A25" t="s">
        <v>9</v>
      </c>
      <c r="B25" s="9" t="s">
        <v>7</v>
      </c>
      <c r="C25" s="10"/>
      <c r="G25" s="13" t="s">
        <v>14</v>
      </c>
      <c r="H25" s="6">
        <f>H19+H21+H23</f>
        <v>379452.01809747901</v>
      </c>
    </row>
    <row r="26" spans="1:8" ht="15.75" thickBot="1" x14ac:dyDescent="0.3">
      <c r="A26" s="16"/>
      <c r="B26" s="14"/>
      <c r="C26" s="7"/>
    </row>
    <row r="27" spans="1:8" x14ac:dyDescent="0.25">
      <c r="E27" t="s">
        <v>100</v>
      </c>
      <c r="H27" s="20">
        <f>H25*0.4</f>
        <v>151780.80723899161</v>
      </c>
    </row>
    <row r="28" spans="1:8" ht="15.75" x14ac:dyDescent="0.25">
      <c r="A28" t="s">
        <v>10</v>
      </c>
      <c r="C28" s="10">
        <f>C19-C21-C23-C25</f>
        <v>598963.84322689078</v>
      </c>
      <c r="H28" s="18"/>
    </row>
    <row r="29" spans="1:8" x14ac:dyDescent="0.25">
      <c r="H29" s="3"/>
    </row>
    <row r="30" spans="1:8" x14ac:dyDescent="0.25">
      <c r="H30" s="18"/>
    </row>
  </sheetData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E2539-9EF5-4C59-BC9F-B9FE345ABBD9}">
  <dimension ref="A1:H30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386</v>
      </c>
    </row>
    <row r="3" spans="1:8" ht="21" x14ac:dyDescent="0.35">
      <c r="A3" s="2" t="s">
        <v>1</v>
      </c>
      <c r="D3" s="11">
        <v>1526056</v>
      </c>
      <c r="F3" s="12" t="s">
        <v>3</v>
      </c>
      <c r="H3" s="11">
        <f>(D3/1.19)*0.19</f>
        <v>243656</v>
      </c>
    </row>
    <row r="4" spans="1:8" x14ac:dyDescent="0.25">
      <c r="A4" s="13" t="s">
        <v>29</v>
      </c>
      <c r="C4" s="28">
        <v>856</v>
      </c>
    </row>
    <row r="5" spans="1:8" ht="21" x14ac:dyDescent="0.35">
      <c r="A5" s="2" t="s">
        <v>2</v>
      </c>
      <c r="C5" t="s">
        <v>232</v>
      </c>
    </row>
    <row r="7" spans="1:8" ht="18.75" x14ac:dyDescent="0.3">
      <c r="A7" s="5"/>
      <c r="D7" s="4"/>
      <c r="H7" s="4"/>
    </row>
    <row r="8" spans="1:8" ht="18.75" x14ac:dyDescent="0.3">
      <c r="A8" s="5" t="s">
        <v>514</v>
      </c>
      <c r="D8" s="4">
        <v>30430</v>
      </c>
      <c r="H8" s="4">
        <f t="shared" ref="H8:H10" si="0">(D8/1.19)*0.19</f>
        <v>4858.5714285714284</v>
      </c>
    </row>
    <row r="9" spans="1:8" ht="18.75" x14ac:dyDescent="0.3">
      <c r="A9" s="5" t="s">
        <v>608</v>
      </c>
      <c r="B9" s="5"/>
      <c r="C9" s="5"/>
      <c r="D9" s="4">
        <v>63415</v>
      </c>
      <c r="H9" s="4">
        <f t="shared" si="0"/>
        <v>10125.084033613446</v>
      </c>
    </row>
    <row r="10" spans="1:8" ht="18.75" x14ac:dyDescent="0.3">
      <c r="A10" s="5" t="s">
        <v>623</v>
      </c>
      <c r="B10" s="5"/>
      <c r="C10" s="5"/>
      <c r="D10" s="4">
        <v>67969</v>
      </c>
      <c r="H10" s="4">
        <f t="shared" si="0"/>
        <v>10852.193277310926</v>
      </c>
    </row>
    <row r="11" spans="1:8" ht="18.75" x14ac:dyDescent="0.3">
      <c r="A11" s="5" t="s">
        <v>554</v>
      </c>
      <c r="B11" s="5"/>
      <c r="C11" s="5"/>
      <c r="D11" s="4">
        <v>432125</v>
      </c>
      <c r="H11" s="4"/>
    </row>
    <row r="12" spans="1:8" ht="18.75" x14ac:dyDescent="0.3">
      <c r="A12" s="5"/>
      <c r="B12" s="5"/>
      <c r="C12" s="5"/>
      <c r="D12" s="4"/>
      <c r="H12" s="4"/>
    </row>
    <row r="13" spans="1:8" ht="19.5" thickBot="1" x14ac:dyDescent="0.35">
      <c r="A13" s="5"/>
      <c r="B13" s="5"/>
      <c r="C13" s="5"/>
      <c r="D13" s="35"/>
      <c r="E13" s="27"/>
      <c r="H13" s="35"/>
    </row>
    <row r="14" spans="1:8" ht="19.5" thickTop="1" x14ac:dyDescent="0.3">
      <c r="D14" s="4">
        <f>SUM(D7:D13)</f>
        <v>593939</v>
      </c>
      <c r="H14" s="33">
        <f>SUM(H7:H13)</f>
        <v>25835.848739495799</v>
      </c>
    </row>
    <row r="16" spans="1:8" ht="18.75" x14ac:dyDescent="0.3">
      <c r="C16" t="s">
        <v>4</v>
      </c>
      <c r="D16" s="4">
        <f>D3-D14</f>
        <v>932117</v>
      </c>
      <c r="G16" t="s">
        <v>5</v>
      </c>
      <c r="H16" s="4">
        <f>H3-H14</f>
        <v>217820.15126050421</v>
      </c>
    </row>
    <row r="18" spans="1:8" x14ac:dyDescent="0.25">
      <c r="G18" t="s">
        <v>454</v>
      </c>
    </row>
    <row r="19" spans="1:8" ht="15.75" x14ac:dyDescent="0.25">
      <c r="A19" t="s">
        <v>6</v>
      </c>
      <c r="C19" s="8">
        <f>D16</f>
        <v>932117</v>
      </c>
      <c r="E19" t="s">
        <v>10</v>
      </c>
      <c r="H19" s="6">
        <f>C28</f>
        <v>708192.62473949569</v>
      </c>
    </row>
    <row r="21" spans="1:8" ht="15.75" x14ac:dyDescent="0.25">
      <c r="A21" t="s">
        <v>5</v>
      </c>
      <c r="B21" s="9" t="s">
        <v>7</v>
      </c>
      <c r="C21" s="8">
        <f>H16</f>
        <v>217820.15126050421</v>
      </c>
      <c r="E21" s="13" t="s">
        <v>11</v>
      </c>
      <c r="F21" s="9" t="s">
        <v>12</v>
      </c>
      <c r="G21" s="15" t="s">
        <v>17</v>
      </c>
      <c r="H21" s="3">
        <f>-(F22*0.0077)</f>
        <v>-9874.48</v>
      </c>
    </row>
    <row r="22" spans="1:8" x14ac:dyDescent="0.25">
      <c r="F22" s="21">
        <f>D3-H3</f>
        <v>1282400</v>
      </c>
    </row>
    <row r="23" spans="1:8" ht="16.5" thickBot="1" x14ac:dyDescent="0.3">
      <c r="A23" t="s">
        <v>8</v>
      </c>
      <c r="B23" s="9" t="s">
        <v>7</v>
      </c>
      <c r="C23" s="8">
        <f>D3*0.004</f>
        <v>6104.2240000000002</v>
      </c>
      <c r="F23" s="9" t="s">
        <v>13</v>
      </c>
      <c r="G23" s="16">
        <v>0.35</v>
      </c>
      <c r="H23" s="17">
        <f>-(F24*0.35)</f>
        <v>-247867.41865882347</v>
      </c>
    </row>
    <row r="24" spans="1:8" x14ac:dyDescent="0.25">
      <c r="F24" s="21">
        <f>H19</f>
        <v>708192.62473949569</v>
      </c>
    </row>
    <row r="25" spans="1:8" ht="15.75" x14ac:dyDescent="0.25">
      <c r="A25" t="s">
        <v>9</v>
      </c>
      <c r="B25" s="9" t="s">
        <v>7</v>
      </c>
      <c r="C25" s="10"/>
      <c r="G25" s="13" t="s">
        <v>14</v>
      </c>
      <c r="H25" s="6">
        <f>H19+H21+H23</f>
        <v>450450.72608067223</v>
      </c>
    </row>
    <row r="26" spans="1:8" ht="15.75" thickBot="1" x14ac:dyDescent="0.3">
      <c r="A26" s="16"/>
      <c r="B26" s="14"/>
      <c r="C26" s="7"/>
    </row>
    <row r="27" spans="1:8" x14ac:dyDescent="0.25">
      <c r="E27" t="s">
        <v>100</v>
      </c>
      <c r="H27" s="20">
        <f>H25*0.4</f>
        <v>180180.2904322689</v>
      </c>
    </row>
    <row r="28" spans="1:8" ht="15.75" x14ac:dyDescent="0.25">
      <c r="A28" t="s">
        <v>10</v>
      </c>
      <c r="C28" s="10">
        <f>C19-C21-C23-C25</f>
        <v>708192.62473949569</v>
      </c>
      <c r="H28" s="18"/>
    </row>
    <row r="29" spans="1:8" x14ac:dyDescent="0.25">
      <c r="H29" s="3"/>
    </row>
    <row r="30" spans="1:8" x14ac:dyDescent="0.25">
      <c r="H30" s="18"/>
    </row>
  </sheetData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3E81D-FF7E-4E19-8F21-2C054ED1B489}">
  <dimension ref="A1:H30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624</v>
      </c>
    </row>
    <row r="3" spans="1:8" ht="21" x14ac:dyDescent="0.35">
      <c r="A3" s="2" t="s">
        <v>1</v>
      </c>
      <c r="D3" s="11">
        <v>85918</v>
      </c>
      <c r="F3" s="12" t="s">
        <v>3</v>
      </c>
      <c r="H3" s="11">
        <f>(D3/1.19)*0.19</f>
        <v>13718</v>
      </c>
    </row>
    <row r="4" spans="1:8" x14ac:dyDescent="0.25">
      <c r="A4" s="13" t="s">
        <v>29</v>
      </c>
      <c r="C4" s="28">
        <v>866</v>
      </c>
    </row>
    <row r="5" spans="1:8" ht="21" x14ac:dyDescent="0.35">
      <c r="A5" s="2" t="s">
        <v>2</v>
      </c>
      <c r="C5" t="s">
        <v>232</v>
      </c>
    </row>
    <row r="7" spans="1:8" ht="18.75" x14ac:dyDescent="0.3">
      <c r="A7" s="5"/>
      <c r="D7" s="4"/>
      <c r="H7" s="4"/>
    </row>
    <row r="8" spans="1:8" ht="18.75" x14ac:dyDescent="0.3">
      <c r="A8" s="5" t="s">
        <v>167</v>
      </c>
      <c r="D8" s="4">
        <v>41150</v>
      </c>
      <c r="H8" s="4">
        <f t="shared" ref="H8" si="0">(D8/1.19)*0.19</f>
        <v>6570.1680672268903</v>
      </c>
    </row>
    <row r="9" spans="1:8" ht="18.75" x14ac:dyDescent="0.3">
      <c r="A9" s="5"/>
      <c r="B9" s="5"/>
      <c r="C9" s="5"/>
      <c r="D9" s="4"/>
      <c r="H9" s="4"/>
    </row>
    <row r="10" spans="1:8" ht="18.75" x14ac:dyDescent="0.3">
      <c r="A10" s="5"/>
      <c r="B10" s="5"/>
      <c r="C10" s="5"/>
      <c r="D10" s="4"/>
      <c r="H10" s="4"/>
    </row>
    <row r="11" spans="1:8" ht="18.75" x14ac:dyDescent="0.3">
      <c r="A11" s="5"/>
      <c r="B11" s="5"/>
      <c r="C11" s="5"/>
      <c r="D11" s="4"/>
      <c r="H11" s="4"/>
    </row>
    <row r="12" spans="1:8" ht="18.75" x14ac:dyDescent="0.3">
      <c r="A12" s="5"/>
      <c r="B12" s="5"/>
      <c r="C12" s="5"/>
      <c r="D12" s="4"/>
      <c r="H12" s="4"/>
    </row>
    <row r="13" spans="1:8" ht="19.5" thickBot="1" x14ac:dyDescent="0.35">
      <c r="A13" s="5"/>
      <c r="B13" s="5"/>
      <c r="C13" s="5"/>
      <c r="D13" s="35"/>
      <c r="E13" s="27"/>
      <c r="H13" s="35"/>
    </row>
    <row r="14" spans="1:8" ht="19.5" thickTop="1" x14ac:dyDescent="0.3">
      <c r="D14" s="4">
        <f>SUM(D7:D13)</f>
        <v>41150</v>
      </c>
      <c r="H14" s="33">
        <f>SUM(H7:H13)</f>
        <v>6570.1680672268903</v>
      </c>
    </row>
    <row r="16" spans="1:8" ht="18.75" x14ac:dyDescent="0.3">
      <c r="C16" t="s">
        <v>4</v>
      </c>
      <c r="D16" s="4">
        <f>D3-D14</f>
        <v>44768</v>
      </c>
      <c r="G16" t="s">
        <v>5</v>
      </c>
      <c r="H16" s="4">
        <f>H3-H14</f>
        <v>7147.8319327731097</v>
      </c>
    </row>
    <row r="18" spans="1:8" x14ac:dyDescent="0.25">
      <c r="G18" t="s">
        <v>454</v>
      </c>
    </row>
    <row r="19" spans="1:8" ht="15.75" x14ac:dyDescent="0.25">
      <c r="A19" t="s">
        <v>6</v>
      </c>
      <c r="C19" s="8">
        <f>D16</f>
        <v>44768</v>
      </c>
      <c r="E19" t="s">
        <v>10</v>
      </c>
      <c r="H19" s="6">
        <f>C28</f>
        <v>37276.496067226894</v>
      </c>
    </row>
    <row r="21" spans="1:8" ht="15.75" x14ac:dyDescent="0.25">
      <c r="A21" t="s">
        <v>5</v>
      </c>
      <c r="B21" s="9" t="s">
        <v>7</v>
      </c>
      <c r="C21" s="8">
        <f>H16</f>
        <v>7147.8319327731097</v>
      </c>
      <c r="E21" s="13" t="s">
        <v>11</v>
      </c>
      <c r="F21" s="9" t="s">
        <v>12</v>
      </c>
      <c r="G21" s="15" t="s">
        <v>17</v>
      </c>
      <c r="H21" s="3">
        <f>-(F22*0.0077)</f>
        <v>-555.94000000000005</v>
      </c>
    </row>
    <row r="22" spans="1:8" x14ac:dyDescent="0.25">
      <c r="F22" s="21">
        <f>D3-H3</f>
        <v>72200</v>
      </c>
    </row>
    <row r="23" spans="1:8" ht="16.5" thickBot="1" x14ac:dyDescent="0.3">
      <c r="A23" t="s">
        <v>8</v>
      </c>
      <c r="B23" s="9" t="s">
        <v>7</v>
      </c>
      <c r="C23" s="8">
        <f>D3*0.004</f>
        <v>343.67200000000003</v>
      </c>
      <c r="F23" s="9" t="s">
        <v>13</v>
      </c>
      <c r="G23" s="16">
        <v>0.35</v>
      </c>
      <c r="H23" s="17">
        <f>-(F24*0.35)</f>
        <v>-13046.773623529412</v>
      </c>
    </row>
    <row r="24" spans="1:8" x14ac:dyDescent="0.25">
      <c r="F24" s="21">
        <f>H19</f>
        <v>37276.496067226894</v>
      </c>
    </row>
    <row r="25" spans="1:8" ht="15.75" x14ac:dyDescent="0.25">
      <c r="A25" t="s">
        <v>9</v>
      </c>
      <c r="B25" s="9" t="s">
        <v>7</v>
      </c>
      <c r="C25" s="10"/>
      <c r="G25" s="13" t="s">
        <v>14</v>
      </c>
      <c r="H25" s="6">
        <f>H19+H21+H23</f>
        <v>23673.782443697477</v>
      </c>
    </row>
    <row r="26" spans="1:8" ht="15.75" thickBot="1" x14ac:dyDescent="0.3">
      <c r="A26" s="16"/>
      <c r="B26" s="14"/>
      <c r="C26" s="7"/>
    </row>
    <row r="27" spans="1:8" x14ac:dyDescent="0.25">
      <c r="E27" t="s">
        <v>100</v>
      </c>
      <c r="H27" s="20">
        <f>H25*0.4</f>
        <v>9469.5129774789912</v>
      </c>
    </row>
    <row r="28" spans="1:8" ht="15.75" x14ac:dyDescent="0.25">
      <c r="A28" t="s">
        <v>10</v>
      </c>
      <c r="C28" s="10">
        <f>C19-C21-C23-C25</f>
        <v>37276.496067226894</v>
      </c>
      <c r="H28" s="18"/>
    </row>
    <row r="29" spans="1:8" x14ac:dyDescent="0.25">
      <c r="H29" s="3"/>
    </row>
    <row r="30" spans="1:8" x14ac:dyDescent="0.25">
      <c r="H30" s="18"/>
    </row>
  </sheetData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EDACB-A06F-4D2C-A2E9-663D0D0E5BE5}">
  <dimension ref="A1:H30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625</v>
      </c>
    </row>
    <row r="3" spans="1:8" ht="21" x14ac:dyDescent="0.35">
      <c r="A3" s="2" t="s">
        <v>1</v>
      </c>
      <c r="D3" s="11">
        <v>1174768</v>
      </c>
      <c r="F3" s="12" t="s">
        <v>3</v>
      </c>
      <c r="H3" s="11">
        <f>(D3/1.19)*0.19</f>
        <v>187568</v>
      </c>
    </row>
    <row r="4" spans="1:8" x14ac:dyDescent="0.25">
      <c r="A4" s="13" t="s">
        <v>29</v>
      </c>
      <c r="C4" s="28">
        <v>866</v>
      </c>
    </row>
    <row r="5" spans="1:8" ht="21" x14ac:dyDescent="0.35">
      <c r="A5" s="2" t="s">
        <v>2</v>
      </c>
      <c r="C5" t="s">
        <v>232</v>
      </c>
    </row>
    <row r="7" spans="1:8" ht="18.75" x14ac:dyDescent="0.3">
      <c r="A7" s="5"/>
      <c r="D7" s="4"/>
      <c r="H7" s="4"/>
    </row>
    <row r="8" spans="1:8" ht="18.75" x14ac:dyDescent="0.3">
      <c r="A8" s="5" t="s">
        <v>488</v>
      </c>
      <c r="D8" s="4">
        <v>53100</v>
      </c>
      <c r="H8" s="4">
        <f t="shared" ref="H8:H9" si="0">(D8/1.19)*0.19</f>
        <v>8478.1512605042026</v>
      </c>
    </row>
    <row r="9" spans="1:8" ht="18.75" x14ac:dyDescent="0.3">
      <c r="A9" s="5" t="s">
        <v>626</v>
      </c>
      <c r="B9" s="5"/>
      <c r="C9" s="5"/>
      <c r="D9" s="4">
        <v>795396</v>
      </c>
      <c r="H9" s="4">
        <f t="shared" si="0"/>
        <v>126996</v>
      </c>
    </row>
    <row r="10" spans="1:8" ht="18.75" x14ac:dyDescent="0.3">
      <c r="A10" s="5"/>
      <c r="B10" s="5"/>
      <c r="C10" s="5"/>
      <c r="D10" s="4"/>
      <c r="H10" s="4"/>
    </row>
    <row r="11" spans="1:8" ht="18.75" x14ac:dyDescent="0.3">
      <c r="A11" s="5"/>
      <c r="B11" s="5"/>
      <c r="C11" s="5"/>
      <c r="D11" s="4"/>
      <c r="H11" s="4"/>
    </row>
    <row r="12" spans="1:8" ht="18.75" x14ac:dyDescent="0.3">
      <c r="A12" s="5"/>
      <c r="B12" s="5"/>
      <c r="C12" s="5"/>
      <c r="D12" s="4"/>
      <c r="H12" s="4"/>
    </row>
    <row r="13" spans="1:8" ht="19.5" thickBot="1" x14ac:dyDescent="0.35">
      <c r="A13" s="5"/>
      <c r="B13" s="5"/>
      <c r="C13" s="5"/>
      <c r="D13" s="35"/>
      <c r="E13" s="27"/>
      <c r="H13" s="35"/>
    </row>
    <row r="14" spans="1:8" ht="19.5" thickTop="1" x14ac:dyDescent="0.3">
      <c r="D14" s="4">
        <f>SUM(D7:D13)</f>
        <v>848496</v>
      </c>
      <c r="H14" s="33">
        <f>SUM(H7:H13)</f>
        <v>135474.15126050421</v>
      </c>
    </row>
    <row r="16" spans="1:8" ht="18.75" x14ac:dyDescent="0.3">
      <c r="C16" t="s">
        <v>4</v>
      </c>
      <c r="D16" s="4">
        <f>D3-D14</f>
        <v>326272</v>
      </c>
      <c r="G16" t="s">
        <v>5</v>
      </c>
      <c r="H16" s="4">
        <f>H3-H14</f>
        <v>52093.848739495792</v>
      </c>
    </row>
    <row r="18" spans="1:8" x14ac:dyDescent="0.25">
      <c r="G18" t="s">
        <v>454</v>
      </c>
    </row>
    <row r="19" spans="1:8" ht="15.75" x14ac:dyDescent="0.25">
      <c r="A19" t="s">
        <v>6</v>
      </c>
      <c r="C19" s="8">
        <f>D16</f>
        <v>326272</v>
      </c>
      <c r="E19" t="s">
        <v>10</v>
      </c>
      <c r="H19" s="6">
        <f>C28</f>
        <v>269479.07926050422</v>
      </c>
    </row>
    <row r="21" spans="1:8" ht="15.75" x14ac:dyDescent="0.25">
      <c r="A21" t="s">
        <v>5</v>
      </c>
      <c r="B21" s="9" t="s">
        <v>7</v>
      </c>
      <c r="C21" s="8">
        <f>H16</f>
        <v>52093.848739495792</v>
      </c>
      <c r="E21" s="13" t="s">
        <v>11</v>
      </c>
      <c r="F21" s="9" t="s">
        <v>12</v>
      </c>
      <c r="G21" s="15" t="s">
        <v>17</v>
      </c>
      <c r="H21" s="3">
        <f>-(F22*0.0077)</f>
        <v>-7601.4400000000005</v>
      </c>
    </row>
    <row r="22" spans="1:8" x14ac:dyDescent="0.25">
      <c r="F22" s="21">
        <f>D3-H3</f>
        <v>987200</v>
      </c>
    </row>
    <row r="23" spans="1:8" ht="16.5" thickBot="1" x14ac:dyDescent="0.3">
      <c r="A23" t="s">
        <v>8</v>
      </c>
      <c r="B23" s="9" t="s">
        <v>7</v>
      </c>
      <c r="C23" s="8">
        <f>D3*0.004</f>
        <v>4699.0720000000001</v>
      </c>
      <c r="F23" s="9" t="s">
        <v>13</v>
      </c>
      <c r="G23" s="16">
        <v>0.35</v>
      </c>
      <c r="H23" s="17">
        <f>-(F24*0.35)</f>
        <v>-94317.677741176478</v>
      </c>
    </row>
    <row r="24" spans="1:8" x14ac:dyDescent="0.25">
      <c r="F24" s="21">
        <f>H19</f>
        <v>269479.07926050422</v>
      </c>
    </row>
    <row r="25" spans="1:8" ht="15.75" x14ac:dyDescent="0.25">
      <c r="A25" t="s">
        <v>9</v>
      </c>
      <c r="B25" s="9" t="s">
        <v>7</v>
      </c>
      <c r="C25" s="10"/>
      <c r="G25" s="13" t="s">
        <v>14</v>
      </c>
      <c r="H25" s="6">
        <f>H19+H21+H23</f>
        <v>167559.96151932774</v>
      </c>
    </row>
    <row r="26" spans="1:8" ht="15.75" thickBot="1" x14ac:dyDescent="0.3">
      <c r="A26" s="16"/>
      <c r="B26" s="14"/>
      <c r="C26" s="7"/>
    </row>
    <row r="27" spans="1:8" x14ac:dyDescent="0.25">
      <c r="E27" t="s">
        <v>100</v>
      </c>
      <c r="H27" s="20">
        <f>H25*0.4</f>
        <v>67023.984607731094</v>
      </c>
    </row>
    <row r="28" spans="1:8" ht="15.75" x14ac:dyDescent="0.25">
      <c r="A28" t="s">
        <v>10</v>
      </c>
      <c r="C28" s="10">
        <f>C19-C21-C23-C25</f>
        <v>269479.07926050422</v>
      </c>
      <c r="H28" s="18"/>
    </row>
    <row r="29" spans="1:8" x14ac:dyDescent="0.25">
      <c r="H29" s="3"/>
    </row>
    <row r="30" spans="1:8" x14ac:dyDescent="0.25">
      <c r="H30" s="18"/>
    </row>
  </sheetData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E3F03-8897-4935-91FD-69C69EC93C28}">
  <dimension ref="A1:H30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624</v>
      </c>
    </row>
    <row r="3" spans="1:8" ht="21" x14ac:dyDescent="0.35">
      <c r="A3" s="2" t="s">
        <v>1</v>
      </c>
      <c r="D3" s="11">
        <v>1880200</v>
      </c>
      <c r="F3" s="12" t="s">
        <v>3</v>
      </c>
      <c r="H3" s="11">
        <f>(D3/1.19)*0.19</f>
        <v>300200</v>
      </c>
    </row>
    <row r="4" spans="1:8" x14ac:dyDescent="0.25">
      <c r="A4" s="13" t="s">
        <v>29</v>
      </c>
      <c r="C4" s="28">
        <v>875</v>
      </c>
    </row>
    <row r="5" spans="1:8" ht="21" x14ac:dyDescent="0.35">
      <c r="A5" s="2" t="s">
        <v>2</v>
      </c>
      <c r="C5" t="s">
        <v>232</v>
      </c>
    </row>
    <row r="7" spans="1:8" ht="18.75" x14ac:dyDescent="0.3">
      <c r="A7" s="5"/>
      <c r="D7" s="4"/>
      <c r="H7" s="4"/>
    </row>
    <row r="8" spans="1:8" ht="18.75" x14ac:dyDescent="0.3">
      <c r="A8" s="5" t="s">
        <v>167</v>
      </c>
      <c r="D8" s="4">
        <v>912495</v>
      </c>
      <c r="H8" s="4">
        <f t="shared" ref="H8:H9" si="0">(D8/1.19)*0.19</f>
        <v>145692.47899159664</v>
      </c>
    </row>
    <row r="9" spans="1:8" ht="18.75" x14ac:dyDescent="0.3">
      <c r="A9" s="5" t="s">
        <v>560</v>
      </c>
      <c r="B9" s="5"/>
      <c r="C9" s="5"/>
      <c r="D9" s="4">
        <v>149650</v>
      </c>
      <c r="H9" s="4">
        <f t="shared" si="0"/>
        <v>23893.697478991598</v>
      </c>
    </row>
    <row r="10" spans="1:8" ht="18.75" x14ac:dyDescent="0.3">
      <c r="A10" s="5"/>
      <c r="B10" s="5"/>
      <c r="C10" s="5"/>
      <c r="D10" s="4"/>
      <c r="H10" s="4"/>
    </row>
    <row r="11" spans="1:8" ht="18.75" x14ac:dyDescent="0.3">
      <c r="A11" s="5"/>
      <c r="B11" s="5"/>
      <c r="C11" s="5"/>
      <c r="D11" s="4"/>
      <c r="H11" s="4"/>
    </row>
    <row r="12" spans="1:8" ht="18.75" x14ac:dyDescent="0.3">
      <c r="A12" s="5"/>
      <c r="B12" s="5"/>
      <c r="C12" s="5"/>
      <c r="D12" s="4"/>
      <c r="H12" s="4"/>
    </row>
    <row r="13" spans="1:8" ht="19.5" thickBot="1" x14ac:dyDescent="0.35">
      <c r="A13" s="5"/>
      <c r="B13" s="5"/>
      <c r="C13" s="5"/>
      <c r="D13" s="35"/>
      <c r="E13" s="27"/>
      <c r="H13" s="35"/>
    </row>
    <row r="14" spans="1:8" ht="19.5" thickTop="1" x14ac:dyDescent="0.3">
      <c r="D14" s="4">
        <f>SUM(D7:D13)</f>
        <v>1062145</v>
      </c>
      <c r="H14" s="33">
        <f>SUM(H7:H13)</f>
        <v>169586.17647058825</v>
      </c>
    </row>
    <row r="16" spans="1:8" ht="18.75" x14ac:dyDescent="0.3">
      <c r="C16" t="s">
        <v>4</v>
      </c>
      <c r="D16" s="4">
        <f>D3-D14</f>
        <v>818055</v>
      </c>
      <c r="G16" t="s">
        <v>5</v>
      </c>
      <c r="H16" s="4">
        <f>H3-H14</f>
        <v>130613.82352941175</v>
      </c>
    </row>
    <row r="18" spans="1:8" x14ac:dyDescent="0.25">
      <c r="G18" t="s">
        <v>454</v>
      </c>
    </row>
    <row r="19" spans="1:8" ht="15.75" x14ac:dyDescent="0.25">
      <c r="A19" t="s">
        <v>6</v>
      </c>
      <c r="C19" s="8">
        <f>D16</f>
        <v>818055</v>
      </c>
      <c r="E19" t="s">
        <v>10</v>
      </c>
      <c r="H19" s="6">
        <f>C28</f>
        <v>679920.37647058815</v>
      </c>
    </row>
    <row r="21" spans="1:8" ht="15.75" x14ac:dyDescent="0.25">
      <c r="A21" t="s">
        <v>5</v>
      </c>
      <c r="B21" s="9" t="s">
        <v>7</v>
      </c>
      <c r="C21" s="8">
        <f>H16</f>
        <v>130613.82352941175</v>
      </c>
      <c r="E21" s="13" t="s">
        <v>11</v>
      </c>
      <c r="F21" s="9" t="s">
        <v>12</v>
      </c>
      <c r="G21" s="15" t="s">
        <v>17</v>
      </c>
      <c r="H21" s="3">
        <f>-(F22*0.0077)</f>
        <v>-12166</v>
      </c>
    </row>
    <row r="22" spans="1:8" x14ac:dyDescent="0.25">
      <c r="F22" s="21">
        <f>D3-H3</f>
        <v>1580000</v>
      </c>
    </row>
    <row r="23" spans="1:8" ht="16.5" thickBot="1" x14ac:dyDescent="0.3">
      <c r="A23" t="s">
        <v>8</v>
      </c>
      <c r="B23" s="9" t="s">
        <v>7</v>
      </c>
      <c r="C23" s="8">
        <f>D3*0.004</f>
        <v>7520.8</v>
      </c>
      <c r="F23" s="9" t="s">
        <v>13</v>
      </c>
      <c r="G23" s="16">
        <v>0.35</v>
      </c>
      <c r="H23" s="17">
        <f>-(F24*0.35)</f>
        <v>-237972.13176470585</v>
      </c>
    </row>
    <row r="24" spans="1:8" x14ac:dyDescent="0.25">
      <c r="F24" s="21">
        <f>H19</f>
        <v>679920.37647058815</v>
      </c>
    </row>
    <row r="25" spans="1:8" ht="15.75" x14ac:dyDescent="0.25">
      <c r="A25" t="s">
        <v>9</v>
      </c>
      <c r="B25" s="9" t="s">
        <v>7</v>
      </c>
      <c r="C25" s="10"/>
      <c r="G25" s="13" t="s">
        <v>14</v>
      </c>
      <c r="H25" s="6">
        <f>H19+H21+H23</f>
        <v>429782.24470588227</v>
      </c>
    </row>
    <row r="26" spans="1:8" ht="15.75" thickBot="1" x14ac:dyDescent="0.3">
      <c r="A26" s="16"/>
      <c r="B26" s="14"/>
      <c r="C26" s="7"/>
    </row>
    <row r="27" spans="1:8" x14ac:dyDescent="0.25">
      <c r="E27" t="s">
        <v>100</v>
      </c>
      <c r="H27" s="20">
        <f>H25*0.4</f>
        <v>171912.89788235293</v>
      </c>
    </row>
    <row r="28" spans="1:8" ht="15.75" x14ac:dyDescent="0.25">
      <c r="A28" t="s">
        <v>10</v>
      </c>
      <c r="C28" s="10">
        <f>C19-C21-C23-C25</f>
        <v>679920.37647058815</v>
      </c>
      <c r="H28" s="18"/>
    </row>
    <row r="29" spans="1:8" x14ac:dyDescent="0.25">
      <c r="H29" s="3"/>
    </row>
    <row r="30" spans="1:8" x14ac:dyDescent="0.25">
      <c r="H30" s="18"/>
    </row>
  </sheetData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E28D0-1D4A-4404-B45D-B3E31250D4F6}">
  <dimension ref="A1:H30"/>
  <sheetViews>
    <sheetView workbookViewId="0">
      <selection activeCell="C5" sqref="C5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627</v>
      </c>
    </row>
    <row r="3" spans="1:8" ht="21" x14ac:dyDescent="0.35">
      <c r="A3" s="2" t="s">
        <v>1</v>
      </c>
      <c r="D3" s="11">
        <v>13900</v>
      </c>
      <c r="F3" s="12" t="s">
        <v>3</v>
      </c>
      <c r="H3" s="11">
        <f>(D3/1.19)*0.19</f>
        <v>2219.3277310924368</v>
      </c>
    </row>
    <row r="4" spans="1:8" x14ac:dyDescent="0.25">
      <c r="A4" s="13" t="s">
        <v>29</v>
      </c>
      <c r="C4" s="28">
        <v>876</v>
      </c>
    </row>
    <row r="5" spans="1:8" ht="21" x14ac:dyDescent="0.35">
      <c r="A5" s="2" t="s">
        <v>2</v>
      </c>
      <c r="C5" t="s">
        <v>232</v>
      </c>
    </row>
    <row r="7" spans="1:8" ht="18.75" x14ac:dyDescent="0.3">
      <c r="A7" s="5"/>
      <c r="D7" s="4"/>
      <c r="H7" s="4"/>
    </row>
    <row r="8" spans="1:8" ht="18.75" x14ac:dyDescent="0.3">
      <c r="A8" s="5" t="s">
        <v>167</v>
      </c>
      <c r="D8" s="4">
        <v>3500</v>
      </c>
      <c r="H8" s="4">
        <f t="shared" ref="H8" si="0">(D8/1.19)*0.19</f>
        <v>558.82352941176475</v>
      </c>
    </row>
    <row r="9" spans="1:8" ht="18.75" x14ac:dyDescent="0.3">
      <c r="A9" s="5"/>
      <c r="B9" s="5"/>
      <c r="C9" s="5"/>
      <c r="D9" s="4"/>
      <c r="H9" s="4"/>
    </row>
    <row r="10" spans="1:8" ht="18.75" x14ac:dyDescent="0.3">
      <c r="A10" s="5"/>
      <c r="B10" s="5"/>
      <c r="C10" s="5"/>
      <c r="D10" s="4"/>
      <c r="H10" s="4"/>
    </row>
    <row r="11" spans="1:8" ht="18.75" x14ac:dyDescent="0.3">
      <c r="A11" s="5"/>
      <c r="B11" s="5"/>
      <c r="C11" s="5"/>
      <c r="D11" s="4"/>
      <c r="H11" s="4"/>
    </row>
    <row r="12" spans="1:8" ht="18.75" x14ac:dyDescent="0.3">
      <c r="A12" s="5"/>
      <c r="B12" s="5"/>
      <c r="C12" s="5"/>
      <c r="D12" s="4"/>
      <c r="H12" s="4"/>
    </row>
    <row r="13" spans="1:8" ht="19.5" thickBot="1" x14ac:dyDescent="0.35">
      <c r="A13" s="5"/>
      <c r="B13" s="5"/>
      <c r="C13" s="5"/>
      <c r="D13" s="35"/>
      <c r="E13" s="27"/>
      <c r="H13" s="35"/>
    </row>
    <row r="14" spans="1:8" ht="19.5" thickTop="1" x14ac:dyDescent="0.3">
      <c r="D14" s="4">
        <f>SUM(D7:D13)</f>
        <v>3500</v>
      </c>
      <c r="H14" s="33">
        <f>SUM(H7:H13)</f>
        <v>558.82352941176475</v>
      </c>
    </row>
    <row r="16" spans="1:8" ht="18.75" x14ac:dyDescent="0.3">
      <c r="C16" t="s">
        <v>4</v>
      </c>
      <c r="D16" s="4">
        <f>D3-D14</f>
        <v>10400</v>
      </c>
      <c r="G16" t="s">
        <v>5</v>
      </c>
      <c r="H16" s="4">
        <f>H3-H14</f>
        <v>1660.5042016806719</v>
      </c>
    </row>
    <row r="18" spans="1:8" x14ac:dyDescent="0.25">
      <c r="G18" t="s">
        <v>454</v>
      </c>
    </row>
    <row r="19" spans="1:8" ht="15.75" x14ac:dyDescent="0.25">
      <c r="A19" t="s">
        <v>6</v>
      </c>
      <c r="C19" s="8">
        <f>D16</f>
        <v>10400</v>
      </c>
      <c r="E19" t="s">
        <v>10</v>
      </c>
      <c r="H19" s="6">
        <f>C28</f>
        <v>8683.8957983193268</v>
      </c>
    </row>
    <row r="21" spans="1:8" ht="15.75" x14ac:dyDescent="0.25">
      <c r="A21" t="s">
        <v>5</v>
      </c>
      <c r="B21" s="9" t="s">
        <v>7</v>
      </c>
      <c r="C21" s="8">
        <f>H16</f>
        <v>1660.5042016806719</v>
      </c>
      <c r="E21" s="13" t="s">
        <v>11</v>
      </c>
      <c r="F21" s="9" t="s">
        <v>12</v>
      </c>
      <c r="G21" s="15" t="s">
        <v>17</v>
      </c>
      <c r="H21" s="3">
        <f>-(F22*0.0077)</f>
        <v>-89.941176470588246</v>
      </c>
    </row>
    <row r="22" spans="1:8" x14ac:dyDescent="0.25">
      <c r="F22" s="21">
        <f>D3-H3</f>
        <v>11680.672268907563</v>
      </c>
    </row>
    <row r="23" spans="1:8" ht="16.5" thickBot="1" x14ac:dyDescent="0.3">
      <c r="A23" t="s">
        <v>8</v>
      </c>
      <c r="B23" s="9" t="s">
        <v>7</v>
      </c>
      <c r="C23" s="8">
        <f>D3*0.004</f>
        <v>55.6</v>
      </c>
      <c r="F23" s="9" t="s">
        <v>13</v>
      </c>
      <c r="G23" s="16">
        <v>0.35</v>
      </c>
      <c r="H23" s="17">
        <f>-(F24*0.35)</f>
        <v>-3039.3635294117644</v>
      </c>
    </row>
    <row r="24" spans="1:8" x14ac:dyDescent="0.25">
      <c r="F24" s="21">
        <f>H19</f>
        <v>8683.8957983193268</v>
      </c>
    </row>
    <row r="25" spans="1:8" ht="15.75" x14ac:dyDescent="0.25">
      <c r="A25" t="s">
        <v>9</v>
      </c>
      <c r="B25" s="9" t="s">
        <v>7</v>
      </c>
      <c r="C25" s="10"/>
      <c r="G25" s="13" t="s">
        <v>14</v>
      </c>
      <c r="H25" s="6">
        <f>H19+H21+H23</f>
        <v>5554.5910924369746</v>
      </c>
    </row>
    <row r="26" spans="1:8" ht="15.75" thickBot="1" x14ac:dyDescent="0.3">
      <c r="A26" s="16"/>
      <c r="B26" s="14"/>
      <c r="C26" s="7"/>
    </row>
    <row r="27" spans="1:8" x14ac:dyDescent="0.25">
      <c r="E27" t="s">
        <v>100</v>
      </c>
      <c r="H27" s="20">
        <f>H25*0.4</f>
        <v>2221.8364369747901</v>
      </c>
    </row>
    <row r="28" spans="1:8" ht="15.75" x14ac:dyDescent="0.25">
      <c r="A28" t="s">
        <v>10</v>
      </c>
      <c r="C28" s="10">
        <f>C19-C21-C23-C25</f>
        <v>8683.8957983193268</v>
      </c>
      <c r="H28" s="18"/>
    </row>
    <row r="29" spans="1:8" x14ac:dyDescent="0.25">
      <c r="H29" s="3"/>
    </row>
    <row r="30" spans="1:8" x14ac:dyDescent="0.25">
      <c r="H30" s="18"/>
    </row>
  </sheetData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A71BB-93AC-4D66-8F30-4EE6D6889B85}">
  <dimension ref="A1:H33"/>
  <sheetViews>
    <sheetView topLeftCell="A7" workbookViewId="0">
      <selection activeCell="L25" sqref="L25"/>
    </sheetView>
  </sheetViews>
  <sheetFormatPr baseColWidth="10" defaultRowHeight="15" x14ac:dyDescent="0.25"/>
  <cols>
    <col min="1" max="1" width="11.85546875" customWidth="1"/>
    <col min="2" max="2" width="13.85546875" customWidth="1"/>
    <col min="3" max="3" width="16.14062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629</v>
      </c>
    </row>
    <row r="3" spans="1:8" ht="21" x14ac:dyDescent="0.35">
      <c r="A3" s="2" t="s">
        <v>1</v>
      </c>
      <c r="D3" s="11">
        <v>54145</v>
      </c>
      <c r="F3" s="12" t="s">
        <v>3</v>
      </c>
      <c r="H3" s="4">
        <f>(D3/1.19)*0.19</f>
        <v>8645</v>
      </c>
    </row>
    <row r="4" spans="1:8" x14ac:dyDescent="0.25">
      <c r="A4" s="13" t="s">
        <v>29</v>
      </c>
      <c r="C4" s="28">
        <v>877</v>
      </c>
    </row>
    <row r="5" spans="1:8" ht="21" x14ac:dyDescent="0.35">
      <c r="A5" s="2" t="s">
        <v>2</v>
      </c>
    </row>
    <row r="7" spans="1:8" ht="18.75" x14ac:dyDescent="0.3">
      <c r="A7" s="5"/>
      <c r="D7" s="4"/>
      <c r="E7" s="27"/>
      <c r="H7" s="4"/>
    </row>
    <row r="8" spans="1:8" ht="18.75" x14ac:dyDescent="0.3">
      <c r="A8" s="5"/>
      <c r="C8" s="3"/>
      <c r="D8" s="36"/>
      <c r="E8" s="27"/>
      <c r="H8" s="4"/>
    </row>
    <row r="9" spans="1:8" ht="18.75" x14ac:dyDescent="0.3">
      <c r="A9" s="5"/>
      <c r="C9" s="3"/>
      <c r="D9" s="31"/>
      <c r="E9" s="27"/>
      <c r="H9" s="4"/>
    </row>
    <row r="10" spans="1:8" ht="18.75" x14ac:dyDescent="0.3">
      <c r="A10" s="5" t="s">
        <v>81</v>
      </c>
      <c r="C10" s="3"/>
      <c r="D10" s="31">
        <v>24750</v>
      </c>
      <c r="E10" s="27"/>
      <c r="H10" s="4">
        <f>(D10/1.19)*0.19</f>
        <v>3951.6806722689075</v>
      </c>
    </row>
    <row r="11" spans="1:8" ht="18.75" x14ac:dyDescent="0.3">
      <c r="A11" s="5"/>
      <c r="C11" s="3"/>
      <c r="D11" s="31"/>
      <c r="E11" s="27"/>
      <c r="H11" s="4">
        <f>(D11/1.19)*0.19</f>
        <v>0</v>
      </c>
    </row>
    <row r="12" spans="1:8" ht="19.5" thickBot="1" x14ac:dyDescent="0.35">
      <c r="A12" s="5"/>
      <c r="C12" s="3"/>
      <c r="D12" s="23"/>
      <c r="E12" s="27"/>
      <c r="H12" s="23"/>
    </row>
    <row r="13" spans="1:8" ht="18.75" x14ac:dyDescent="0.3">
      <c r="D13" s="4">
        <f>SUM(D7:D12)</f>
        <v>24750</v>
      </c>
      <c r="H13" s="4">
        <f>SUM(H7:H12)</f>
        <v>3951.6806722689075</v>
      </c>
    </row>
    <row r="14" spans="1:8" ht="18.75" x14ac:dyDescent="0.3">
      <c r="A14" s="5"/>
      <c r="C14" s="3"/>
      <c r="D14" s="4"/>
      <c r="H14" s="4"/>
    </row>
    <row r="16" spans="1:8" ht="18.75" x14ac:dyDescent="0.3">
      <c r="A16" s="5"/>
      <c r="C16" s="3"/>
      <c r="D16" s="4"/>
      <c r="H16" s="4"/>
    </row>
    <row r="17" spans="1:8" ht="15.75" thickBot="1" x14ac:dyDescent="0.3">
      <c r="D17" s="7"/>
      <c r="H17" s="7"/>
    </row>
    <row r="19" spans="1:8" ht="18.75" x14ac:dyDescent="0.3">
      <c r="C19" t="s">
        <v>4</v>
      </c>
      <c r="D19" s="4">
        <f>D3-D13</f>
        <v>29395</v>
      </c>
      <c r="G19" t="s">
        <v>5</v>
      </c>
      <c r="H19" s="4">
        <f>H3-H13</f>
        <v>4693.3193277310929</v>
      </c>
    </row>
    <row r="22" spans="1:8" ht="15.75" x14ac:dyDescent="0.25">
      <c r="A22" t="s">
        <v>6</v>
      </c>
      <c r="C22" s="8">
        <f>D19</f>
        <v>29395</v>
      </c>
      <c r="E22" t="s">
        <v>10</v>
      </c>
      <c r="H22" s="6">
        <f>C31</f>
        <v>24485.100672268905</v>
      </c>
    </row>
    <row r="24" spans="1:8" ht="15.75" x14ac:dyDescent="0.25">
      <c r="A24" t="s">
        <v>5</v>
      </c>
      <c r="B24" s="9" t="s">
        <v>7</v>
      </c>
      <c r="C24" s="8">
        <f>H19</f>
        <v>4693.3193277310929</v>
      </c>
      <c r="E24" s="13" t="s">
        <v>11</v>
      </c>
      <c r="F24" s="9" t="s">
        <v>232</v>
      </c>
      <c r="G24" s="15" t="s">
        <v>17</v>
      </c>
      <c r="H24" s="3">
        <f>-(F25*0.007)</f>
        <v>-318.5</v>
      </c>
    </row>
    <row r="25" spans="1:8" x14ac:dyDescent="0.25">
      <c r="F25" s="21">
        <f>D3-H3</f>
        <v>45500</v>
      </c>
    </row>
    <row r="26" spans="1:8" ht="15.75" x14ac:dyDescent="0.25">
      <c r="A26" t="s">
        <v>8</v>
      </c>
      <c r="B26" s="9" t="s">
        <v>7</v>
      </c>
      <c r="C26" s="8">
        <f>D3*0.004</f>
        <v>216.58</v>
      </c>
      <c r="F26" s="9" t="s">
        <v>13</v>
      </c>
      <c r="G26" s="16">
        <v>0.35</v>
      </c>
      <c r="H26" s="37">
        <f>-(F27*0.35)</f>
        <v>-8569.7852352941172</v>
      </c>
    </row>
    <row r="27" spans="1:8" ht="15.75" thickBot="1" x14ac:dyDescent="0.3">
      <c r="F27" s="21">
        <f>H22</f>
        <v>24485.100672268905</v>
      </c>
      <c r="H27" s="7"/>
    </row>
    <row r="28" spans="1:8" ht="15.75" x14ac:dyDescent="0.25">
      <c r="A28" t="s">
        <v>9</v>
      </c>
      <c r="B28" s="9" t="s">
        <v>7</v>
      </c>
      <c r="C28" s="10"/>
      <c r="G28" s="13" t="s">
        <v>14</v>
      </c>
      <c r="H28" s="6">
        <f>H22+H24+H26</f>
        <v>15596.815436974788</v>
      </c>
    </row>
    <row r="29" spans="1:8" ht="15.75" thickBot="1" x14ac:dyDescent="0.3">
      <c r="A29" s="16"/>
      <c r="B29" s="14"/>
      <c r="C29" s="7"/>
    </row>
    <row r="30" spans="1:8" x14ac:dyDescent="0.25">
      <c r="E30" t="s">
        <v>630</v>
      </c>
      <c r="H30" s="20">
        <f>H28*0.5</f>
        <v>7798.407718487394</v>
      </c>
    </row>
    <row r="31" spans="1:8" ht="15.75" x14ac:dyDescent="0.25">
      <c r="A31" t="s">
        <v>10</v>
      </c>
      <c r="C31" s="10">
        <f>C22-C24-C26-C28</f>
        <v>24485.100672268905</v>
      </c>
      <c r="H31" s="18"/>
    </row>
    <row r="32" spans="1:8" x14ac:dyDescent="0.25">
      <c r="H32" s="3"/>
    </row>
    <row r="33" spans="8:8" x14ac:dyDescent="0.25">
      <c r="H33" s="18"/>
    </row>
  </sheetData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380DF-B159-41B1-B752-B7536FCB70DF}">
  <dimension ref="A1:H30"/>
  <sheetViews>
    <sheetView topLeftCell="A4"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386</v>
      </c>
    </row>
    <row r="3" spans="1:8" ht="21" x14ac:dyDescent="0.35">
      <c r="A3" s="2" t="s">
        <v>1</v>
      </c>
      <c r="D3" s="11">
        <v>152915</v>
      </c>
      <c r="F3" s="12" t="s">
        <v>3</v>
      </c>
      <c r="H3" s="11">
        <f>(D3/1.19)*0.19</f>
        <v>24415</v>
      </c>
    </row>
    <row r="4" spans="1:8" x14ac:dyDescent="0.25">
      <c r="A4" s="13" t="s">
        <v>29</v>
      </c>
      <c r="C4" s="28">
        <v>878</v>
      </c>
    </row>
    <row r="5" spans="1:8" ht="21" x14ac:dyDescent="0.35">
      <c r="A5" s="2" t="s">
        <v>2</v>
      </c>
      <c r="C5" t="s">
        <v>232</v>
      </c>
    </row>
    <row r="7" spans="1:8" ht="18.75" x14ac:dyDescent="0.3">
      <c r="A7" s="5"/>
      <c r="D7" s="4"/>
      <c r="H7" s="4"/>
    </row>
    <row r="8" spans="1:8" ht="18.75" x14ac:dyDescent="0.3">
      <c r="A8" s="5" t="s">
        <v>628</v>
      </c>
      <c r="D8" s="4">
        <v>50950</v>
      </c>
      <c r="H8" s="4">
        <f t="shared" ref="H8:H9" si="0">(D8/1.19)*0.19</f>
        <v>8134.8739495798327</v>
      </c>
    </row>
    <row r="9" spans="1:8" ht="18.75" x14ac:dyDescent="0.3">
      <c r="A9" s="5" t="s">
        <v>310</v>
      </c>
      <c r="B9" s="5"/>
      <c r="C9" s="5"/>
      <c r="D9" s="4">
        <v>38326</v>
      </c>
      <c r="H9" s="4">
        <f t="shared" si="0"/>
        <v>6119.2773109243699</v>
      </c>
    </row>
    <row r="10" spans="1:8" ht="18.75" x14ac:dyDescent="0.3">
      <c r="A10" s="5"/>
      <c r="B10" s="5"/>
      <c r="C10" s="5"/>
      <c r="D10" s="4"/>
      <c r="H10" s="4"/>
    </row>
    <row r="11" spans="1:8" ht="18.75" x14ac:dyDescent="0.3">
      <c r="A11" s="5"/>
      <c r="B11" s="5"/>
      <c r="C11" s="5"/>
      <c r="D11" s="4"/>
      <c r="H11" s="4"/>
    </row>
    <row r="12" spans="1:8" ht="18.75" x14ac:dyDescent="0.3">
      <c r="A12" s="5"/>
      <c r="B12" s="5"/>
      <c r="C12" s="5"/>
      <c r="D12" s="4"/>
      <c r="H12" s="4"/>
    </row>
    <row r="13" spans="1:8" ht="19.5" thickBot="1" x14ac:dyDescent="0.35">
      <c r="A13" s="5"/>
      <c r="B13" s="5"/>
      <c r="C13" s="5"/>
      <c r="D13" s="35"/>
      <c r="E13" s="27"/>
      <c r="H13" s="35"/>
    </row>
    <row r="14" spans="1:8" ht="19.5" thickTop="1" x14ac:dyDescent="0.3">
      <c r="D14" s="4">
        <f>SUM(D7:D13)</f>
        <v>89276</v>
      </c>
      <c r="H14" s="33">
        <f>SUM(H7:H13)</f>
        <v>14254.151260504203</v>
      </c>
    </row>
    <row r="16" spans="1:8" ht="18.75" x14ac:dyDescent="0.3">
      <c r="C16" t="s">
        <v>4</v>
      </c>
      <c r="D16" s="4">
        <f>D3-D14</f>
        <v>63639</v>
      </c>
      <c r="G16" t="s">
        <v>5</v>
      </c>
      <c r="H16" s="4">
        <f>H3-H14</f>
        <v>10160.848739495797</v>
      </c>
    </row>
    <row r="18" spans="1:8" x14ac:dyDescent="0.25">
      <c r="G18" t="s">
        <v>454</v>
      </c>
    </row>
    <row r="19" spans="1:8" ht="15.75" x14ac:dyDescent="0.25">
      <c r="A19" t="s">
        <v>6</v>
      </c>
      <c r="C19" s="8">
        <f>D16</f>
        <v>63639</v>
      </c>
      <c r="E19" t="s">
        <v>10</v>
      </c>
      <c r="H19" s="6">
        <f>C28</f>
        <v>46441.491260504197</v>
      </c>
    </row>
    <row r="21" spans="1:8" ht="15.75" x14ac:dyDescent="0.25">
      <c r="A21" t="s">
        <v>5</v>
      </c>
      <c r="B21" s="9" t="s">
        <v>7</v>
      </c>
      <c r="C21" s="8">
        <f>H16</f>
        <v>10160.848739495797</v>
      </c>
      <c r="E21" s="13" t="s">
        <v>11</v>
      </c>
      <c r="F21" s="9" t="s">
        <v>12</v>
      </c>
      <c r="G21" s="15" t="s">
        <v>17</v>
      </c>
      <c r="H21" s="3">
        <f>-(F22*0.0077)</f>
        <v>-989.45</v>
      </c>
    </row>
    <row r="22" spans="1:8" x14ac:dyDescent="0.25">
      <c r="F22" s="21">
        <f>D3-H3</f>
        <v>128500</v>
      </c>
    </row>
    <row r="23" spans="1:8" ht="16.5" thickBot="1" x14ac:dyDescent="0.3">
      <c r="A23" t="s">
        <v>8</v>
      </c>
      <c r="B23" s="9" t="s">
        <v>7</v>
      </c>
      <c r="C23" s="8">
        <f>D3*0.004</f>
        <v>611.66</v>
      </c>
      <c r="F23" s="9" t="s">
        <v>13</v>
      </c>
      <c r="G23" s="16">
        <v>0.35</v>
      </c>
      <c r="H23" s="17">
        <f>-(F24*0.35)</f>
        <v>-16254.521941176468</v>
      </c>
    </row>
    <row r="24" spans="1:8" x14ac:dyDescent="0.25">
      <c r="F24" s="21">
        <f>H19</f>
        <v>46441.491260504197</v>
      </c>
    </row>
    <row r="25" spans="1:8" ht="15.75" x14ac:dyDescent="0.25">
      <c r="A25" t="s">
        <v>9</v>
      </c>
      <c r="B25" s="9" t="s">
        <v>7</v>
      </c>
      <c r="C25" s="10">
        <f>F22*0.05</f>
        <v>6425</v>
      </c>
      <c r="G25" s="13" t="s">
        <v>14</v>
      </c>
      <c r="H25" s="6">
        <f>H19+H21+H23</f>
        <v>29197.51931932773</v>
      </c>
    </row>
    <row r="26" spans="1:8" ht="15.75" thickBot="1" x14ac:dyDescent="0.3">
      <c r="A26" s="16"/>
      <c r="B26" s="14"/>
      <c r="C26" s="7"/>
    </row>
    <row r="27" spans="1:8" x14ac:dyDescent="0.25">
      <c r="E27" t="s">
        <v>100</v>
      </c>
      <c r="H27" s="20">
        <f>H25*0.4</f>
        <v>11679.007727731092</v>
      </c>
    </row>
    <row r="28" spans="1:8" ht="15.75" x14ac:dyDescent="0.25">
      <c r="A28" t="s">
        <v>10</v>
      </c>
      <c r="C28" s="10">
        <f>C19-C21-C23-C25</f>
        <v>46441.491260504197</v>
      </c>
      <c r="H28" s="18"/>
    </row>
    <row r="29" spans="1:8" x14ac:dyDescent="0.25">
      <c r="H29" s="3"/>
    </row>
    <row r="30" spans="1:8" x14ac:dyDescent="0.25">
      <c r="H30" s="18"/>
    </row>
  </sheetData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13645-6558-4CD6-B1B3-7824E8AB33FF}">
  <dimension ref="A1:H30"/>
  <sheetViews>
    <sheetView topLeftCell="A13" workbookViewId="0">
      <selection activeCell="C25" sqref="C25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631</v>
      </c>
    </row>
    <row r="3" spans="1:8" ht="21" x14ac:dyDescent="0.35">
      <c r="A3" s="2" t="s">
        <v>1</v>
      </c>
      <c r="D3" s="11">
        <v>162792</v>
      </c>
      <c r="F3" s="12" t="s">
        <v>3</v>
      </c>
      <c r="H3" s="11">
        <f>(D3/1.19)*0.19</f>
        <v>25992</v>
      </c>
    </row>
    <row r="4" spans="1:8" x14ac:dyDescent="0.25">
      <c r="A4" s="13" t="s">
        <v>29</v>
      </c>
      <c r="C4" s="28">
        <v>882</v>
      </c>
    </row>
    <row r="5" spans="1:8" ht="21" x14ac:dyDescent="0.35">
      <c r="A5" s="2" t="s">
        <v>2</v>
      </c>
      <c r="C5" t="s">
        <v>232</v>
      </c>
    </row>
    <row r="7" spans="1:8" ht="18.75" x14ac:dyDescent="0.3">
      <c r="A7" s="5"/>
      <c r="D7" s="4"/>
      <c r="H7" s="4"/>
    </row>
    <row r="8" spans="1:8" ht="18.75" x14ac:dyDescent="0.3">
      <c r="A8" s="5"/>
      <c r="D8" s="4"/>
      <c r="H8" s="4"/>
    </row>
    <row r="9" spans="1:8" ht="18.75" x14ac:dyDescent="0.3">
      <c r="A9" s="5" t="s">
        <v>310</v>
      </c>
      <c r="B9" s="5"/>
      <c r="C9" s="5"/>
      <c r="D9" s="4">
        <v>95000</v>
      </c>
      <c r="H9" s="4">
        <f t="shared" ref="H9" si="0">(D9/1.19)*0.19</f>
        <v>15168.067226890758</v>
      </c>
    </row>
    <row r="10" spans="1:8" ht="18.75" x14ac:dyDescent="0.3">
      <c r="A10" s="5"/>
      <c r="B10" s="5"/>
      <c r="C10" s="5"/>
      <c r="D10" s="4"/>
      <c r="H10" s="4"/>
    </row>
    <row r="11" spans="1:8" ht="18.75" x14ac:dyDescent="0.3">
      <c r="A11" s="5"/>
      <c r="B11" s="5"/>
      <c r="C11" s="5"/>
      <c r="D11" s="4"/>
      <c r="H11" s="4"/>
    </row>
    <row r="12" spans="1:8" ht="18.75" x14ac:dyDescent="0.3">
      <c r="A12" s="5"/>
      <c r="B12" s="5"/>
      <c r="C12" s="5"/>
      <c r="D12" s="4"/>
      <c r="H12" s="4"/>
    </row>
    <row r="13" spans="1:8" ht="19.5" thickBot="1" x14ac:dyDescent="0.35">
      <c r="A13" s="5"/>
      <c r="B13" s="5"/>
      <c r="C13" s="5"/>
      <c r="D13" s="35"/>
      <c r="E13" s="27"/>
      <c r="H13" s="35"/>
    </row>
    <row r="14" spans="1:8" ht="19.5" thickTop="1" x14ac:dyDescent="0.3">
      <c r="D14" s="4">
        <f>SUM(D7:D13)</f>
        <v>95000</v>
      </c>
      <c r="H14" s="33">
        <f>SUM(H7:H13)</f>
        <v>15168.067226890758</v>
      </c>
    </row>
    <row r="16" spans="1:8" ht="18.75" x14ac:dyDescent="0.3">
      <c r="C16" t="s">
        <v>4</v>
      </c>
      <c r="D16" s="4">
        <f>D3-D14</f>
        <v>67792</v>
      </c>
      <c r="G16" t="s">
        <v>5</v>
      </c>
      <c r="H16" s="4">
        <f>H3-H14</f>
        <v>10823.932773109242</v>
      </c>
    </row>
    <row r="18" spans="1:8" x14ac:dyDescent="0.25">
      <c r="G18" t="s">
        <v>454</v>
      </c>
    </row>
    <row r="19" spans="1:8" ht="15.75" x14ac:dyDescent="0.25">
      <c r="A19" t="s">
        <v>6</v>
      </c>
      <c r="C19" s="8">
        <f>D16</f>
        <v>67792</v>
      </c>
      <c r="E19" t="s">
        <v>10</v>
      </c>
      <c r="H19" s="6">
        <f>C28</f>
        <v>56316.89922689076</v>
      </c>
    </row>
    <row r="21" spans="1:8" ht="15.75" x14ac:dyDescent="0.25">
      <c r="A21" t="s">
        <v>5</v>
      </c>
      <c r="B21" s="9" t="s">
        <v>7</v>
      </c>
      <c r="C21" s="8">
        <f>H16</f>
        <v>10823.932773109242</v>
      </c>
      <c r="E21" s="13" t="s">
        <v>11</v>
      </c>
      <c r="F21" s="9" t="s">
        <v>12</v>
      </c>
      <c r="G21" s="15" t="s">
        <v>17</v>
      </c>
      <c r="H21" s="3">
        <f>-(F22*0.0077)</f>
        <v>-1053.3600000000001</v>
      </c>
    </row>
    <row r="22" spans="1:8" x14ac:dyDescent="0.25">
      <c r="F22" s="21">
        <f>D3-H3</f>
        <v>136800</v>
      </c>
    </row>
    <row r="23" spans="1:8" ht="16.5" thickBot="1" x14ac:dyDescent="0.3">
      <c r="A23" t="s">
        <v>8</v>
      </c>
      <c r="B23" s="9" t="s">
        <v>7</v>
      </c>
      <c r="C23" s="8">
        <f>D3*0.004</f>
        <v>651.16800000000001</v>
      </c>
      <c r="F23" s="9" t="s">
        <v>13</v>
      </c>
      <c r="G23" s="16">
        <v>0.35</v>
      </c>
      <c r="H23" s="17">
        <f>-(F24*0.35)</f>
        <v>-19710.914729411765</v>
      </c>
    </row>
    <row r="24" spans="1:8" x14ac:dyDescent="0.25">
      <c r="F24" s="21">
        <f>H19</f>
        <v>56316.89922689076</v>
      </c>
    </row>
    <row r="25" spans="1:8" ht="15.75" x14ac:dyDescent="0.25">
      <c r="A25" t="s">
        <v>9</v>
      </c>
      <c r="B25" s="9" t="s">
        <v>7</v>
      </c>
      <c r="C25" s="10"/>
      <c r="G25" s="13" t="s">
        <v>14</v>
      </c>
      <c r="H25" s="6">
        <f>H19+H21+H23</f>
        <v>35552.624497478995</v>
      </c>
    </row>
    <row r="26" spans="1:8" ht="15.75" thickBot="1" x14ac:dyDescent="0.3">
      <c r="A26" s="16"/>
      <c r="B26" s="14"/>
      <c r="C26" s="7"/>
    </row>
    <row r="27" spans="1:8" x14ac:dyDescent="0.25">
      <c r="E27" t="s">
        <v>100</v>
      </c>
      <c r="H27" s="20">
        <f>H25*0.4</f>
        <v>14221.049798991598</v>
      </c>
    </row>
    <row r="28" spans="1:8" ht="15.75" x14ac:dyDescent="0.25">
      <c r="A28" t="s">
        <v>10</v>
      </c>
      <c r="C28" s="10">
        <f>C19-C21-C23-C25</f>
        <v>56316.89922689076</v>
      </c>
      <c r="H28" s="18"/>
    </row>
    <row r="29" spans="1:8" x14ac:dyDescent="0.25">
      <c r="H29" s="3"/>
    </row>
    <row r="30" spans="1:8" x14ac:dyDescent="0.25">
      <c r="H30" s="18"/>
    </row>
  </sheetData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FD43F-9AEA-4AAB-ACF7-C376A140D023}">
  <dimension ref="A1:H30"/>
  <sheetViews>
    <sheetView topLeftCell="A7" workbookViewId="0">
      <selection activeCell="C25" sqref="C25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632</v>
      </c>
    </row>
    <row r="3" spans="1:8" ht="21" x14ac:dyDescent="0.35">
      <c r="A3" s="2" t="s">
        <v>1</v>
      </c>
      <c r="D3" s="11">
        <v>945645</v>
      </c>
      <c r="F3" s="12" t="s">
        <v>3</v>
      </c>
      <c r="H3" s="11">
        <f>(D3/1.19)*0.19</f>
        <v>150985.3361344538</v>
      </c>
    </row>
    <row r="4" spans="1:8" x14ac:dyDescent="0.25">
      <c r="A4" s="13" t="s">
        <v>29</v>
      </c>
      <c r="C4" s="28">
        <v>883</v>
      </c>
    </row>
    <row r="5" spans="1:8" ht="21" x14ac:dyDescent="0.35">
      <c r="A5" s="2" t="s">
        <v>2</v>
      </c>
      <c r="C5" t="s">
        <v>232</v>
      </c>
    </row>
    <row r="7" spans="1:8" ht="18.75" x14ac:dyDescent="0.3">
      <c r="A7" s="5"/>
      <c r="D7" s="4"/>
      <c r="H7" s="4"/>
    </row>
    <row r="8" spans="1:8" ht="18.75" x14ac:dyDescent="0.3">
      <c r="A8" s="5"/>
      <c r="D8" s="4"/>
      <c r="H8" s="4"/>
    </row>
    <row r="9" spans="1:8" ht="18.75" x14ac:dyDescent="0.3">
      <c r="A9" s="5" t="s">
        <v>633</v>
      </c>
      <c r="B9" s="5"/>
      <c r="C9" s="5"/>
      <c r="D9" s="4">
        <v>263704</v>
      </c>
      <c r="H9" s="4">
        <f t="shared" ref="H9:H10" si="0">(D9/1.19)*0.19</f>
        <v>42104</v>
      </c>
    </row>
    <row r="10" spans="1:8" ht="18.75" x14ac:dyDescent="0.3">
      <c r="A10" s="5" t="s">
        <v>397</v>
      </c>
      <c r="B10" s="5"/>
      <c r="C10" s="5"/>
      <c r="D10" s="4">
        <v>436014</v>
      </c>
      <c r="H10" s="4">
        <f t="shared" si="0"/>
        <v>69615.680672268907</v>
      </c>
    </row>
    <row r="11" spans="1:8" ht="18.75" x14ac:dyDescent="0.3">
      <c r="A11" s="5"/>
      <c r="B11" s="5"/>
      <c r="C11" s="5"/>
      <c r="D11" s="4"/>
      <c r="H11" s="4"/>
    </row>
    <row r="12" spans="1:8" ht="18.75" x14ac:dyDescent="0.3">
      <c r="A12" s="5"/>
      <c r="B12" s="5"/>
      <c r="C12" s="5"/>
      <c r="D12" s="4"/>
      <c r="H12" s="4"/>
    </row>
    <row r="13" spans="1:8" ht="19.5" thickBot="1" x14ac:dyDescent="0.35">
      <c r="A13" s="5"/>
      <c r="B13" s="5"/>
      <c r="C13" s="5"/>
      <c r="D13" s="35"/>
      <c r="E13" s="27"/>
      <c r="H13" s="35"/>
    </row>
    <row r="14" spans="1:8" ht="19.5" thickTop="1" x14ac:dyDescent="0.3">
      <c r="D14" s="4">
        <f>SUM(D7:D13)</f>
        <v>699718</v>
      </c>
      <c r="H14" s="33">
        <f>SUM(H7:H13)</f>
        <v>111719.68067226891</v>
      </c>
    </row>
    <row r="16" spans="1:8" ht="18.75" x14ac:dyDescent="0.3">
      <c r="C16" t="s">
        <v>4</v>
      </c>
      <c r="D16" s="4">
        <f>D3-D14</f>
        <v>245927</v>
      </c>
      <c r="G16" t="s">
        <v>5</v>
      </c>
      <c r="H16" s="4">
        <f>H3-H14</f>
        <v>39265.655462184892</v>
      </c>
    </row>
    <row r="18" spans="1:8" x14ac:dyDescent="0.25">
      <c r="G18" t="s">
        <v>454</v>
      </c>
    </row>
    <row r="19" spans="1:8" ht="15.75" x14ac:dyDescent="0.25">
      <c r="A19" t="s">
        <v>6</v>
      </c>
      <c r="C19" s="8">
        <f>D16</f>
        <v>245927</v>
      </c>
      <c r="E19" t="s">
        <v>10</v>
      </c>
      <c r="H19" s="6">
        <f>C28</f>
        <v>202878.76453781512</v>
      </c>
    </row>
    <row r="21" spans="1:8" ht="15.75" x14ac:dyDescent="0.25">
      <c r="A21" t="s">
        <v>5</v>
      </c>
      <c r="B21" s="9" t="s">
        <v>7</v>
      </c>
      <c r="C21" s="8">
        <f>H16</f>
        <v>39265.655462184892</v>
      </c>
      <c r="E21" s="13" t="s">
        <v>11</v>
      </c>
      <c r="F21" s="9" t="s">
        <v>12</v>
      </c>
      <c r="G21" s="15" t="s">
        <v>17</v>
      </c>
      <c r="H21" s="3">
        <f>-(F22*0.0077)</f>
        <v>-6118.8794117647058</v>
      </c>
    </row>
    <row r="22" spans="1:8" x14ac:dyDescent="0.25">
      <c r="F22" s="21">
        <f>D3-H3</f>
        <v>794659.66386554623</v>
      </c>
    </row>
    <row r="23" spans="1:8" ht="16.5" thickBot="1" x14ac:dyDescent="0.3">
      <c r="A23" t="s">
        <v>8</v>
      </c>
      <c r="B23" s="9" t="s">
        <v>7</v>
      </c>
      <c r="C23" s="8">
        <f>D3*0.004</f>
        <v>3782.58</v>
      </c>
      <c r="F23" s="9" t="s">
        <v>13</v>
      </c>
      <c r="G23" s="16">
        <v>0.35</v>
      </c>
      <c r="H23" s="17">
        <f>-(F24*0.35)</f>
        <v>-71007.567588235281</v>
      </c>
    </row>
    <row r="24" spans="1:8" x14ac:dyDescent="0.25">
      <c r="F24" s="21">
        <f>H19</f>
        <v>202878.76453781512</v>
      </c>
    </row>
    <row r="25" spans="1:8" x14ac:dyDescent="0.25">
      <c r="A25" t="s">
        <v>9</v>
      </c>
      <c r="B25" s="9" t="s">
        <v>7</v>
      </c>
      <c r="G25" s="13" t="s">
        <v>14</v>
      </c>
      <c r="H25" s="6">
        <f>H19+H21+H23</f>
        <v>125752.31753781514</v>
      </c>
    </row>
    <row r="26" spans="1:8" ht="15.75" thickBot="1" x14ac:dyDescent="0.3">
      <c r="A26" s="16"/>
      <c r="B26" s="14"/>
      <c r="C26" s="7"/>
    </row>
    <row r="27" spans="1:8" x14ac:dyDescent="0.25">
      <c r="E27" t="s">
        <v>100</v>
      </c>
      <c r="H27" s="20">
        <f>H25*0.4</f>
        <v>50300.927015126057</v>
      </c>
    </row>
    <row r="28" spans="1:8" ht="15.75" x14ac:dyDescent="0.25">
      <c r="A28" t="s">
        <v>10</v>
      </c>
      <c r="C28" s="10">
        <f>C19-C21-C23-C25</f>
        <v>202878.76453781512</v>
      </c>
      <c r="H28" s="18"/>
    </row>
    <row r="29" spans="1:8" x14ac:dyDescent="0.25">
      <c r="H29" s="3"/>
    </row>
    <row r="30" spans="1:8" x14ac:dyDescent="0.25">
      <c r="H30" s="18"/>
    </row>
  </sheetData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4321E-D3F7-46AB-A18C-A5C9F4D16C5A}">
  <dimension ref="A1:H30"/>
  <sheetViews>
    <sheetView topLeftCell="A13" workbookViewId="0">
      <selection activeCell="C25" sqref="C25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634</v>
      </c>
    </row>
    <row r="3" spans="1:8" ht="21" x14ac:dyDescent="0.35">
      <c r="A3" s="2" t="s">
        <v>1</v>
      </c>
      <c r="D3" s="11">
        <v>71400</v>
      </c>
      <c r="F3" s="12" t="s">
        <v>3</v>
      </c>
      <c r="H3" s="11">
        <f>(D3/1.19)*0.19</f>
        <v>11400</v>
      </c>
    </row>
    <row r="4" spans="1:8" x14ac:dyDescent="0.25">
      <c r="A4" s="13" t="s">
        <v>29</v>
      </c>
      <c r="C4" s="28">
        <v>884</v>
      </c>
    </row>
    <row r="5" spans="1:8" ht="21" x14ac:dyDescent="0.35">
      <c r="A5" s="2" t="s">
        <v>2</v>
      </c>
      <c r="C5" t="s">
        <v>232</v>
      </c>
    </row>
    <row r="7" spans="1:8" ht="18.75" x14ac:dyDescent="0.3">
      <c r="A7" s="5"/>
      <c r="D7" s="4"/>
      <c r="H7" s="4"/>
    </row>
    <row r="8" spans="1:8" ht="18.75" x14ac:dyDescent="0.3">
      <c r="A8" s="5"/>
      <c r="D8" s="4"/>
      <c r="H8" s="4"/>
    </row>
    <row r="9" spans="1:8" ht="18.75" x14ac:dyDescent="0.3">
      <c r="A9" s="5" t="s">
        <v>310</v>
      </c>
      <c r="B9" s="5"/>
      <c r="C9" s="5"/>
      <c r="D9" s="4">
        <v>37000</v>
      </c>
      <c r="H9" s="4">
        <f t="shared" ref="H9" si="0">(D9/1.19)*0.19</f>
        <v>5907.5630252100846</v>
      </c>
    </row>
    <row r="10" spans="1:8" ht="18.75" x14ac:dyDescent="0.3">
      <c r="A10" s="5"/>
      <c r="B10" s="5"/>
      <c r="C10" s="5"/>
      <c r="D10" s="4"/>
      <c r="H10" s="4"/>
    </row>
    <row r="11" spans="1:8" ht="18.75" x14ac:dyDescent="0.3">
      <c r="A11" s="5"/>
      <c r="B11" s="5"/>
      <c r="C11" s="5"/>
      <c r="D11" s="4"/>
      <c r="H11" s="4"/>
    </row>
    <row r="12" spans="1:8" ht="18.75" x14ac:dyDescent="0.3">
      <c r="A12" s="5"/>
      <c r="B12" s="5"/>
      <c r="C12" s="5"/>
      <c r="D12" s="4"/>
      <c r="H12" s="4"/>
    </row>
    <row r="13" spans="1:8" ht="19.5" thickBot="1" x14ac:dyDescent="0.35">
      <c r="A13" s="5"/>
      <c r="B13" s="5"/>
      <c r="C13" s="5"/>
      <c r="D13" s="35"/>
      <c r="E13" s="27"/>
      <c r="H13" s="35"/>
    </row>
    <row r="14" spans="1:8" ht="19.5" thickTop="1" x14ac:dyDescent="0.3">
      <c r="D14" s="4">
        <f>SUM(D7:D13)</f>
        <v>37000</v>
      </c>
      <c r="H14" s="33">
        <f>SUM(H7:H13)</f>
        <v>5907.5630252100846</v>
      </c>
    </row>
    <row r="16" spans="1:8" ht="18.75" x14ac:dyDescent="0.3">
      <c r="C16" t="s">
        <v>4</v>
      </c>
      <c r="D16" s="4">
        <f>D3-D14</f>
        <v>34400</v>
      </c>
      <c r="G16" t="s">
        <v>5</v>
      </c>
      <c r="H16" s="4">
        <f>H3-H14</f>
        <v>5492.4369747899154</v>
      </c>
    </row>
    <row r="18" spans="1:8" x14ac:dyDescent="0.25">
      <c r="G18" t="s">
        <v>454</v>
      </c>
    </row>
    <row r="19" spans="1:8" ht="15.75" x14ac:dyDescent="0.25">
      <c r="A19" t="s">
        <v>6</v>
      </c>
      <c r="C19" s="8">
        <f>D16</f>
        <v>34400</v>
      </c>
      <c r="E19" t="s">
        <v>10</v>
      </c>
      <c r="H19" s="6">
        <f>C28</f>
        <v>28621.963025210087</v>
      </c>
    </row>
    <row r="21" spans="1:8" ht="15.75" x14ac:dyDescent="0.25">
      <c r="A21" t="s">
        <v>5</v>
      </c>
      <c r="B21" s="9" t="s">
        <v>7</v>
      </c>
      <c r="C21" s="8">
        <f>H16</f>
        <v>5492.4369747899154</v>
      </c>
      <c r="E21" s="13" t="s">
        <v>11</v>
      </c>
      <c r="F21" s="9" t="s">
        <v>12</v>
      </c>
      <c r="G21" s="15" t="s">
        <v>17</v>
      </c>
      <c r="H21" s="3">
        <f>-(F22*0.0077)</f>
        <v>-462</v>
      </c>
    </row>
    <row r="22" spans="1:8" x14ac:dyDescent="0.25">
      <c r="F22" s="21">
        <f>D3-H3</f>
        <v>60000</v>
      </c>
    </row>
    <row r="23" spans="1:8" ht="16.5" thickBot="1" x14ac:dyDescent="0.3">
      <c r="A23" t="s">
        <v>8</v>
      </c>
      <c r="B23" s="9" t="s">
        <v>7</v>
      </c>
      <c r="C23" s="8">
        <f>D3*0.004</f>
        <v>285.60000000000002</v>
      </c>
      <c r="F23" s="9" t="s">
        <v>13</v>
      </c>
      <c r="G23" s="16">
        <v>0.35</v>
      </c>
      <c r="H23" s="17">
        <f>-(F24*0.35)</f>
        <v>-10017.687058823531</v>
      </c>
    </row>
    <row r="24" spans="1:8" x14ac:dyDescent="0.25">
      <c r="F24" s="21">
        <f>H19</f>
        <v>28621.963025210087</v>
      </c>
    </row>
    <row r="25" spans="1:8" ht="15.75" x14ac:dyDescent="0.25">
      <c r="A25" t="s">
        <v>9</v>
      </c>
      <c r="B25" s="9" t="s">
        <v>7</v>
      </c>
      <c r="C25" s="10"/>
      <c r="G25" s="13" t="s">
        <v>14</v>
      </c>
      <c r="H25" s="6">
        <f>H19+H21+H23</f>
        <v>18142.275966386558</v>
      </c>
    </row>
    <row r="26" spans="1:8" ht="15.75" thickBot="1" x14ac:dyDescent="0.3">
      <c r="A26" s="16"/>
      <c r="B26" s="14"/>
      <c r="C26" s="7"/>
    </row>
    <row r="27" spans="1:8" x14ac:dyDescent="0.25">
      <c r="E27" t="s">
        <v>100</v>
      </c>
      <c r="H27" s="20">
        <f>H25*0.4</f>
        <v>7256.910386554624</v>
      </c>
    </row>
    <row r="28" spans="1:8" ht="15.75" x14ac:dyDescent="0.25">
      <c r="A28" t="s">
        <v>10</v>
      </c>
      <c r="C28" s="10">
        <f>C19-C21-C23-C25</f>
        <v>28621.963025210087</v>
      </c>
      <c r="H28" s="18"/>
    </row>
    <row r="29" spans="1:8" x14ac:dyDescent="0.25">
      <c r="H29" s="3"/>
    </row>
    <row r="30" spans="1:8" x14ac:dyDescent="0.25">
      <c r="H30" s="18"/>
    </row>
  </sheetData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067A2-E271-4CD5-91E4-F0DC733320A6}">
  <dimension ref="A1:H30"/>
  <sheetViews>
    <sheetView topLeftCell="A7" workbookViewId="0">
      <selection activeCell="F33" sqref="F33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386</v>
      </c>
    </row>
    <row r="3" spans="1:8" ht="21" x14ac:dyDescent="0.35">
      <c r="A3" s="2" t="s">
        <v>1</v>
      </c>
      <c r="D3" s="11">
        <v>334390</v>
      </c>
      <c r="F3" s="12" t="s">
        <v>3</v>
      </c>
      <c r="H3" s="11">
        <f>(D3/1.19)*0.19</f>
        <v>53390</v>
      </c>
    </row>
    <row r="4" spans="1:8" x14ac:dyDescent="0.25">
      <c r="A4" s="13" t="s">
        <v>29</v>
      </c>
      <c r="C4" s="28">
        <v>886</v>
      </c>
    </row>
    <row r="5" spans="1:8" ht="21" x14ac:dyDescent="0.35">
      <c r="A5" s="2" t="s">
        <v>2</v>
      </c>
      <c r="C5" t="s">
        <v>232</v>
      </c>
    </row>
    <row r="7" spans="1:8" ht="18.75" x14ac:dyDescent="0.3">
      <c r="A7" s="5"/>
      <c r="D7" s="4"/>
      <c r="H7" s="4"/>
    </row>
    <row r="8" spans="1:8" ht="18.75" x14ac:dyDescent="0.3">
      <c r="A8" s="5"/>
      <c r="D8" s="4"/>
      <c r="H8" s="4"/>
    </row>
    <row r="9" spans="1:8" ht="18.75" x14ac:dyDescent="0.3">
      <c r="A9" s="5" t="s">
        <v>623</v>
      </c>
      <c r="B9" s="5"/>
      <c r="C9" s="5"/>
      <c r="D9" s="4">
        <v>117100</v>
      </c>
      <c r="H9" s="4">
        <f t="shared" ref="H9:H10" si="0">(D9/1.19)*0.19</f>
        <v>18696.638655462186</v>
      </c>
    </row>
    <row r="10" spans="1:8" ht="18.75" x14ac:dyDescent="0.3">
      <c r="A10" s="5" t="s">
        <v>488</v>
      </c>
      <c r="B10" s="5"/>
      <c r="C10" s="5"/>
      <c r="D10" s="4">
        <v>71210</v>
      </c>
      <c r="H10" s="4">
        <f t="shared" si="0"/>
        <v>11369.663865546219</v>
      </c>
    </row>
    <row r="11" spans="1:8" ht="18.75" x14ac:dyDescent="0.3">
      <c r="A11" s="5"/>
      <c r="B11" s="5"/>
      <c r="C11" s="5"/>
      <c r="D11" s="4"/>
      <c r="H11" s="4"/>
    </row>
    <row r="12" spans="1:8" ht="18.75" x14ac:dyDescent="0.3">
      <c r="A12" s="5"/>
      <c r="B12" s="5"/>
      <c r="C12" s="5"/>
      <c r="D12" s="4"/>
      <c r="H12" s="4"/>
    </row>
    <row r="13" spans="1:8" ht="19.5" thickBot="1" x14ac:dyDescent="0.35">
      <c r="A13" s="5"/>
      <c r="B13" s="5"/>
      <c r="C13" s="5"/>
      <c r="D13" s="35"/>
      <c r="E13" s="27"/>
      <c r="H13" s="35"/>
    </row>
    <row r="14" spans="1:8" ht="19.5" thickTop="1" x14ac:dyDescent="0.3">
      <c r="D14" s="4">
        <f>SUM(D7:D13)</f>
        <v>188310</v>
      </c>
      <c r="H14" s="33">
        <f>SUM(H7:H13)</f>
        <v>30066.302521008405</v>
      </c>
    </row>
    <row r="16" spans="1:8" ht="18.75" x14ac:dyDescent="0.3">
      <c r="C16" t="s">
        <v>4</v>
      </c>
      <c r="D16" s="4">
        <f>D3-D14</f>
        <v>146080</v>
      </c>
      <c r="G16" t="s">
        <v>5</v>
      </c>
      <c r="H16" s="4">
        <f>H3-H14</f>
        <v>23323.697478991595</v>
      </c>
    </row>
    <row r="18" spans="1:8" x14ac:dyDescent="0.25">
      <c r="G18" t="s">
        <v>454</v>
      </c>
    </row>
    <row r="19" spans="1:8" ht="15.75" x14ac:dyDescent="0.25">
      <c r="A19" t="s">
        <v>6</v>
      </c>
      <c r="C19" s="8">
        <f>D16</f>
        <v>146080</v>
      </c>
      <c r="E19" t="s">
        <v>10</v>
      </c>
      <c r="H19" s="6">
        <f>C28</f>
        <v>107368.7425210084</v>
      </c>
    </row>
    <row r="21" spans="1:8" ht="15.75" x14ac:dyDescent="0.25">
      <c r="A21" t="s">
        <v>5</v>
      </c>
      <c r="B21" s="9" t="s">
        <v>7</v>
      </c>
      <c r="C21" s="8">
        <f>H16</f>
        <v>23323.697478991595</v>
      </c>
      <c r="E21" s="13" t="s">
        <v>11</v>
      </c>
      <c r="F21" s="9" t="s">
        <v>12</v>
      </c>
      <c r="G21" s="15" t="s">
        <v>17</v>
      </c>
      <c r="H21" s="3">
        <f>-(F22*0.0077)</f>
        <v>-2163.7000000000003</v>
      </c>
    </row>
    <row r="22" spans="1:8" x14ac:dyDescent="0.25">
      <c r="F22" s="21">
        <f>D3-H3</f>
        <v>281000</v>
      </c>
    </row>
    <row r="23" spans="1:8" ht="16.5" thickBot="1" x14ac:dyDescent="0.3">
      <c r="A23" t="s">
        <v>8</v>
      </c>
      <c r="B23" s="9" t="s">
        <v>7</v>
      </c>
      <c r="C23" s="8">
        <f>D3*0.004</f>
        <v>1337.56</v>
      </c>
      <c r="F23" s="9" t="s">
        <v>13</v>
      </c>
      <c r="G23" s="16">
        <v>0.35</v>
      </c>
      <c r="H23" s="17">
        <f>-(F24*0.35)</f>
        <v>-37579.059882352936</v>
      </c>
    </row>
    <row r="24" spans="1:8" x14ac:dyDescent="0.25">
      <c r="F24" s="21">
        <f>H19</f>
        <v>107368.7425210084</v>
      </c>
    </row>
    <row r="25" spans="1:8" ht="15.75" x14ac:dyDescent="0.25">
      <c r="A25" t="s">
        <v>9</v>
      </c>
      <c r="B25" s="9" t="s">
        <v>7</v>
      </c>
      <c r="C25" s="10">
        <f>F22*0.05</f>
        <v>14050</v>
      </c>
      <c r="G25" s="13" t="s">
        <v>14</v>
      </c>
      <c r="H25" s="6">
        <f>H19+H21+H23</f>
        <v>67625.982638655463</v>
      </c>
    </row>
    <row r="26" spans="1:8" ht="15.75" thickBot="1" x14ac:dyDescent="0.3">
      <c r="A26" s="16"/>
      <c r="B26" s="14"/>
      <c r="C26" s="7"/>
    </row>
    <row r="27" spans="1:8" x14ac:dyDescent="0.25">
      <c r="E27" t="s">
        <v>100</v>
      </c>
      <c r="H27" s="20">
        <f>H25*0.4</f>
        <v>27050.393055462187</v>
      </c>
    </row>
    <row r="28" spans="1:8" ht="15.75" x14ac:dyDescent="0.25">
      <c r="A28" t="s">
        <v>10</v>
      </c>
      <c r="C28" s="10">
        <f>C19-C21-C23-C25</f>
        <v>107368.7425210084</v>
      </c>
      <c r="H28" s="18"/>
    </row>
    <row r="29" spans="1:8" x14ac:dyDescent="0.25">
      <c r="H29" s="3"/>
    </row>
    <row r="30" spans="1:8" x14ac:dyDescent="0.25">
      <c r="H30" s="18"/>
    </row>
  </sheetData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67A18-0C2A-4060-8BD6-13AC6E004EFF}">
  <dimension ref="A1:H30"/>
  <sheetViews>
    <sheetView topLeftCell="A10" workbookViewId="0">
      <selection activeCell="C25" sqref="C25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377</v>
      </c>
    </row>
    <row r="3" spans="1:8" ht="21" x14ac:dyDescent="0.35">
      <c r="A3" s="2" t="s">
        <v>1</v>
      </c>
      <c r="D3" s="11">
        <v>89250</v>
      </c>
      <c r="F3" s="12" t="s">
        <v>3</v>
      </c>
      <c r="H3" s="11">
        <f>(D3/1.19)*0.19</f>
        <v>14250</v>
      </c>
    </row>
    <row r="4" spans="1:8" x14ac:dyDescent="0.25">
      <c r="A4" s="13" t="s">
        <v>29</v>
      </c>
      <c r="C4" s="28">
        <v>887</v>
      </c>
    </row>
    <row r="5" spans="1:8" ht="21" x14ac:dyDescent="0.35">
      <c r="A5" s="2" t="s">
        <v>2</v>
      </c>
      <c r="C5" t="s">
        <v>232</v>
      </c>
    </row>
    <row r="7" spans="1:8" ht="18.75" x14ac:dyDescent="0.3">
      <c r="A7" s="5"/>
      <c r="D7" s="4"/>
      <c r="H7" s="4"/>
    </row>
    <row r="8" spans="1:8" ht="18.75" x14ac:dyDescent="0.3">
      <c r="A8" s="5"/>
      <c r="D8" s="4"/>
      <c r="H8" s="4"/>
    </row>
    <row r="9" spans="1:8" ht="18.75" x14ac:dyDescent="0.3">
      <c r="A9" s="5" t="s">
        <v>167</v>
      </c>
      <c r="B9" s="5"/>
      <c r="C9" s="5"/>
      <c r="D9" s="4">
        <v>40000</v>
      </c>
      <c r="H9" s="4">
        <f t="shared" ref="H9" si="0">(D9/1.19)*0.19</f>
        <v>6386.5546218487398</v>
      </c>
    </row>
    <row r="10" spans="1:8" ht="18.75" x14ac:dyDescent="0.3">
      <c r="A10" s="5"/>
      <c r="B10" s="5"/>
      <c r="C10" s="5"/>
      <c r="D10" s="4"/>
      <c r="H10" s="4"/>
    </row>
    <row r="11" spans="1:8" ht="18.75" x14ac:dyDescent="0.3">
      <c r="A11" s="5"/>
      <c r="B11" s="5"/>
      <c r="C11" s="5"/>
      <c r="D11" s="4"/>
      <c r="H11" s="4"/>
    </row>
    <row r="12" spans="1:8" ht="18.75" x14ac:dyDescent="0.3">
      <c r="A12" s="5"/>
      <c r="B12" s="5"/>
      <c r="C12" s="5"/>
      <c r="D12" s="4"/>
      <c r="H12" s="4"/>
    </row>
    <row r="13" spans="1:8" ht="19.5" thickBot="1" x14ac:dyDescent="0.35">
      <c r="A13" s="5"/>
      <c r="B13" s="5"/>
      <c r="C13" s="5"/>
      <c r="D13" s="35"/>
      <c r="E13" s="27"/>
      <c r="H13" s="35"/>
    </row>
    <row r="14" spans="1:8" ht="19.5" thickTop="1" x14ac:dyDescent="0.3">
      <c r="D14" s="4">
        <f>SUM(D7:D13)</f>
        <v>40000</v>
      </c>
      <c r="H14" s="33">
        <f>SUM(H7:H13)</f>
        <v>6386.5546218487398</v>
      </c>
    </row>
    <row r="16" spans="1:8" ht="18.75" x14ac:dyDescent="0.3">
      <c r="C16" t="s">
        <v>4</v>
      </c>
      <c r="D16" s="4">
        <f>D3-D14</f>
        <v>49250</v>
      </c>
      <c r="G16" t="s">
        <v>5</v>
      </c>
      <c r="H16" s="4">
        <f>H3-H14</f>
        <v>7863.4453781512602</v>
      </c>
    </row>
    <row r="18" spans="1:8" x14ac:dyDescent="0.25">
      <c r="G18" t="s">
        <v>454</v>
      </c>
    </row>
    <row r="19" spans="1:8" ht="15.75" x14ac:dyDescent="0.25">
      <c r="A19" t="s">
        <v>6</v>
      </c>
      <c r="C19" s="8">
        <f>D16</f>
        <v>49250</v>
      </c>
      <c r="E19" t="s">
        <v>10</v>
      </c>
      <c r="H19" s="6">
        <f>C28</f>
        <v>41029.554621848743</v>
      </c>
    </row>
    <row r="21" spans="1:8" ht="15.75" x14ac:dyDescent="0.25">
      <c r="A21" t="s">
        <v>5</v>
      </c>
      <c r="B21" s="9" t="s">
        <v>7</v>
      </c>
      <c r="C21" s="8">
        <f>H16</f>
        <v>7863.4453781512602</v>
      </c>
      <c r="E21" s="13" t="s">
        <v>11</v>
      </c>
      <c r="F21" s="9" t="s">
        <v>12</v>
      </c>
      <c r="G21" s="15" t="s">
        <v>17</v>
      </c>
      <c r="H21" s="3">
        <f>-(F22*0.0077)</f>
        <v>-577.5</v>
      </c>
    </row>
    <row r="22" spans="1:8" x14ac:dyDescent="0.25">
      <c r="F22" s="21">
        <f>D3-H3</f>
        <v>75000</v>
      </c>
    </row>
    <row r="23" spans="1:8" ht="16.5" thickBot="1" x14ac:dyDescent="0.3">
      <c r="A23" t="s">
        <v>8</v>
      </c>
      <c r="B23" s="9" t="s">
        <v>7</v>
      </c>
      <c r="C23" s="8">
        <f>D3*0.004</f>
        <v>357</v>
      </c>
      <c r="F23" s="9" t="s">
        <v>13</v>
      </c>
      <c r="G23" s="16">
        <v>0.35</v>
      </c>
      <c r="H23" s="17">
        <f>-(F24*0.35)</f>
        <v>-14360.344117647059</v>
      </c>
    </row>
    <row r="24" spans="1:8" x14ac:dyDescent="0.25">
      <c r="F24" s="21">
        <f>H19</f>
        <v>41029.554621848743</v>
      </c>
    </row>
    <row r="25" spans="1:8" x14ac:dyDescent="0.25">
      <c r="A25" t="s">
        <v>9</v>
      </c>
      <c r="B25" s="9" t="s">
        <v>7</v>
      </c>
      <c r="G25" s="13" t="s">
        <v>14</v>
      </c>
      <c r="H25" s="6">
        <f>H19+H21+H23</f>
        <v>26091.710504201685</v>
      </c>
    </row>
    <row r="26" spans="1:8" ht="15.75" thickBot="1" x14ac:dyDescent="0.3">
      <c r="A26" s="16"/>
      <c r="B26" s="14"/>
      <c r="C26" s="7"/>
    </row>
    <row r="27" spans="1:8" x14ac:dyDescent="0.25">
      <c r="E27" t="s">
        <v>100</v>
      </c>
      <c r="H27" s="20">
        <f>H25*0.4</f>
        <v>10436.684201680675</v>
      </c>
    </row>
    <row r="28" spans="1:8" ht="15.75" x14ac:dyDescent="0.25">
      <c r="A28" t="s">
        <v>10</v>
      </c>
      <c r="C28" s="10">
        <f>C19-C21-C23-C25</f>
        <v>41029.554621848743</v>
      </c>
      <c r="H28" s="18"/>
    </row>
    <row r="29" spans="1:8" x14ac:dyDescent="0.25">
      <c r="H29" s="3"/>
    </row>
    <row r="30" spans="1:8" x14ac:dyDescent="0.25">
      <c r="H30" s="18"/>
    </row>
  </sheetData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45993-C489-4F68-8618-F70546BFFF7C}">
  <dimension ref="A1:H30"/>
  <sheetViews>
    <sheetView topLeftCell="A4" workbookViewId="0">
      <selection activeCell="C25" sqref="C25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635</v>
      </c>
    </row>
    <row r="3" spans="1:8" ht="21" x14ac:dyDescent="0.35">
      <c r="A3" s="2" t="s">
        <v>1</v>
      </c>
      <c r="D3" s="11">
        <v>942123</v>
      </c>
      <c r="F3" s="12" t="s">
        <v>3</v>
      </c>
      <c r="H3" s="11">
        <f>(D3/1.19)*0.19</f>
        <v>150423</v>
      </c>
    </row>
    <row r="4" spans="1:8" x14ac:dyDescent="0.25">
      <c r="A4" s="13" t="s">
        <v>29</v>
      </c>
      <c r="C4" s="28">
        <v>888</v>
      </c>
    </row>
    <row r="5" spans="1:8" ht="21" x14ac:dyDescent="0.35">
      <c r="A5" s="2" t="s">
        <v>2</v>
      </c>
      <c r="C5" t="s">
        <v>232</v>
      </c>
    </row>
    <row r="7" spans="1:8" ht="18.75" x14ac:dyDescent="0.3">
      <c r="A7" s="5"/>
      <c r="D7" s="4"/>
      <c r="H7" s="4"/>
    </row>
    <row r="8" spans="1:8" ht="18.75" x14ac:dyDescent="0.3">
      <c r="A8" s="5"/>
      <c r="D8" s="4"/>
      <c r="H8" s="4"/>
    </row>
    <row r="9" spans="1:8" ht="18.75" x14ac:dyDescent="0.3">
      <c r="A9" s="5" t="s">
        <v>167</v>
      </c>
      <c r="B9" s="5"/>
      <c r="C9" s="5"/>
      <c r="D9" s="4">
        <v>126100</v>
      </c>
      <c r="H9" s="4">
        <f t="shared" ref="H9:H10" si="0">(D9/1.19)*0.19</f>
        <v>20133.613445378152</v>
      </c>
    </row>
    <row r="10" spans="1:8" ht="18.75" x14ac:dyDescent="0.3">
      <c r="A10" s="5" t="s">
        <v>488</v>
      </c>
      <c r="B10" s="5"/>
      <c r="C10" s="5"/>
      <c r="D10" s="4">
        <v>605453</v>
      </c>
      <c r="H10" s="4">
        <f t="shared" si="0"/>
        <v>96668.966386554632</v>
      </c>
    </row>
    <row r="11" spans="1:8" ht="18.75" x14ac:dyDescent="0.3">
      <c r="A11" s="5"/>
      <c r="B11" s="5"/>
      <c r="C11" s="5"/>
      <c r="D11" s="4"/>
      <c r="H11" s="4"/>
    </row>
    <row r="12" spans="1:8" ht="18.75" x14ac:dyDescent="0.3">
      <c r="A12" s="5"/>
      <c r="B12" s="5"/>
      <c r="C12" s="5"/>
      <c r="D12" s="4"/>
      <c r="H12" s="4"/>
    </row>
    <row r="13" spans="1:8" ht="19.5" thickBot="1" x14ac:dyDescent="0.35">
      <c r="A13" s="5"/>
      <c r="B13" s="5"/>
      <c r="C13" s="5"/>
      <c r="D13" s="35"/>
      <c r="E13" s="27"/>
      <c r="H13" s="35"/>
    </row>
    <row r="14" spans="1:8" ht="19.5" thickTop="1" x14ac:dyDescent="0.3">
      <c r="D14" s="4">
        <f>SUM(D7:D13)</f>
        <v>731553</v>
      </c>
      <c r="H14" s="33">
        <f>SUM(H7:H13)</f>
        <v>116802.57983193279</v>
      </c>
    </row>
    <row r="16" spans="1:8" ht="18.75" x14ac:dyDescent="0.3">
      <c r="C16" t="s">
        <v>4</v>
      </c>
      <c r="D16" s="4">
        <f>D3-D14</f>
        <v>210570</v>
      </c>
      <c r="G16" t="s">
        <v>5</v>
      </c>
      <c r="H16" s="4">
        <f>H3-H14</f>
        <v>33620.420168067212</v>
      </c>
    </row>
    <row r="18" spans="1:8" x14ac:dyDescent="0.25">
      <c r="G18" t="s">
        <v>454</v>
      </c>
    </row>
    <row r="19" spans="1:8" ht="15.75" x14ac:dyDescent="0.25">
      <c r="A19" t="s">
        <v>6</v>
      </c>
      <c r="C19" s="8">
        <f>D16</f>
        <v>210570</v>
      </c>
      <c r="E19" t="s">
        <v>10</v>
      </c>
      <c r="H19" s="6">
        <f>C28</f>
        <v>173181.08783193279</v>
      </c>
    </row>
    <row r="21" spans="1:8" ht="15.75" x14ac:dyDescent="0.25">
      <c r="A21" t="s">
        <v>5</v>
      </c>
      <c r="B21" s="9" t="s">
        <v>7</v>
      </c>
      <c r="C21" s="8">
        <f>H16</f>
        <v>33620.420168067212</v>
      </c>
      <c r="E21" s="13" t="s">
        <v>11</v>
      </c>
      <c r="F21" s="9" t="s">
        <v>12</v>
      </c>
      <c r="G21" s="15" t="s">
        <v>17</v>
      </c>
      <c r="H21" s="3">
        <f>-(F22*0.0077)</f>
        <v>-6096.09</v>
      </c>
    </row>
    <row r="22" spans="1:8" x14ac:dyDescent="0.25">
      <c r="F22" s="21">
        <f>D3-H3</f>
        <v>791700</v>
      </c>
    </row>
    <row r="23" spans="1:8" ht="16.5" thickBot="1" x14ac:dyDescent="0.3">
      <c r="A23" t="s">
        <v>8</v>
      </c>
      <c r="B23" s="9" t="s">
        <v>7</v>
      </c>
      <c r="C23" s="8">
        <f>D3*0.004</f>
        <v>3768.4920000000002</v>
      </c>
      <c r="F23" s="9" t="s">
        <v>13</v>
      </c>
      <c r="G23" s="16">
        <v>0.35</v>
      </c>
      <c r="H23" s="17">
        <f>-(F24*0.35)</f>
        <v>-60613.380741176472</v>
      </c>
    </row>
    <row r="24" spans="1:8" x14ac:dyDescent="0.25">
      <c r="F24" s="21">
        <f>H19</f>
        <v>173181.08783193279</v>
      </c>
    </row>
    <row r="25" spans="1:8" x14ac:dyDescent="0.25">
      <c r="A25" t="s">
        <v>9</v>
      </c>
      <c r="B25" s="9" t="s">
        <v>7</v>
      </c>
      <c r="G25" s="13" t="s">
        <v>14</v>
      </c>
      <c r="H25" s="6">
        <f>H19+H21+H23</f>
        <v>106471.61709075632</v>
      </c>
    </row>
    <row r="26" spans="1:8" ht="15.75" thickBot="1" x14ac:dyDescent="0.3">
      <c r="A26" s="16"/>
      <c r="B26" s="14"/>
      <c r="C26" s="7"/>
    </row>
    <row r="27" spans="1:8" x14ac:dyDescent="0.25">
      <c r="E27" t="s">
        <v>100</v>
      </c>
      <c r="H27" s="20">
        <f>H25*0.4</f>
        <v>42588.646836302534</v>
      </c>
    </row>
    <row r="28" spans="1:8" ht="15.75" x14ac:dyDescent="0.25">
      <c r="A28" t="s">
        <v>10</v>
      </c>
      <c r="C28" s="10">
        <f>C19-C21-C23-C25</f>
        <v>173181.08783193279</v>
      </c>
      <c r="H28" s="18"/>
    </row>
    <row r="29" spans="1:8" x14ac:dyDescent="0.25">
      <c r="H29" s="3"/>
    </row>
    <row r="30" spans="1:8" x14ac:dyDescent="0.25">
      <c r="H30" s="18"/>
    </row>
  </sheetData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0DFB0-F42F-4F9E-B0D2-DDB88F9A6050}">
  <dimension ref="A1:H30"/>
  <sheetViews>
    <sheetView topLeftCell="A7" workbookViewId="0">
      <selection activeCell="C25" sqref="C25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636</v>
      </c>
    </row>
    <row r="3" spans="1:8" ht="21" x14ac:dyDescent="0.35">
      <c r="A3" s="2" t="s">
        <v>1</v>
      </c>
      <c r="D3" s="11">
        <v>102816</v>
      </c>
      <c r="F3" s="12" t="s">
        <v>3</v>
      </c>
      <c r="H3" s="11">
        <f>(D3/1.19)*0.19</f>
        <v>16416</v>
      </c>
    </row>
    <row r="4" spans="1:8" x14ac:dyDescent="0.25">
      <c r="A4" s="13" t="s">
        <v>29</v>
      </c>
      <c r="C4" s="28">
        <v>890</v>
      </c>
    </row>
    <row r="5" spans="1:8" ht="21" x14ac:dyDescent="0.35">
      <c r="A5" s="2" t="s">
        <v>2</v>
      </c>
      <c r="C5" t="s">
        <v>232</v>
      </c>
    </row>
    <row r="7" spans="1:8" ht="18.75" x14ac:dyDescent="0.3">
      <c r="A7" s="5"/>
      <c r="D7" s="4"/>
      <c r="H7" s="4"/>
    </row>
    <row r="8" spans="1:8" ht="18.75" x14ac:dyDescent="0.3">
      <c r="A8" s="5"/>
      <c r="D8" s="4"/>
      <c r="H8" s="4"/>
    </row>
    <row r="9" spans="1:8" ht="18.75" x14ac:dyDescent="0.3">
      <c r="A9" s="5" t="s">
        <v>623</v>
      </c>
      <c r="B9" s="5"/>
      <c r="C9" s="5"/>
      <c r="D9" s="4">
        <v>13566</v>
      </c>
      <c r="H9" s="4">
        <f t="shared" ref="H9:H10" si="0">(D9/1.19)*0.19</f>
        <v>2166</v>
      </c>
    </row>
    <row r="10" spans="1:8" ht="18.75" x14ac:dyDescent="0.3">
      <c r="A10" s="5" t="s">
        <v>637</v>
      </c>
      <c r="B10" s="5"/>
      <c r="C10" s="5"/>
      <c r="D10" s="4">
        <v>52308</v>
      </c>
      <c r="H10" s="4">
        <f t="shared" si="0"/>
        <v>8351.6974789915985</v>
      </c>
    </row>
    <row r="11" spans="1:8" ht="18.75" x14ac:dyDescent="0.3">
      <c r="A11" s="5"/>
      <c r="B11" s="5"/>
      <c r="C11" s="5"/>
      <c r="D11" s="4"/>
      <c r="H11" s="4"/>
    </row>
    <row r="12" spans="1:8" ht="18.75" x14ac:dyDescent="0.3">
      <c r="A12" s="5"/>
      <c r="B12" s="5"/>
      <c r="C12" s="5"/>
      <c r="D12" s="4"/>
      <c r="H12" s="4"/>
    </row>
    <row r="13" spans="1:8" ht="19.5" thickBot="1" x14ac:dyDescent="0.35">
      <c r="A13" s="5"/>
      <c r="B13" s="5"/>
      <c r="C13" s="5"/>
      <c r="D13" s="35"/>
      <c r="E13" s="27"/>
      <c r="H13" s="35"/>
    </row>
    <row r="14" spans="1:8" ht="19.5" thickTop="1" x14ac:dyDescent="0.3">
      <c r="D14" s="4">
        <f>SUM(D7:D13)</f>
        <v>65874</v>
      </c>
      <c r="H14" s="33">
        <f>SUM(H7:H13)</f>
        <v>10517.697478991598</v>
      </c>
    </row>
    <row r="16" spans="1:8" ht="18.75" x14ac:dyDescent="0.3">
      <c r="C16" t="s">
        <v>4</v>
      </c>
      <c r="D16" s="4">
        <f>D3-D14</f>
        <v>36942</v>
      </c>
      <c r="G16" t="s">
        <v>5</v>
      </c>
      <c r="H16" s="4">
        <f>H3-H14</f>
        <v>5898.3025210084015</v>
      </c>
    </row>
    <row r="18" spans="1:8" x14ac:dyDescent="0.25">
      <c r="G18" t="s">
        <v>454</v>
      </c>
    </row>
    <row r="19" spans="1:8" ht="15.75" x14ac:dyDescent="0.25">
      <c r="A19" t="s">
        <v>6</v>
      </c>
      <c r="C19" s="8">
        <f>D16</f>
        <v>36942</v>
      </c>
      <c r="E19" t="s">
        <v>10</v>
      </c>
      <c r="H19" s="6">
        <f>C28</f>
        <v>30632.433478991599</v>
      </c>
    </row>
    <row r="21" spans="1:8" ht="15.75" x14ac:dyDescent="0.25">
      <c r="A21" t="s">
        <v>5</v>
      </c>
      <c r="B21" s="9" t="s">
        <v>7</v>
      </c>
      <c r="C21" s="8">
        <f>H16</f>
        <v>5898.3025210084015</v>
      </c>
      <c r="E21" s="13" t="s">
        <v>11</v>
      </c>
      <c r="F21" s="9" t="s">
        <v>12</v>
      </c>
      <c r="G21" s="15" t="s">
        <v>17</v>
      </c>
      <c r="H21" s="3">
        <f>-(F22*0.0077)</f>
        <v>-665.28</v>
      </c>
    </row>
    <row r="22" spans="1:8" x14ac:dyDescent="0.25">
      <c r="F22" s="21">
        <f>D3-H3</f>
        <v>86400</v>
      </c>
    </row>
    <row r="23" spans="1:8" ht="16.5" thickBot="1" x14ac:dyDescent="0.3">
      <c r="A23" t="s">
        <v>8</v>
      </c>
      <c r="B23" s="9" t="s">
        <v>7</v>
      </c>
      <c r="C23" s="8">
        <f>D3*0.004</f>
        <v>411.26400000000001</v>
      </c>
      <c r="F23" s="9" t="s">
        <v>13</v>
      </c>
      <c r="G23" s="16">
        <v>0.35</v>
      </c>
      <c r="H23" s="17">
        <f>-(F24*0.35)</f>
        <v>-10721.35171764706</v>
      </c>
    </row>
    <row r="24" spans="1:8" x14ac:dyDescent="0.25">
      <c r="F24" s="21">
        <f>H19</f>
        <v>30632.433478991599</v>
      </c>
    </row>
    <row r="25" spans="1:8" x14ac:dyDescent="0.25">
      <c r="A25" t="s">
        <v>9</v>
      </c>
      <c r="B25" s="9" t="s">
        <v>7</v>
      </c>
      <c r="G25" s="13" t="s">
        <v>14</v>
      </c>
      <c r="H25" s="6">
        <f>H19+H21+H23</f>
        <v>19245.801761344541</v>
      </c>
    </row>
    <row r="26" spans="1:8" ht="15.75" thickBot="1" x14ac:dyDescent="0.3">
      <c r="A26" s="16"/>
      <c r="B26" s="14"/>
      <c r="C26" s="7"/>
    </row>
    <row r="27" spans="1:8" x14ac:dyDescent="0.25">
      <c r="E27" t="s">
        <v>100</v>
      </c>
      <c r="H27" s="20">
        <f>H25*0.4</f>
        <v>7698.3207045378167</v>
      </c>
    </row>
    <row r="28" spans="1:8" ht="15.75" x14ac:dyDescent="0.25">
      <c r="A28" t="s">
        <v>10</v>
      </c>
      <c r="C28" s="10">
        <f>C19-C21-C23-C25</f>
        <v>30632.433478991599</v>
      </c>
      <c r="H28" s="18"/>
    </row>
    <row r="29" spans="1:8" x14ac:dyDescent="0.25">
      <c r="H29" s="3"/>
    </row>
    <row r="30" spans="1:8" x14ac:dyDescent="0.25">
      <c r="H30" s="18"/>
    </row>
  </sheetData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F659E-2782-455A-9CF5-9B41D821D23C}">
  <dimension ref="A1:H30"/>
  <sheetViews>
    <sheetView topLeftCell="A4"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431</v>
      </c>
    </row>
    <row r="3" spans="1:8" ht="21" x14ac:dyDescent="0.35">
      <c r="A3" s="2" t="s">
        <v>1</v>
      </c>
      <c r="D3" s="11">
        <v>6881294</v>
      </c>
      <c r="F3" s="12" t="s">
        <v>3</v>
      </c>
      <c r="H3" s="11">
        <f>(D3/1.19)*0.19</f>
        <v>1098694</v>
      </c>
    </row>
    <row r="4" spans="1:8" x14ac:dyDescent="0.25">
      <c r="A4" s="13" t="s">
        <v>29</v>
      </c>
      <c r="C4" s="28">
        <v>892</v>
      </c>
    </row>
    <row r="5" spans="1:8" ht="21" x14ac:dyDescent="0.35">
      <c r="A5" s="2" t="s">
        <v>2</v>
      </c>
      <c r="C5" t="s">
        <v>232</v>
      </c>
    </row>
    <row r="7" spans="1:8" ht="18.75" x14ac:dyDescent="0.3">
      <c r="A7" s="5"/>
      <c r="D7" s="4"/>
      <c r="H7" s="4"/>
    </row>
    <row r="8" spans="1:8" ht="18.75" x14ac:dyDescent="0.3">
      <c r="A8" s="5"/>
      <c r="D8" s="4"/>
      <c r="H8" s="4"/>
    </row>
    <row r="9" spans="1:8" ht="18.75" x14ac:dyDescent="0.3">
      <c r="A9" s="5" t="s">
        <v>514</v>
      </c>
      <c r="B9" s="5"/>
      <c r="C9" s="5"/>
      <c r="D9" s="4">
        <v>5503655</v>
      </c>
      <c r="H9" s="4">
        <f t="shared" ref="H9" si="0">(D9/1.19)*0.19</f>
        <v>878734.83193277312</v>
      </c>
    </row>
    <row r="10" spans="1:8" ht="18.75" x14ac:dyDescent="0.3">
      <c r="A10" s="5"/>
      <c r="B10" s="5"/>
      <c r="C10" s="5"/>
      <c r="D10" s="4"/>
      <c r="H10" s="4"/>
    </row>
    <row r="11" spans="1:8" ht="18.75" x14ac:dyDescent="0.3">
      <c r="A11" s="5"/>
      <c r="B11" s="5"/>
      <c r="C11" s="5"/>
      <c r="D11" s="4"/>
      <c r="H11" s="4"/>
    </row>
    <row r="12" spans="1:8" ht="18.75" x14ac:dyDescent="0.3">
      <c r="A12" s="5"/>
      <c r="B12" s="5"/>
      <c r="C12" s="5"/>
      <c r="D12" s="4"/>
      <c r="H12" s="4"/>
    </row>
    <row r="13" spans="1:8" ht="19.5" thickBot="1" x14ac:dyDescent="0.35">
      <c r="A13" s="5"/>
      <c r="B13" s="5"/>
      <c r="C13" s="5"/>
      <c r="D13" s="35"/>
      <c r="E13" s="27"/>
      <c r="H13" s="35"/>
    </row>
    <row r="14" spans="1:8" ht="19.5" thickTop="1" x14ac:dyDescent="0.3">
      <c r="D14" s="4">
        <f>SUM(D7:D13)</f>
        <v>5503655</v>
      </c>
      <c r="H14" s="33">
        <f>SUM(H7:H13)</f>
        <v>878734.83193277312</v>
      </c>
    </row>
    <row r="16" spans="1:8" ht="18.75" x14ac:dyDescent="0.3">
      <c r="C16" t="s">
        <v>4</v>
      </c>
      <c r="D16" s="4">
        <f>D3-D14</f>
        <v>1377639</v>
      </c>
      <c r="G16" t="s">
        <v>5</v>
      </c>
      <c r="H16" s="4">
        <f>H3-H14</f>
        <v>219959.16806722688</v>
      </c>
    </row>
    <row r="18" spans="1:8" x14ac:dyDescent="0.25">
      <c r="G18" t="s">
        <v>454</v>
      </c>
    </row>
    <row r="19" spans="1:8" ht="15.75" x14ac:dyDescent="0.25">
      <c r="A19" t="s">
        <v>6</v>
      </c>
      <c r="C19" s="8">
        <f>D16</f>
        <v>1377639</v>
      </c>
      <c r="E19" t="s">
        <v>10</v>
      </c>
      <c r="H19" s="6">
        <f>C28</f>
        <v>1014502.6559327731</v>
      </c>
    </row>
    <row r="21" spans="1:8" ht="15.75" x14ac:dyDescent="0.25">
      <c r="A21" t="s">
        <v>5</v>
      </c>
      <c r="B21" s="9" t="s">
        <v>7</v>
      </c>
      <c r="C21" s="8">
        <f>H16</f>
        <v>219959.16806722688</v>
      </c>
      <c r="E21" s="13" t="s">
        <v>11</v>
      </c>
      <c r="F21" s="9" t="s">
        <v>12</v>
      </c>
      <c r="G21" s="15" t="s">
        <v>17</v>
      </c>
      <c r="H21" s="3">
        <f>-(F22*0.0077)</f>
        <v>-44526.020000000004</v>
      </c>
    </row>
    <row r="22" spans="1:8" x14ac:dyDescent="0.25">
      <c r="F22" s="21">
        <f>D3-H3</f>
        <v>5782600</v>
      </c>
    </row>
    <row r="23" spans="1:8" ht="16.5" thickBot="1" x14ac:dyDescent="0.3">
      <c r="A23" t="s">
        <v>8</v>
      </c>
      <c r="B23" s="9" t="s">
        <v>7</v>
      </c>
      <c r="C23" s="8">
        <f>D3*0.004</f>
        <v>27525.175999999999</v>
      </c>
      <c r="F23" s="9" t="s">
        <v>13</v>
      </c>
      <c r="G23" s="16">
        <v>0.35</v>
      </c>
      <c r="H23" s="17">
        <f>-(F24*0.35)</f>
        <v>-355075.92957647057</v>
      </c>
    </row>
    <row r="24" spans="1:8" x14ac:dyDescent="0.25">
      <c r="F24" s="21">
        <f>H19</f>
        <v>1014502.6559327731</v>
      </c>
    </row>
    <row r="25" spans="1:8" ht="15.75" x14ac:dyDescent="0.25">
      <c r="A25" t="s">
        <v>9</v>
      </c>
      <c r="B25" s="9" t="s">
        <v>7</v>
      </c>
      <c r="C25" s="10">
        <v>115652</v>
      </c>
      <c r="G25" s="13" t="s">
        <v>14</v>
      </c>
      <c r="H25" s="6">
        <f>H19+H21+H23</f>
        <v>614900.7063563026</v>
      </c>
    </row>
    <row r="26" spans="1:8" ht="15.75" thickBot="1" x14ac:dyDescent="0.3">
      <c r="A26" s="38" t="s">
        <v>638</v>
      </c>
      <c r="B26" s="14"/>
      <c r="C26" s="7"/>
    </row>
    <row r="27" spans="1:8" x14ac:dyDescent="0.25">
      <c r="E27" t="s">
        <v>100</v>
      </c>
      <c r="H27" s="20">
        <f>H25*0.4</f>
        <v>245960.28254252105</v>
      </c>
    </row>
    <row r="28" spans="1:8" ht="15.75" x14ac:dyDescent="0.25">
      <c r="A28" t="s">
        <v>10</v>
      </c>
      <c r="C28" s="10">
        <f>C19-C21-C23-C25</f>
        <v>1014502.6559327731</v>
      </c>
      <c r="H28" s="18"/>
    </row>
    <row r="29" spans="1:8" x14ac:dyDescent="0.25">
      <c r="H29" s="3"/>
    </row>
    <row r="30" spans="1:8" x14ac:dyDescent="0.25">
      <c r="H30" s="18"/>
    </row>
  </sheetData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222FA-64C2-4761-8DEB-9CFAD48FA921}">
  <dimension ref="A1:H30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639</v>
      </c>
    </row>
    <row r="3" spans="1:8" ht="21" x14ac:dyDescent="0.35">
      <c r="A3" s="2" t="s">
        <v>1</v>
      </c>
      <c r="D3" s="11">
        <v>481950</v>
      </c>
      <c r="F3" s="12" t="s">
        <v>3</v>
      </c>
      <c r="H3" s="11">
        <f>(D3/1.19)*0.19</f>
        <v>76950</v>
      </c>
    </row>
    <row r="4" spans="1:8" x14ac:dyDescent="0.25">
      <c r="A4" s="13" t="s">
        <v>29</v>
      </c>
      <c r="C4" s="28">
        <v>894</v>
      </c>
    </row>
    <row r="5" spans="1:8" ht="21" x14ac:dyDescent="0.35">
      <c r="A5" s="2" t="s">
        <v>2</v>
      </c>
      <c r="C5" t="s">
        <v>232</v>
      </c>
    </row>
    <row r="7" spans="1:8" ht="18.75" x14ac:dyDescent="0.3">
      <c r="A7" s="5"/>
      <c r="D7" s="4"/>
      <c r="H7" s="4"/>
    </row>
    <row r="8" spans="1:8" ht="18.75" x14ac:dyDescent="0.3">
      <c r="A8" s="5"/>
      <c r="D8" s="4"/>
      <c r="H8" s="4"/>
    </row>
    <row r="9" spans="1:8" ht="18.75" x14ac:dyDescent="0.3">
      <c r="A9" s="5" t="s">
        <v>560</v>
      </c>
      <c r="B9" s="5"/>
      <c r="C9" s="5"/>
      <c r="D9" s="4">
        <v>269892</v>
      </c>
      <c r="H9" s="4">
        <f t="shared" ref="H9" si="0">(D9/1.19)*0.19</f>
        <v>43092</v>
      </c>
    </row>
    <row r="10" spans="1:8" ht="18.75" x14ac:dyDescent="0.3">
      <c r="A10" s="5"/>
      <c r="B10" s="5"/>
      <c r="C10" s="5"/>
      <c r="D10" s="4"/>
      <c r="H10" s="4"/>
    </row>
    <row r="11" spans="1:8" ht="18.75" x14ac:dyDescent="0.3">
      <c r="A11" s="5"/>
      <c r="B11" s="5"/>
      <c r="C11" s="5"/>
      <c r="D11" s="4"/>
      <c r="H11" s="4"/>
    </row>
    <row r="12" spans="1:8" ht="18.75" x14ac:dyDescent="0.3">
      <c r="A12" s="5"/>
      <c r="B12" s="5"/>
      <c r="C12" s="5"/>
      <c r="D12" s="4"/>
      <c r="H12" s="4"/>
    </row>
    <row r="13" spans="1:8" ht="19.5" thickBot="1" x14ac:dyDescent="0.35">
      <c r="A13" s="5"/>
      <c r="B13" s="5"/>
      <c r="C13" s="5"/>
      <c r="D13" s="35"/>
      <c r="E13" s="27"/>
      <c r="H13" s="35"/>
    </row>
    <row r="14" spans="1:8" ht="19.5" thickTop="1" x14ac:dyDescent="0.3">
      <c r="D14" s="4">
        <f>SUM(D7:D13)</f>
        <v>269892</v>
      </c>
      <c r="H14" s="33">
        <f>SUM(H7:H13)</f>
        <v>43092</v>
      </c>
    </row>
    <row r="16" spans="1:8" ht="18.75" x14ac:dyDescent="0.3">
      <c r="C16" t="s">
        <v>4</v>
      </c>
      <c r="D16" s="4">
        <f>D3-D14</f>
        <v>212058</v>
      </c>
      <c r="G16" t="s">
        <v>5</v>
      </c>
      <c r="H16" s="4">
        <f>H3-H14</f>
        <v>33858</v>
      </c>
    </row>
    <row r="18" spans="1:8" x14ac:dyDescent="0.25">
      <c r="G18" t="s">
        <v>454</v>
      </c>
    </row>
    <row r="19" spans="1:8" ht="15.75" x14ac:dyDescent="0.25">
      <c r="A19" t="s">
        <v>6</v>
      </c>
      <c r="C19" s="8">
        <f>D16</f>
        <v>212058</v>
      </c>
      <c r="E19" t="s">
        <v>10</v>
      </c>
      <c r="H19" s="6">
        <f>C28</f>
        <v>176272.2</v>
      </c>
    </row>
    <row r="21" spans="1:8" ht="15.75" x14ac:dyDescent="0.25">
      <c r="A21" t="s">
        <v>5</v>
      </c>
      <c r="B21" s="9" t="s">
        <v>7</v>
      </c>
      <c r="C21" s="8">
        <f>H16</f>
        <v>33858</v>
      </c>
      <c r="E21" s="13" t="s">
        <v>11</v>
      </c>
      <c r="F21" s="9" t="s">
        <v>12</v>
      </c>
      <c r="G21" s="15" t="s">
        <v>17</v>
      </c>
      <c r="H21" s="3">
        <f>-(F22*0.0077)</f>
        <v>-3118.5</v>
      </c>
    </row>
    <row r="22" spans="1:8" x14ac:dyDescent="0.25">
      <c r="F22" s="21">
        <f>D3-H3</f>
        <v>405000</v>
      </c>
    </row>
    <row r="23" spans="1:8" ht="16.5" thickBot="1" x14ac:dyDescent="0.3">
      <c r="A23" t="s">
        <v>8</v>
      </c>
      <c r="B23" s="9" t="s">
        <v>7</v>
      </c>
      <c r="C23" s="8">
        <f>D3*0.004</f>
        <v>1927.8</v>
      </c>
      <c r="F23" s="9" t="s">
        <v>13</v>
      </c>
      <c r="G23" s="16">
        <v>0.35</v>
      </c>
      <c r="H23" s="17">
        <f>-(F24*0.35)</f>
        <v>-61695.27</v>
      </c>
    </row>
    <row r="24" spans="1:8" x14ac:dyDescent="0.25">
      <c r="F24" s="21">
        <f>H19</f>
        <v>176272.2</v>
      </c>
    </row>
    <row r="25" spans="1:8" x14ac:dyDescent="0.25">
      <c r="A25" t="s">
        <v>9</v>
      </c>
      <c r="B25" s="9" t="s">
        <v>7</v>
      </c>
      <c r="G25" s="13" t="s">
        <v>14</v>
      </c>
      <c r="H25" s="6">
        <f>H19+H21+H23</f>
        <v>111458.43000000002</v>
      </c>
    </row>
    <row r="26" spans="1:8" ht="15.75" thickBot="1" x14ac:dyDescent="0.3">
      <c r="A26" s="38" t="s">
        <v>638</v>
      </c>
      <c r="B26" s="14"/>
      <c r="C26" s="7"/>
    </row>
    <row r="27" spans="1:8" x14ac:dyDescent="0.25">
      <c r="E27" t="s">
        <v>100</v>
      </c>
      <c r="H27" s="20">
        <f>H25*0.4</f>
        <v>44583.37200000001</v>
      </c>
    </row>
    <row r="28" spans="1:8" ht="15.75" x14ac:dyDescent="0.25">
      <c r="A28" t="s">
        <v>10</v>
      </c>
      <c r="C28" s="10">
        <f>C19-C21-C23-C25</f>
        <v>176272.2</v>
      </c>
      <c r="H28" s="18"/>
    </row>
    <row r="29" spans="1:8" x14ac:dyDescent="0.25">
      <c r="H29" s="3"/>
    </row>
    <row r="30" spans="1:8" x14ac:dyDescent="0.25">
      <c r="H30" s="18"/>
    </row>
  </sheetData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FAC8A-05BF-4E04-BB54-ED497DB4CC0E}">
  <dimension ref="A1:H30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640</v>
      </c>
    </row>
    <row r="3" spans="1:8" ht="21" x14ac:dyDescent="0.35">
      <c r="A3" s="2" t="s">
        <v>1</v>
      </c>
      <c r="D3" s="11">
        <v>302000</v>
      </c>
      <c r="F3" s="12" t="s">
        <v>3</v>
      </c>
      <c r="H3" s="11">
        <f>(D3/1.19)*0.19</f>
        <v>48218.487394957985</v>
      </c>
    </row>
    <row r="4" spans="1:8" x14ac:dyDescent="0.25">
      <c r="A4" s="13" t="s">
        <v>29</v>
      </c>
      <c r="C4" s="28">
        <v>902</v>
      </c>
    </row>
    <row r="5" spans="1:8" ht="21" x14ac:dyDescent="0.35">
      <c r="A5" s="2" t="s">
        <v>2</v>
      </c>
      <c r="C5" t="s">
        <v>232</v>
      </c>
    </row>
    <row r="7" spans="1:8" ht="18.75" x14ac:dyDescent="0.3">
      <c r="A7" s="5"/>
      <c r="D7" s="4"/>
      <c r="H7" s="4"/>
    </row>
    <row r="8" spans="1:8" ht="18.75" x14ac:dyDescent="0.3">
      <c r="A8" s="5"/>
      <c r="D8" s="4"/>
      <c r="H8" s="4"/>
    </row>
    <row r="9" spans="1:8" ht="18.75" x14ac:dyDescent="0.3">
      <c r="A9" s="5" t="s">
        <v>641</v>
      </c>
      <c r="B9" s="5"/>
      <c r="C9" s="5"/>
      <c r="D9" s="4">
        <v>248472</v>
      </c>
      <c r="H9" s="4">
        <f t="shared" ref="H9" si="0">(D9/1.19)*0.19</f>
        <v>39672</v>
      </c>
    </row>
    <row r="10" spans="1:8" ht="18.75" x14ac:dyDescent="0.3">
      <c r="A10" s="5"/>
      <c r="B10" s="5"/>
      <c r="C10" s="5"/>
      <c r="D10" s="4"/>
      <c r="H10" s="4"/>
    </row>
    <row r="11" spans="1:8" ht="18.75" x14ac:dyDescent="0.3">
      <c r="A11" s="5"/>
      <c r="B11" s="5"/>
      <c r="C11" s="5"/>
      <c r="D11" s="4"/>
      <c r="H11" s="4"/>
    </row>
    <row r="12" spans="1:8" ht="18.75" x14ac:dyDescent="0.3">
      <c r="A12" s="5"/>
      <c r="B12" s="5"/>
      <c r="C12" s="5"/>
      <c r="D12" s="4"/>
      <c r="H12" s="4"/>
    </row>
    <row r="13" spans="1:8" ht="19.5" thickBot="1" x14ac:dyDescent="0.35">
      <c r="A13" s="5"/>
      <c r="B13" s="5"/>
      <c r="C13" s="5"/>
      <c r="D13" s="35"/>
      <c r="E13" s="27"/>
      <c r="H13" s="35"/>
    </row>
    <row r="14" spans="1:8" ht="19.5" thickTop="1" x14ac:dyDescent="0.3">
      <c r="D14" s="4">
        <f>SUM(D7:D13)</f>
        <v>248472</v>
      </c>
      <c r="H14" s="33">
        <f>SUM(H7:H13)</f>
        <v>39672</v>
      </c>
    </row>
    <row r="16" spans="1:8" ht="18.75" x14ac:dyDescent="0.3">
      <c r="C16" t="s">
        <v>4</v>
      </c>
      <c r="D16" s="4">
        <f>D3-D14</f>
        <v>53528</v>
      </c>
      <c r="G16" t="s">
        <v>5</v>
      </c>
      <c r="H16" s="4">
        <f>H3-H14</f>
        <v>8546.4873949579851</v>
      </c>
    </row>
    <row r="18" spans="1:8" x14ac:dyDescent="0.25">
      <c r="G18" t="s">
        <v>454</v>
      </c>
    </row>
    <row r="19" spans="1:8" ht="15.75" x14ac:dyDescent="0.25">
      <c r="A19" t="s">
        <v>6</v>
      </c>
      <c r="C19" s="8">
        <f>D16</f>
        <v>53528</v>
      </c>
      <c r="E19" t="s">
        <v>10</v>
      </c>
      <c r="H19" s="6">
        <f>C28</f>
        <v>43773.512605042015</v>
      </c>
    </row>
    <row r="21" spans="1:8" ht="15.75" x14ac:dyDescent="0.25">
      <c r="A21" t="s">
        <v>5</v>
      </c>
      <c r="B21" s="9" t="s">
        <v>7</v>
      </c>
      <c r="C21" s="8">
        <f>H16</f>
        <v>8546.4873949579851</v>
      </c>
      <c r="E21" s="13" t="s">
        <v>11</v>
      </c>
      <c r="F21" s="9" t="s">
        <v>12</v>
      </c>
      <c r="G21" s="15" t="s">
        <v>17</v>
      </c>
      <c r="H21" s="3">
        <f>-(F22*0.0077)</f>
        <v>-1954.1176470588236</v>
      </c>
    </row>
    <row r="22" spans="1:8" x14ac:dyDescent="0.25">
      <c r="F22" s="21">
        <f>D3-H3</f>
        <v>253781.51260504202</v>
      </c>
    </row>
    <row r="23" spans="1:8" ht="16.5" thickBot="1" x14ac:dyDescent="0.3">
      <c r="A23" t="s">
        <v>8</v>
      </c>
      <c r="B23" s="9" t="s">
        <v>7</v>
      </c>
      <c r="C23" s="8">
        <f>D3*0.004</f>
        <v>1208</v>
      </c>
      <c r="F23" s="9" t="s">
        <v>13</v>
      </c>
      <c r="G23" s="16">
        <v>0.35</v>
      </c>
      <c r="H23" s="17">
        <f>-(F24*0.35)</f>
        <v>-15320.729411764703</v>
      </c>
    </row>
    <row r="24" spans="1:8" x14ac:dyDescent="0.25">
      <c r="F24" s="21">
        <f>H19</f>
        <v>43773.512605042015</v>
      </c>
    </row>
    <row r="25" spans="1:8" x14ac:dyDescent="0.25">
      <c r="A25" t="s">
        <v>9</v>
      </c>
      <c r="B25" s="9" t="s">
        <v>7</v>
      </c>
      <c r="G25" s="13" t="s">
        <v>14</v>
      </c>
      <c r="H25" s="6">
        <f>H19+H21+H23</f>
        <v>26498.665546218486</v>
      </c>
    </row>
    <row r="26" spans="1:8" ht="15.75" thickBot="1" x14ac:dyDescent="0.3">
      <c r="A26" s="38" t="s">
        <v>638</v>
      </c>
      <c r="B26" s="14"/>
      <c r="C26" s="7"/>
    </row>
    <row r="27" spans="1:8" x14ac:dyDescent="0.25">
      <c r="E27" t="s">
        <v>100</v>
      </c>
      <c r="H27" s="20">
        <f>H25*0.4</f>
        <v>10599.466218487396</v>
      </c>
    </row>
    <row r="28" spans="1:8" ht="15.75" x14ac:dyDescent="0.25">
      <c r="A28" t="s">
        <v>10</v>
      </c>
      <c r="C28" s="10">
        <f>C19-C21-C23-C25</f>
        <v>43773.512605042015</v>
      </c>
      <c r="H28" s="18"/>
    </row>
    <row r="29" spans="1:8" x14ac:dyDescent="0.25">
      <c r="H29" s="3"/>
    </row>
    <row r="30" spans="1:8" x14ac:dyDescent="0.25">
      <c r="H30" s="18"/>
    </row>
  </sheetData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3B6CF-1060-40EC-AE1E-0C2283466E0C}">
  <dimension ref="A1:H30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431</v>
      </c>
    </row>
    <row r="3" spans="1:8" ht="21" x14ac:dyDescent="0.35">
      <c r="A3" s="2" t="s">
        <v>1</v>
      </c>
      <c r="D3" s="11">
        <v>38080</v>
      </c>
      <c r="F3" s="12" t="s">
        <v>3</v>
      </c>
      <c r="H3" s="11">
        <f>(D3/1.19)*0.19</f>
        <v>6080</v>
      </c>
    </row>
    <row r="4" spans="1:8" x14ac:dyDescent="0.25">
      <c r="A4" s="13" t="s">
        <v>29</v>
      </c>
      <c r="C4" s="28">
        <v>903</v>
      </c>
    </row>
    <row r="5" spans="1:8" ht="21" x14ac:dyDescent="0.35">
      <c r="A5" s="2" t="s">
        <v>2</v>
      </c>
      <c r="C5" t="s">
        <v>232</v>
      </c>
    </row>
    <row r="7" spans="1:8" ht="18.75" x14ac:dyDescent="0.3">
      <c r="A7" s="5"/>
      <c r="D7" s="4"/>
      <c r="H7" s="4"/>
    </row>
    <row r="8" spans="1:8" ht="18.75" x14ac:dyDescent="0.3">
      <c r="A8" s="5"/>
      <c r="D8" s="4"/>
      <c r="H8" s="4"/>
    </row>
    <row r="9" spans="1:8" ht="18.75" x14ac:dyDescent="0.3">
      <c r="A9" s="5" t="s">
        <v>167</v>
      </c>
      <c r="B9" s="5"/>
      <c r="C9" s="5"/>
      <c r="D9" s="4">
        <v>24750</v>
      </c>
      <c r="H9" s="4">
        <f t="shared" ref="H9" si="0">(D9/1.19)*0.19</f>
        <v>3951.6806722689075</v>
      </c>
    </row>
    <row r="10" spans="1:8" ht="18.75" x14ac:dyDescent="0.3">
      <c r="A10" s="5"/>
      <c r="B10" s="5"/>
      <c r="C10" s="5"/>
      <c r="D10" s="4"/>
      <c r="H10" s="4"/>
    </row>
    <row r="11" spans="1:8" ht="18.75" x14ac:dyDescent="0.3">
      <c r="A11" s="5"/>
      <c r="B11" s="5"/>
      <c r="C11" s="5"/>
      <c r="D11" s="4"/>
      <c r="H11" s="4"/>
    </row>
    <row r="12" spans="1:8" ht="18.75" x14ac:dyDescent="0.3">
      <c r="A12" s="5"/>
      <c r="B12" s="5"/>
      <c r="C12" s="5"/>
      <c r="D12" s="4"/>
      <c r="H12" s="4"/>
    </row>
    <row r="13" spans="1:8" ht="19.5" thickBot="1" x14ac:dyDescent="0.35">
      <c r="A13" s="5"/>
      <c r="B13" s="5"/>
      <c r="C13" s="5"/>
      <c r="D13" s="35"/>
      <c r="E13" s="27"/>
      <c r="H13" s="35"/>
    </row>
    <row r="14" spans="1:8" ht="19.5" thickTop="1" x14ac:dyDescent="0.3">
      <c r="D14" s="4">
        <f>SUM(D7:D13)</f>
        <v>24750</v>
      </c>
      <c r="H14" s="33">
        <f>SUM(H7:H13)</f>
        <v>3951.6806722689075</v>
      </c>
    </row>
    <row r="16" spans="1:8" ht="18.75" x14ac:dyDescent="0.3">
      <c r="C16" t="s">
        <v>4</v>
      </c>
      <c r="D16" s="4">
        <f>D3-D14</f>
        <v>13330</v>
      </c>
      <c r="G16" t="s">
        <v>5</v>
      </c>
      <c r="H16" s="4">
        <f>H3-H14</f>
        <v>2128.3193277310925</v>
      </c>
    </row>
    <row r="18" spans="1:8" x14ac:dyDescent="0.25">
      <c r="G18" t="s">
        <v>454</v>
      </c>
    </row>
    <row r="19" spans="1:8" ht="15.75" x14ac:dyDescent="0.25">
      <c r="A19" t="s">
        <v>6</v>
      </c>
      <c r="C19" s="8">
        <f>D16</f>
        <v>13330</v>
      </c>
      <c r="E19" t="s">
        <v>10</v>
      </c>
      <c r="H19" s="6">
        <f>C28</f>
        <v>11049.360672268907</v>
      </c>
    </row>
    <row r="21" spans="1:8" ht="15.75" x14ac:dyDescent="0.25">
      <c r="A21" t="s">
        <v>5</v>
      </c>
      <c r="B21" s="9" t="s">
        <v>7</v>
      </c>
      <c r="C21" s="8">
        <f>H16</f>
        <v>2128.3193277310925</v>
      </c>
      <c r="E21" s="13" t="s">
        <v>11</v>
      </c>
      <c r="F21" s="9" t="s">
        <v>12</v>
      </c>
      <c r="G21" s="15" t="s">
        <v>17</v>
      </c>
      <c r="H21" s="3">
        <f>-(F22*0.0077)</f>
        <v>-246.4</v>
      </c>
    </row>
    <row r="22" spans="1:8" x14ac:dyDescent="0.25">
      <c r="F22" s="21">
        <f>D3-H3</f>
        <v>32000</v>
      </c>
    </row>
    <row r="23" spans="1:8" ht="16.5" thickBot="1" x14ac:dyDescent="0.3">
      <c r="A23" t="s">
        <v>8</v>
      </c>
      <c r="B23" s="9" t="s">
        <v>7</v>
      </c>
      <c r="C23" s="8">
        <f>D3*0.004</f>
        <v>152.32</v>
      </c>
      <c r="F23" s="9" t="s">
        <v>13</v>
      </c>
      <c r="G23" s="16">
        <v>0.35</v>
      </c>
      <c r="H23" s="17">
        <f>-(F24*0.35)</f>
        <v>-3867.2762352941172</v>
      </c>
    </row>
    <row r="24" spans="1:8" x14ac:dyDescent="0.25">
      <c r="F24" s="21">
        <f>H19</f>
        <v>11049.360672268907</v>
      </c>
    </row>
    <row r="25" spans="1:8" x14ac:dyDescent="0.25">
      <c r="A25" t="s">
        <v>9</v>
      </c>
      <c r="B25" s="9" t="s">
        <v>7</v>
      </c>
      <c r="G25" s="13" t="s">
        <v>14</v>
      </c>
      <c r="H25" s="6">
        <f>H19+H21+H23</f>
        <v>6935.6844369747905</v>
      </c>
    </row>
    <row r="26" spans="1:8" ht="15.75" thickBot="1" x14ac:dyDescent="0.3">
      <c r="A26" s="38" t="s">
        <v>638</v>
      </c>
      <c r="B26" s="14"/>
      <c r="C26" s="7"/>
    </row>
    <row r="27" spans="1:8" x14ac:dyDescent="0.25">
      <c r="E27" t="s">
        <v>100</v>
      </c>
      <c r="H27" s="20">
        <f>H25*0.4</f>
        <v>2774.2737747899164</v>
      </c>
    </row>
    <row r="28" spans="1:8" ht="15.75" x14ac:dyDescent="0.25">
      <c r="A28" t="s">
        <v>10</v>
      </c>
      <c r="C28" s="10">
        <f>C19-C21-C23-C25</f>
        <v>11049.360672268907</v>
      </c>
      <c r="H28" s="18"/>
    </row>
    <row r="29" spans="1:8" x14ac:dyDescent="0.25">
      <c r="H29" s="3"/>
    </row>
    <row r="30" spans="1:8" x14ac:dyDescent="0.25">
      <c r="H30" s="18"/>
    </row>
  </sheetData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2A792-FF59-4775-B8F3-FE09D34DF1BF}">
  <dimension ref="A1:H30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448</v>
      </c>
    </row>
    <row r="3" spans="1:8" ht="21" x14ac:dyDescent="0.35">
      <c r="A3" s="2" t="s">
        <v>1</v>
      </c>
      <c r="D3" s="11">
        <v>1884960</v>
      </c>
      <c r="F3" s="12" t="s">
        <v>3</v>
      </c>
      <c r="H3" s="11">
        <f>(D3/1.19)*0.19</f>
        <v>300960</v>
      </c>
    </row>
    <row r="4" spans="1:8" x14ac:dyDescent="0.25">
      <c r="A4" s="13" t="s">
        <v>29</v>
      </c>
      <c r="C4" s="28">
        <v>905</v>
      </c>
    </row>
    <row r="5" spans="1:8" ht="21" x14ac:dyDescent="0.35">
      <c r="A5" s="2" t="s">
        <v>2</v>
      </c>
      <c r="C5" t="s">
        <v>232</v>
      </c>
    </row>
    <row r="7" spans="1:8" ht="18.75" x14ac:dyDescent="0.3">
      <c r="A7" s="5"/>
      <c r="D7" s="4"/>
      <c r="H7" s="4"/>
    </row>
    <row r="8" spans="1:8" ht="18.75" x14ac:dyDescent="0.3">
      <c r="A8" s="5"/>
      <c r="D8" s="4"/>
      <c r="H8" s="4"/>
    </row>
    <row r="9" spans="1:8" ht="18.75" x14ac:dyDescent="0.3">
      <c r="A9" s="5" t="s">
        <v>606</v>
      </c>
      <c r="B9" s="5"/>
      <c r="C9" s="5"/>
      <c r="D9" s="4">
        <v>884313</v>
      </c>
      <c r="H9" s="4">
        <f t="shared" ref="H9" si="0">(D9/1.19)*0.19</f>
        <v>141192.83193277312</v>
      </c>
    </row>
    <row r="10" spans="1:8" ht="18.75" x14ac:dyDescent="0.3">
      <c r="A10" s="5" t="s">
        <v>642</v>
      </c>
      <c r="B10" s="5"/>
      <c r="C10" s="5"/>
      <c r="D10" s="4">
        <v>70000</v>
      </c>
      <c r="H10" s="4"/>
    </row>
    <row r="11" spans="1:8" ht="18.75" x14ac:dyDescent="0.3">
      <c r="A11" s="5"/>
      <c r="B11" s="5"/>
      <c r="C11" s="5"/>
      <c r="D11" s="4"/>
      <c r="H11" s="4"/>
    </row>
    <row r="12" spans="1:8" ht="18.75" x14ac:dyDescent="0.3">
      <c r="A12" s="5"/>
      <c r="B12" s="5"/>
      <c r="C12" s="5"/>
      <c r="D12" s="4"/>
      <c r="H12" s="4"/>
    </row>
    <row r="13" spans="1:8" ht="19.5" thickBot="1" x14ac:dyDescent="0.35">
      <c r="A13" s="5"/>
      <c r="B13" s="5"/>
      <c r="C13" s="5"/>
      <c r="D13" s="35"/>
      <c r="E13" s="27"/>
      <c r="H13" s="35"/>
    </row>
    <row r="14" spans="1:8" ht="19.5" thickTop="1" x14ac:dyDescent="0.3">
      <c r="D14" s="4">
        <f>SUM(D7:D13)</f>
        <v>954313</v>
      </c>
      <c r="H14" s="33">
        <f>SUM(H7:H13)</f>
        <v>141192.83193277312</v>
      </c>
    </row>
    <row r="16" spans="1:8" ht="18.75" x14ac:dyDescent="0.3">
      <c r="C16" t="s">
        <v>4</v>
      </c>
      <c r="D16" s="4">
        <f>D3-D14</f>
        <v>930647</v>
      </c>
      <c r="G16" t="s">
        <v>5</v>
      </c>
      <c r="H16" s="4">
        <f>H3-H14</f>
        <v>159767.16806722688</v>
      </c>
    </row>
    <row r="18" spans="1:8" x14ac:dyDescent="0.25">
      <c r="G18" t="s">
        <v>454</v>
      </c>
    </row>
    <row r="19" spans="1:8" ht="15.75" x14ac:dyDescent="0.25">
      <c r="A19" t="s">
        <v>6</v>
      </c>
      <c r="C19" s="8">
        <f>D16</f>
        <v>930647</v>
      </c>
      <c r="E19" t="s">
        <v>10</v>
      </c>
      <c r="H19" s="6">
        <f>C28</f>
        <v>763339.99193277315</v>
      </c>
    </row>
    <row r="21" spans="1:8" ht="15.75" x14ac:dyDescent="0.25">
      <c r="A21" t="s">
        <v>5</v>
      </c>
      <c r="B21" s="9" t="s">
        <v>7</v>
      </c>
      <c r="C21" s="8">
        <f>H16</f>
        <v>159767.16806722688</v>
      </c>
      <c r="E21" s="13" t="s">
        <v>11</v>
      </c>
      <c r="F21" s="9" t="s">
        <v>12</v>
      </c>
      <c r="G21" s="15" t="s">
        <v>17</v>
      </c>
      <c r="H21" s="3">
        <f>-(F22*0.0077)</f>
        <v>-12196.800000000001</v>
      </c>
    </row>
    <row r="22" spans="1:8" x14ac:dyDescent="0.25">
      <c r="F22" s="21">
        <f>D3-H3</f>
        <v>1584000</v>
      </c>
    </row>
    <row r="23" spans="1:8" ht="16.5" thickBot="1" x14ac:dyDescent="0.3">
      <c r="A23" t="s">
        <v>8</v>
      </c>
      <c r="B23" s="9" t="s">
        <v>7</v>
      </c>
      <c r="C23" s="8">
        <f>D3*0.004</f>
        <v>7539.84</v>
      </c>
      <c r="F23" s="9" t="s">
        <v>13</v>
      </c>
      <c r="G23" s="16">
        <v>0.35</v>
      </c>
      <c r="H23" s="17">
        <f>-(F24*0.35)</f>
        <v>-267168.99717647058</v>
      </c>
    </row>
    <row r="24" spans="1:8" x14ac:dyDescent="0.25">
      <c r="F24" s="21">
        <f>H19</f>
        <v>763339.99193277315</v>
      </c>
    </row>
    <row r="25" spans="1:8" x14ac:dyDescent="0.25">
      <c r="A25" t="s">
        <v>9</v>
      </c>
      <c r="B25" s="9" t="s">
        <v>7</v>
      </c>
      <c r="G25" s="13" t="s">
        <v>14</v>
      </c>
      <c r="H25" s="6">
        <f>H19+H21+H23</f>
        <v>483974.19475630252</v>
      </c>
    </row>
    <row r="26" spans="1:8" ht="15.75" thickBot="1" x14ac:dyDescent="0.3">
      <c r="A26" s="38" t="s">
        <v>638</v>
      </c>
      <c r="B26" s="14"/>
      <c r="C26" s="7"/>
    </row>
    <row r="27" spans="1:8" x14ac:dyDescent="0.25">
      <c r="E27" t="s">
        <v>100</v>
      </c>
      <c r="H27" s="20">
        <f>H25*0.4</f>
        <v>193589.67790252101</v>
      </c>
    </row>
    <row r="28" spans="1:8" ht="15.75" x14ac:dyDescent="0.25">
      <c r="A28" t="s">
        <v>10</v>
      </c>
      <c r="C28" s="10">
        <f>C19-C21-C23-C25</f>
        <v>763339.99193277315</v>
      </c>
      <c r="H28" s="18"/>
    </row>
    <row r="29" spans="1:8" x14ac:dyDescent="0.25">
      <c r="H29" s="3"/>
    </row>
    <row r="30" spans="1:8" x14ac:dyDescent="0.25">
      <c r="H30" s="18"/>
    </row>
  </sheetData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B8C84-A4E0-40D4-B3CD-CAF05AA167F8}">
  <dimension ref="A1:H30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643</v>
      </c>
    </row>
    <row r="3" spans="1:8" ht="21" x14ac:dyDescent="0.35">
      <c r="A3" s="2" t="s">
        <v>1</v>
      </c>
      <c r="D3" s="11">
        <v>24514</v>
      </c>
      <c r="F3" s="12" t="s">
        <v>3</v>
      </c>
      <c r="H3" s="11">
        <f>(D3/1.19)*0.19</f>
        <v>3914</v>
      </c>
    </row>
    <row r="4" spans="1:8" x14ac:dyDescent="0.25">
      <c r="A4" s="13" t="s">
        <v>29</v>
      </c>
      <c r="C4" s="28">
        <v>906</v>
      </c>
    </row>
    <row r="5" spans="1:8" ht="21" x14ac:dyDescent="0.35">
      <c r="A5" s="2" t="s">
        <v>2</v>
      </c>
      <c r="C5" t="s">
        <v>232</v>
      </c>
    </row>
    <row r="7" spans="1:8" ht="18.75" x14ac:dyDescent="0.3">
      <c r="A7" s="5"/>
      <c r="D7" s="4"/>
      <c r="H7" s="4"/>
    </row>
    <row r="8" spans="1:8" ht="18.75" x14ac:dyDescent="0.3">
      <c r="A8" s="5"/>
      <c r="D8" s="4"/>
      <c r="H8" s="4"/>
    </row>
    <row r="9" spans="1:8" ht="18.75" x14ac:dyDescent="0.3">
      <c r="A9" s="5" t="s">
        <v>167</v>
      </c>
      <c r="B9" s="5"/>
      <c r="C9" s="5"/>
      <c r="D9" s="4">
        <v>17850</v>
      </c>
      <c r="H9" s="4">
        <f t="shared" ref="H9" si="0">(D9/1.19)*0.19</f>
        <v>2850</v>
      </c>
    </row>
    <row r="10" spans="1:8" ht="18.75" x14ac:dyDescent="0.3">
      <c r="A10" s="5"/>
      <c r="B10" s="5"/>
      <c r="C10" s="5"/>
      <c r="D10" s="4"/>
      <c r="H10" s="4"/>
    </row>
    <row r="11" spans="1:8" ht="18.75" x14ac:dyDescent="0.3">
      <c r="A11" s="5"/>
      <c r="B11" s="5"/>
      <c r="C11" s="5"/>
      <c r="D11" s="4"/>
      <c r="H11" s="4"/>
    </row>
    <row r="12" spans="1:8" ht="18.75" x14ac:dyDescent="0.3">
      <c r="A12" s="5"/>
      <c r="B12" s="5"/>
      <c r="C12" s="5"/>
      <c r="D12" s="4"/>
      <c r="H12" s="4"/>
    </row>
    <row r="13" spans="1:8" ht="19.5" thickBot="1" x14ac:dyDescent="0.35">
      <c r="A13" s="5"/>
      <c r="B13" s="5"/>
      <c r="C13" s="5"/>
      <c r="D13" s="35"/>
      <c r="E13" s="27"/>
      <c r="H13" s="35"/>
    </row>
    <row r="14" spans="1:8" ht="19.5" thickTop="1" x14ac:dyDescent="0.3">
      <c r="D14" s="4">
        <f>SUM(D7:D13)</f>
        <v>17850</v>
      </c>
      <c r="H14" s="33">
        <f>SUM(H7:H13)</f>
        <v>2850</v>
      </c>
    </row>
    <row r="16" spans="1:8" ht="18.75" x14ac:dyDescent="0.3">
      <c r="C16" t="s">
        <v>4</v>
      </c>
      <c r="D16" s="4">
        <f>D3-D14</f>
        <v>6664</v>
      </c>
      <c r="G16" t="s">
        <v>5</v>
      </c>
      <c r="H16" s="4">
        <f>H3-H14</f>
        <v>1064</v>
      </c>
    </row>
    <row r="18" spans="1:8" x14ac:dyDescent="0.25">
      <c r="G18" t="s">
        <v>454</v>
      </c>
    </row>
    <row r="19" spans="1:8" ht="15.75" x14ac:dyDescent="0.25">
      <c r="A19" t="s">
        <v>6</v>
      </c>
      <c r="C19" s="8">
        <f>D16</f>
        <v>6664</v>
      </c>
      <c r="E19" t="s">
        <v>10</v>
      </c>
      <c r="H19" s="6">
        <f>C28</f>
        <v>5501.9440000000004</v>
      </c>
    </row>
    <row r="21" spans="1:8" ht="15.75" x14ac:dyDescent="0.25">
      <c r="A21" t="s">
        <v>5</v>
      </c>
      <c r="B21" s="9" t="s">
        <v>7</v>
      </c>
      <c r="C21" s="8">
        <f>H16</f>
        <v>1064</v>
      </c>
      <c r="E21" s="13" t="s">
        <v>11</v>
      </c>
      <c r="F21" s="9" t="s">
        <v>12</v>
      </c>
      <c r="G21" s="15" t="s">
        <v>17</v>
      </c>
      <c r="H21" s="3">
        <f>-(F22*0.0077)</f>
        <v>-158.62</v>
      </c>
    </row>
    <row r="22" spans="1:8" x14ac:dyDescent="0.25">
      <c r="F22" s="21">
        <f>D3-H3</f>
        <v>20600</v>
      </c>
    </row>
    <row r="23" spans="1:8" ht="16.5" thickBot="1" x14ac:dyDescent="0.3">
      <c r="A23" t="s">
        <v>8</v>
      </c>
      <c r="B23" s="9" t="s">
        <v>7</v>
      </c>
      <c r="C23" s="8">
        <f>D3*0.004</f>
        <v>98.055999999999997</v>
      </c>
      <c r="F23" s="9" t="s">
        <v>13</v>
      </c>
      <c r="G23" s="16">
        <v>0.35</v>
      </c>
      <c r="H23" s="17">
        <f>-(F24*0.35)</f>
        <v>-1925.6804</v>
      </c>
    </row>
    <row r="24" spans="1:8" x14ac:dyDescent="0.25">
      <c r="F24" s="21">
        <f>H19</f>
        <v>5501.9440000000004</v>
      </c>
    </row>
    <row r="25" spans="1:8" x14ac:dyDescent="0.25">
      <c r="A25" t="s">
        <v>9</v>
      </c>
      <c r="B25" s="9" t="s">
        <v>7</v>
      </c>
      <c r="G25" s="13" t="s">
        <v>14</v>
      </c>
      <c r="H25" s="6">
        <f>H19+H21+H23</f>
        <v>3417.6436000000003</v>
      </c>
    </row>
    <row r="26" spans="1:8" ht="15.75" thickBot="1" x14ac:dyDescent="0.3">
      <c r="A26" s="38" t="s">
        <v>638</v>
      </c>
      <c r="B26" s="14"/>
      <c r="C26" s="7"/>
    </row>
    <row r="27" spans="1:8" x14ac:dyDescent="0.25">
      <c r="E27" t="s">
        <v>100</v>
      </c>
      <c r="H27" s="20">
        <f>H25*0.4</f>
        <v>1367.0574400000003</v>
      </c>
    </row>
    <row r="28" spans="1:8" ht="15.75" x14ac:dyDescent="0.25">
      <c r="A28" t="s">
        <v>10</v>
      </c>
      <c r="C28" s="10">
        <f>C19-C21-C23-C25</f>
        <v>5501.9440000000004</v>
      </c>
      <c r="H28" s="18"/>
    </row>
    <row r="29" spans="1:8" x14ac:dyDescent="0.25">
      <c r="H29" s="3"/>
    </row>
    <row r="30" spans="1:8" x14ac:dyDescent="0.25">
      <c r="H30" s="18"/>
    </row>
  </sheetData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9505D-8E82-4874-B8A5-6AE523CC1F18}">
  <dimension ref="A1:H30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644</v>
      </c>
    </row>
    <row r="3" spans="1:8" ht="21" x14ac:dyDescent="0.35">
      <c r="A3" s="2" t="s">
        <v>1</v>
      </c>
      <c r="D3" s="11">
        <v>2433300</v>
      </c>
      <c r="F3" s="12" t="s">
        <v>3</v>
      </c>
      <c r="H3" s="11">
        <f>(D3/1.19)*0.19</f>
        <v>388510.0840336135</v>
      </c>
    </row>
    <row r="4" spans="1:8" x14ac:dyDescent="0.25">
      <c r="A4" s="13" t="s">
        <v>29</v>
      </c>
      <c r="C4" s="28">
        <v>907</v>
      </c>
    </row>
    <row r="5" spans="1:8" ht="21" x14ac:dyDescent="0.35">
      <c r="A5" s="2" t="s">
        <v>2</v>
      </c>
    </row>
    <row r="7" spans="1:8" ht="18.75" x14ac:dyDescent="0.3">
      <c r="A7" s="5"/>
      <c r="D7" s="4"/>
      <c r="H7" s="4"/>
    </row>
    <row r="8" spans="1:8" ht="18.75" x14ac:dyDescent="0.3">
      <c r="A8" s="5"/>
      <c r="D8" s="4"/>
      <c r="H8" s="4"/>
    </row>
    <row r="9" spans="1:8" ht="18.75" x14ac:dyDescent="0.3">
      <c r="A9" s="5" t="s">
        <v>167</v>
      </c>
      <c r="B9" s="5"/>
      <c r="C9" s="5"/>
      <c r="D9" s="4">
        <v>237870</v>
      </c>
      <c r="H9" s="4">
        <f t="shared" ref="H9:H10" si="0">(D9/1.19)*0.19</f>
        <v>37979.243697478996</v>
      </c>
    </row>
    <row r="10" spans="1:8" ht="18.75" x14ac:dyDescent="0.3">
      <c r="A10" s="5" t="s">
        <v>488</v>
      </c>
      <c r="B10" s="5"/>
      <c r="C10" s="5"/>
      <c r="D10" s="4">
        <v>1439018</v>
      </c>
      <c r="H10" s="4">
        <f t="shared" si="0"/>
        <v>229759.17647058825</v>
      </c>
    </row>
    <row r="11" spans="1:8" ht="18.75" x14ac:dyDescent="0.3">
      <c r="A11" s="5"/>
      <c r="B11" s="5"/>
      <c r="C11" s="5"/>
      <c r="D11" s="4"/>
      <c r="H11" s="4"/>
    </row>
    <row r="12" spans="1:8" ht="18.75" x14ac:dyDescent="0.3">
      <c r="A12" s="5"/>
      <c r="B12" s="5"/>
      <c r="C12" s="5"/>
      <c r="D12" s="4"/>
      <c r="H12" s="4"/>
    </row>
    <row r="13" spans="1:8" ht="19.5" thickBot="1" x14ac:dyDescent="0.35">
      <c r="A13" s="5"/>
      <c r="B13" s="5"/>
      <c r="C13" s="5"/>
      <c r="D13" s="35"/>
      <c r="E13" s="27"/>
      <c r="H13" s="35"/>
    </row>
    <row r="14" spans="1:8" ht="19.5" thickTop="1" x14ac:dyDescent="0.3">
      <c r="D14" s="4">
        <f>SUM(D7:D13)</f>
        <v>1676888</v>
      </c>
      <c r="H14" s="33">
        <f>SUM(H7:H13)</f>
        <v>267738.42016806727</v>
      </c>
    </row>
    <row r="16" spans="1:8" ht="18.75" x14ac:dyDescent="0.3">
      <c r="C16" t="s">
        <v>4</v>
      </c>
      <c r="D16" s="4">
        <f>D3-D14</f>
        <v>756412</v>
      </c>
      <c r="G16" t="s">
        <v>5</v>
      </c>
      <c r="H16" s="4">
        <f>H3-H14</f>
        <v>120771.66386554623</v>
      </c>
    </row>
    <row r="18" spans="1:8" x14ac:dyDescent="0.25">
      <c r="G18" t="s">
        <v>454</v>
      </c>
    </row>
    <row r="19" spans="1:8" ht="15.75" x14ac:dyDescent="0.25">
      <c r="A19" t="s">
        <v>6</v>
      </c>
      <c r="C19" s="8">
        <f>D16</f>
        <v>756412</v>
      </c>
      <c r="E19" t="s">
        <v>10</v>
      </c>
      <c r="H19" s="6">
        <f>C28</f>
        <v>625907.13613445382</v>
      </c>
    </row>
    <row r="21" spans="1:8" ht="15.75" x14ac:dyDescent="0.25">
      <c r="A21" t="s">
        <v>5</v>
      </c>
      <c r="B21" s="9" t="s">
        <v>7</v>
      </c>
      <c r="C21" s="8">
        <f>H16</f>
        <v>120771.66386554623</v>
      </c>
      <c r="E21" s="13" t="s">
        <v>11</v>
      </c>
      <c r="F21" s="9" t="s">
        <v>12</v>
      </c>
      <c r="G21" s="15" t="s">
        <v>17</v>
      </c>
      <c r="H21" s="3">
        <f>-(F22*0.0077)</f>
        <v>-15744.882352941177</v>
      </c>
    </row>
    <row r="22" spans="1:8" x14ac:dyDescent="0.25">
      <c r="F22" s="21">
        <f>D3-H3</f>
        <v>2044789.9159663864</v>
      </c>
    </row>
    <row r="23" spans="1:8" ht="16.5" thickBot="1" x14ac:dyDescent="0.3">
      <c r="A23" t="s">
        <v>8</v>
      </c>
      <c r="B23" s="9" t="s">
        <v>7</v>
      </c>
      <c r="C23" s="8">
        <f>D3*0.004</f>
        <v>9733.2000000000007</v>
      </c>
      <c r="F23" s="9" t="s">
        <v>13</v>
      </c>
      <c r="G23" s="16">
        <v>0.35</v>
      </c>
      <c r="H23" s="17">
        <f>-(F24*0.35)</f>
        <v>-219067.49764705883</v>
      </c>
    </row>
    <row r="24" spans="1:8" x14ac:dyDescent="0.25">
      <c r="F24" s="21">
        <f>H19</f>
        <v>625907.13613445382</v>
      </c>
    </row>
    <row r="25" spans="1:8" x14ac:dyDescent="0.25">
      <c r="A25" t="s">
        <v>9</v>
      </c>
      <c r="B25" s="9" t="s">
        <v>7</v>
      </c>
      <c r="G25" s="13" t="s">
        <v>14</v>
      </c>
      <c r="H25" s="6">
        <f>H19+H21+H23</f>
        <v>391094.75613445381</v>
      </c>
    </row>
    <row r="26" spans="1:8" ht="15.75" thickBot="1" x14ac:dyDescent="0.3">
      <c r="A26" s="38" t="s">
        <v>638</v>
      </c>
      <c r="B26" s="14"/>
      <c r="C26" s="7"/>
    </row>
    <row r="27" spans="1:8" x14ac:dyDescent="0.25">
      <c r="E27" t="s">
        <v>100</v>
      </c>
      <c r="H27" s="20">
        <f>H25*0.4</f>
        <v>156437.90245378154</v>
      </c>
    </row>
    <row r="28" spans="1:8" ht="15.75" x14ac:dyDescent="0.25">
      <c r="A28" t="s">
        <v>10</v>
      </c>
      <c r="C28" s="10">
        <f>C19-C21-C23-C25</f>
        <v>625907.13613445382</v>
      </c>
      <c r="H28" s="18"/>
    </row>
    <row r="29" spans="1:8" x14ac:dyDescent="0.25">
      <c r="H29" s="3"/>
    </row>
    <row r="30" spans="1:8" x14ac:dyDescent="0.25">
      <c r="H30" s="18"/>
    </row>
  </sheetData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5AE20-C82B-4D68-94F3-281932019BEB}">
  <dimension ref="A1:H30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645</v>
      </c>
    </row>
    <row r="3" spans="1:8" ht="21" x14ac:dyDescent="0.35">
      <c r="A3" s="2" t="s">
        <v>1</v>
      </c>
      <c r="D3" s="11">
        <v>47600</v>
      </c>
      <c r="F3" s="12" t="s">
        <v>3</v>
      </c>
      <c r="H3" s="11">
        <f>(D3/1.19)*0.19</f>
        <v>7600</v>
      </c>
    </row>
    <row r="4" spans="1:8" x14ac:dyDescent="0.25">
      <c r="A4" s="13" t="s">
        <v>29</v>
      </c>
      <c r="C4" s="28">
        <v>912</v>
      </c>
    </row>
    <row r="5" spans="1:8" ht="21" x14ac:dyDescent="0.35">
      <c r="A5" s="2" t="s">
        <v>2</v>
      </c>
    </row>
    <row r="7" spans="1:8" ht="18.75" x14ac:dyDescent="0.3">
      <c r="A7" s="5"/>
      <c r="D7" s="4"/>
      <c r="H7" s="4"/>
    </row>
    <row r="8" spans="1:8" ht="18.75" x14ac:dyDescent="0.3">
      <c r="A8" s="5"/>
      <c r="D8" s="4"/>
      <c r="H8" s="4"/>
    </row>
    <row r="9" spans="1:8" ht="18.75" x14ac:dyDescent="0.3">
      <c r="A9" s="5" t="s">
        <v>167</v>
      </c>
      <c r="B9" s="5"/>
      <c r="C9" s="5"/>
      <c r="D9" s="4">
        <v>28560</v>
      </c>
      <c r="H9" s="4">
        <f t="shared" ref="H9" si="0">(D9/1.19)*0.19</f>
        <v>4560</v>
      </c>
    </row>
    <row r="10" spans="1:8" ht="18.75" x14ac:dyDescent="0.3">
      <c r="A10" s="5"/>
      <c r="B10" s="5"/>
      <c r="C10" s="5"/>
      <c r="D10" s="4"/>
      <c r="H10" s="4"/>
    </row>
    <row r="11" spans="1:8" ht="18.75" x14ac:dyDescent="0.3">
      <c r="A11" s="5"/>
      <c r="B11" s="5"/>
      <c r="C11" s="5"/>
      <c r="D11" s="4"/>
      <c r="H11" s="4"/>
    </row>
    <row r="12" spans="1:8" ht="18.75" x14ac:dyDescent="0.3">
      <c r="A12" s="5"/>
      <c r="B12" s="5"/>
      <c r="C12" s="5"/>
      <c r="D12" s="4"/>
      <c r="H12" s="4"/>
    </row>
    <row r="13" spans="1:8" ht="19.5" thickBot="1" x14ac:dyDescent="0.35">
      <c r="A13" s="5"/>
      <c r="B13" s="5"/>
      <c r="C13" s="5"/>
      <c r="D13" s="35"/>
      <c r="E13" s="27"/>
      <c r="H13" s="35"/>
    </row>
    <row r="14" spans="1:8" ht="19.5" thickTop="1" x14ac:dyDescent="0.3">
      <c r="D14" s="4">
        <f>SUM(D7:D13)</f>
        <v>28560</v>
      </c>
      <c r="H14" s="33">
        <f>SUM(H7:H13)</f>
        <v>4560</v>
      </c>
    </row>
    <row r="16" spans="1:8" ht="18.75" x14ac:dyDescent="0.3">
      <c r="C16" t="s">
        <v>4</v>
      </c>
      <c r="D16" s="4">
        <f>D3-D14</f>
        <v>19040</v>
      </c>
      <c r="G16" t="s">
        <v>5</v>
      </c>
      <c r="H16" s="4">
        <f>H3-H14</f>
        <v>3040</v>
      </c>
    </row>
    <row r="18" spans="1:8" x14ac:dyDescent="0.25">
      <c r="G18" t="s">
        <v>454</v>
      </c>
    </row>
    <row r="19" spans="1:8" ht="15.75" x14ac:dyDescent="0.25">
      <c r="A19" t="s">
        <v>6</v>
      </c>
      <c r="C19" s="8">
        <f>D16</f>
        <v>19040</v>
      </c>
      <c r="E19" t="s">
        <v>10</v>
      </c>
      <c r="H19" s="6">
        <f>C28</f>
        <v>15809.6</v>
      </c>
    </row>
    <row r="21" spans="1:8" ht="15.75" x14ac:dyDescent="0.25">
      <c r="A21" t="s">
        <v>5</v>
      </c>
      <c r="B21" s="9" t="s">
        <v>7</v>
      </c>
      <c r="C21" s="8">
        <f>H16</f>
        <v>3040</v>
      </c>
      <c r="E21" s="13" t="s">
        <v>11</v>
      </c>
      <c r="F21" s="9" t="s">
        <v>12</v>
      </c>
      <c r="G21" s="15" t="s">
        <v>17</v>
      </c>
      <c r="H21" s="3">
        <f>-(F22*0.0077)</f>
        <v>-308</v>
      </c>
    </row>
    <row r="22" spans="1:8" x14ac:dyDescent="0.25">
      <c r="F22" s="21">
        <f>D3-H3</f>
        <v>40000</v>
      </c>
    </row>
    <row r="23" spans="1:8" ht="16.5" thickBot="1" x14ac:dyDescent="0.3">
      <c r="A23" t="s">
        <v>8</v>
      </c>
      <c r="B23" s="9" t="s">
        <v>7</v>
      </c>
      <c r="C23" s="8">
        <f>D3*0.004</f>
        <v>190.4</v>
      </c>
      <c r="F23" s="9" t="s">
        <v>13</v>
      </c>
      <c r="G23" s="16">
        <v>0.35</v>
      </c>
      <c r="H23" s="17">
        <f>-(F24*0.35)</f>
        <v>-5533.36</v>
      </c>
    </row>
    <row r="24" spans="1:8" x14ac:dyDescent="0.25">
      <c r="F24" s="21">
        <f>H19</f>
        <v>15809.6</v>
      </c>
    </row>
    <row r="25" spans="1:8" x14ac:dyDescent="0.25">
      <c r="A25" t="s">
        <v>9</v>
      </c>
      <c r="B25" s="9" t="s">
        <v>7</v>
      </c>
      <c r="G25" s="13" t="s">
        <v>14</v>
      </c>
      <c r="H25" s="6">
        <f>H19+H21+H23</f>
        <v>9968.2400000000016</v>
      </c>
    </row>
    <row r="26" spans="1:8" ht="15.75" thickBot="1" x14ac:dyDescent="0.3">
      <c r="A26" s="38" t="s">
        <v>638</v>
      </c>
      <c r="B26" s="14"/>
      <c r="C26" s="7"/>
    </row>
    <row r="27" spans="1:8" x14ac:dyDescent="0.25">
      <c r="E27" t="s">
        <v>100</v>
      </c>
      <c r="H27" s="20">
        <f>H25*0.4</f>
        <v>3987.2960000000007</v>
      </c>
    </row>
    <row r="28" spans="1:8" ht="15.75" x14ac:dyDescent="0.25">
      <c r="A28" t="s">
        <v>10</v>
      </c>
      <c r="C28" s="10">
        <f>C19-C21-C23-C25</f>
        <v>15809.6</v>
      </c>
      <c r="H28" s="18"/>
    </row>
    <row r="29" spans="1:8" x14ac:dyDescent="0.25">
      <c r="H29" s="3"/>
    </row>
    <row r="30" spans="1:8" x14ac:dyDescent="0.25">
      <c r="H30" s="18"/>
    </row>
  </sheetData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2D09E-6A45-4F8E-AD35-D83E7D5FFBB8}">
  <dimension ref="A1:H30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646</v>
      </c>
    </row>
    <row r="3" spans="1:8" ht="21" x14ac:dyDescent="0.35">
      <c r="A3" s="2" t="s">
        <v>1</v>
      </c>
      <c r="D3" s="11">
        <v>54413</v>
      </c>
      <c r="F3" s="12" t="s">
        <v>3</v>
      </c>
      <c r="H3" s="11">
        <f>(D3/1.19)*0.19</f>
        <v>8687.7899159663866</v>
      </c>
    </row>
    <row r="4" spans="1:8" x14ac:dyDescent="0.25">
      <c r="A4" s="13" t="s">
        <v>29</v>
      </c>
      <c r="C4" s="28">
        <v>913</v>
      </c>
    </row>
    <row r="5" spans="1:8" ht="21" x14ac:dyDescent="0.35">
      <c r="A5" s="2" t="s">
        <v>2</v>
      </c>
    </row>
    <row r="7" spans="1:8" ht="18.75" x14ac:dyDescent="0.3">
      <c r="A7" s="5"/>
      <c r="D7" s="4"/>
      <c r="H7" s="4"/>
    </row>
    <row r="8" spans="1:8" ht="18.75" x14ac:dyDescent="0.3">
      <c r="A8" s="5"/>
      <c r="D8" s="4"/>
      <c r="H8" s="4"/>
    </row>
    <row r="9" spans="1:8" ht="18.75" x14ac:dyDescent="0.3">
      <c r="A9" s="5" t="s">
        <v>167</v>
      </c>
      <c r="B9" s="5"/>
      <c r="C9" s="5"/>
      <c r="D9" s="4">
        <v>38000</v>
      </c>
      <c r="H9" s="4">
        <f t="shared" ref="H9" si="0">(D9/1.19)*0.19</f>
        <v>6067.226890756303</v>
      </c>
    </row>
    <row r="10" spans="1:8" ht="18.75" x14ac:dyDescent="0.3">
      <c r="A10" s="5"/>
      <c r="B10" s="5"/>
      <c r="C10" s="5"/>
      <c r="D10" s="4"/>
      <c r="H10" s="4"/>
    </row>
    <row r="11" spans="1:8" ht="18.75" x14ac:dyDescent="0.3">
      <c r="A11" s="5"/>
      <c r="B11" s="5"/>
      <c r="C11" s="5"/>
      <c r="D11" s="4"/>
      <c r="H11" s="4"/>
    </row>
    <row r="12" spans="1:8" ht="18.75" x14ac:dyDescent="0.3">
      <c r="A12" s="5"/>
      <c r="B12" s="5"/>
      <c r="C12" s="5"/>
      <c r="D12" s="4"/>
      <c r="H12" s="4"/>
    </row>
    <row r="13" spans="1:8" ht="19.5" thickBot="1" x14ac:dyDescent="0.35">
      <c r="A13" s="5"/>
      <c r="B13" s="5"/>
      <c r="C13" s="5"/>
      <c r="D13" s="35"/>
      <c r="E13" s="27"/>
      <c r="H13" s="35"/>
    </row>
    <row r="14" spans="1:8" ht="19.5" thickTop="1" x14ac:dyDescent="0.3">
      <c r="D14" s="4">
        <f>SUM(D7:D13)</f>
        <v>38000</v>
      </c>
      <c r="H14" s="33">
        <f>SUM(H7:H13)</f>
        <v>6067.226890756303</v>
      </c>
    </row>
    <row r="16" spans="1:8" ht="18.75" x14ac:dyDescent="0.3">
      <c r="C16" t="s">
        <v>4</v>
      </c>
      <c r="D16" s="4">
        <f>D3-D14</f>
        <v>16413</v>
      </c>
      <c r="G16" t="s">
        <v>5</v>
      </c>
      <c r="H16" s="4">
        <f>H3-H14</f>
        <v>2620.5630252100837</v>
      </c>
    </row>
    <row r="18" spans="1:8" x14ac:dyDescent="0.25">
      <c r="G18" t="s">
        <v>454</v>
      </c>
    </row>
    <row r="19" spans="1:8" ht="15.75" x14ac:dyDescent="0.25">
      <c r="A19" t="s">
        <v>6</v>
      </c>
      <c r="C19" s="8">
        <f>D16</f>
        <v>16413</v>
      </c>
      <c r="E19" t="s">
        <v>10</v>
      </c>
      <c r="H19" s="6">
        <f>C28</f>
        <v>13574.784974789916</v>
      </c>
    </row>
    <row r="21" spans="1:8" ht="15.75" x14ac:dyDescent="0.25">
      <c r="A21" t="s">
        <v>5</v>
      </c>
      <c r="B21" s="9" t="s">
        <v>7</v>
      </c>
      <c r="C21" s="8">
        <f>H16</f>
        <v>2620.5630252100837</v>
      </c>
      <c r="E21" s="13" t="s">
        <v>11</v>
      </c>
      <c r="F21" s="9" t="s">
        <v>12</v>
      </c>
      <c r="G21" s="15" t="s">
        <v>17</v>
      </c>
      <c r="H21" s="3">
        <f>-(F22*0.0077)</f>
        <v>-352.08411764705886</v>
      </c>
    </row>
    <row r="22" spans="1:8" x14ac:dyDescent="0.25">
      <c r="F22" s="21">
        <f>D3-H3</f>
        <v>45725.210084033613</v>
      </c>
    </row>
    <row r="23" spans="1:8" ht="16.5" thickBot="1" x14ac:dyDescent="0.3">
      <c r="A23" t="s">
        <v>8</v>
      </c>
      <c r="B23" s="9" t="s">
        <v>7</v>
      </c>
      <c r="C23" s="8">
        <f>D3*0.004</f>
        <v>217.65200000000002</v>
      </c>
      <c r="F23" s="9" t="s">
        <v>13</v>
      </c>
      <c r="G23" s="16">
        <v>0.35</v>
      </c>
      <c r="H23" s="17">
        <f>-(F24*0.35)</f>
        <v>-4751.17474117647</v>
      </c>
    </row>
    <row r="24" spans="1:8" x14ac:dyDescent="0.25">
      <c r="F24" s="21">
        <f>H19</f>
        <v>13574.784974789916</v>
      </c>
    </row>
    <row r="25" spans="1:8" x14ac:dyDescent="0.25">
      <c r="A25" t="s">
        <v>9</v>
      </c>
      <c r="B25" s="9" t="s">
        <v>7</v>
      </c>
      <c r="G25" s="13" t="s">
        <v>14</v>
      </c>
      <c r="H25" s="6">
        <f>H19+H21+H23</f>
        <v>8471.5261159663878</v>
      </c>
    </row>
    <row r="26" spans="1:8" ht="15.75" thickBot="1" x14ac:dyDescent="0.3">
      <c r="A26" s="38" t="s">
        <v>638</v>
      </c>
      <c r="B26" s="14"/>
      <c r="C26" s="7"/>
    </row>
    <row r="27" spans="1:8" x14ac:dyDescent="0.25">
      <c r="E27" t="s">
        <v>100</v>
      </c>
      <c r="H27" s="20">
        <f>H25*0.4</f>
        <v>3388.6104463865554</v>
      </c>
    </row>
    <row r="28" spans="1:8" ht="15.75" x14ac:dyDescent="0.25">
      <c r="A28" t="s">
        <v>10</v>
      </c>
      <c r="C28" s="10">
        <f>C19-C21-C23-C25</f>
        <v>13574.784974789916</v>
      </c>
      <c r="H28" s="18"/>
    </row>
    <row r="29" spans="1:8" x14ac:dyDescent="0.25">
      <c r="H29" s="3"/>
    </row>
    <row r="30" spans="1:8" x14ac:dyDescent="0.25">
      <c r="H30" s="18"/>
    </row>
  </sheetData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CD09C-2528-49E6-B8C0-C4D828E305AB}">
  <dimension ref="A1:H30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646</v>
      </c>
    </row>
    <row r="3" spans="1:8" ht="21" x14ac:dyDescent="0.35">
      <c r="A3" s="2" t="s">
        <v>1</v>
      </c>
      <c r="D3" s="11">
        <v>340013</v>
      </c>
      <c r="F3" s="12" t="s">
        <v>3</v>
      </c>
      <c r="H3" s="11">
        <f>(D3/1.19)*0.19</f>
        <v>54287.789915966387</v>
      </c>
    </row>
    <row r="4" spans="1:8" x14ac:dyDescent="0.25">
      <c r="A4" s="13" t="s">
        <v>29</v>
      </c>
      <c r="C4" s="28">
        <v>914</v>
      </c>
    </row>
    <row r="5" spans="1:8" ht="21" x14ac:dyDescent="0.35">
      <c r="A5" s="2" t="s">
        <v>2</v>
      </c>
    </row>
    <row r="7" spans="1:8" ht="18.75" x14ac:dyDescent="0.3">
      <c r="A7" s="5"/>
      <c r="D7" s="4"/>
      <c r="H7" s="4"/>
    </row>
    <row r="8" spans="1:8" ht="18.75" x14ac:dyDescent="0.3">
      <c r="A8" s="5"/>
      <c r="D8" s="4"/>
      <c r="H8" s="4"/>
    </row>
    <row r="9" spans="1:8" ht="18.75" x14ac:dyDescent="0.3">
      <c r="A9" s="5" t="s">
        <v>167</v>
      </c>
      <c r="B9" s="5"/>
      <c r="C9" s="5"/>
      <c r="D9" s="4">
        <v>224745</v>
      </c>
      <c r="H9" s="4">
        <f t="shared" ref="H9" si="0">(D9/1.19)*0.19</f>
        <v>35883.655462184877</v>
      </c>
    </row>
    <row r="10" spans="1:8" ht="18.75" x14ac:dyDescent="0.3">
      <c r="A10" s="5"/>
      <c r="B10" s="5"/>
      <c r="C10" s="5"/>
      <c r="D10" s="4"/>
      <c r="H10" s="4"/>
    </row>
    <row r="11" spans="1:8" ht="18.75" x14ac:dyDescent="0.3">
      <c r="A11" s="5"/>
      <c r="B11" s="5"/>
      <c r="C11" s="5"/>
      <c r="D11" s="4"/>
      <c r="H11" s="4"/>
    </row>
    <row r="12" spans="1:8" ht="18.75" x14ac:dyDescent="0.3">
      <c r="A12" s="5"/>
      <c r="B12" s="5"/>
      <c r="C12" s="5"/>
      <c r="D12" s="4"/>
      <c r="H12" s="4"/>
    </row>
    <row r="13" spans="1:8" ht="19.5" thickBot="1" x14ac:dyDescent="0.35">
      <c r="A13" s="5"/>
      <c r="B13" s="5"/>
      <c r="C13" s="5"/>
      <c r="D13" s="35"/>
      <c r="E13" s="27"/>
      <c r="H13" s="35"/>
    </row>
    <row r="14" spans="1:8" ht="19.5" thickTop="1" x14ac:dyDescent="0.3">
      <c r="D14" s="4">
        <f>SUM(D7:D13)</f>
        <v>224745</v>
      </c>
      <c r="H14" s="33">
        <f>SUM(H7:H13)</f>
        <v>35883.655462184877</v>
      </c>
    </row>
    <row r="16" spans="1:8" ht="18.75" x14ac:dyDescent="0.3">
      <c r="C16" t="s">
        <v>4</v>
      </c>
      <c r="D16" s="4">
        <f>D3-D14</f>
        <v>115268</v>
      </c>
      <c r="G16" t="s">
        <v>5</v>
      </c>
      <c r="H16" s="4">
        <f>H3-H14</f>
        <v>18404.134453781509</v>
      </c>
    </row>
    <row r="18" spans="1:8" x14ac:dyDescent="0.25">
      <c r="G18" t="s">
        <v>454</v>
      </c>
    </row>
    <row r="19" spans="1:8" ht="15.75" x14ac:dyDescent="0.25">
      <c r="A19" t="s">
        <v>6</v>
      </c>
      <c r="C19" s="8">
        <f>D16</f>
        <v>115268</v>
      </c>
      <c r="E19" t="s">
        <v>10</v>
      </c>
      <c r="H19" s="6">
        <f>C28</f>
        <v>95503.813546218502</v>
      </c>
    </row>
    <row r="21" spans="1:8" ht="15.75" x14ac:dyDescent="0.25">
      <c r="A21" t="s">
        <v>5</v>
      </c>
      <c r="B21" s="9" t="s">
        <v>7</v>
      </c>
      <c r="C21" s="8">
        <f>H16</f>
        <v>18404.134453781509</v>
      </c>
      <c r="E21" s="13" t="s">
        <v>11</v>
      </c>
      <c r="F21" s="9" t="s">
        <v>12</v>
      </c>
      <c r="G21" s="15" t="s">
        <v>17</v>
      </c>
      <c r="H21" s="3">
        <f>-(F22*0.0077)</f>
        <v>-2200.084117647059</v>
      </c>
    </row>
    <row r="22" spans="1:8" x14ac:dyDescent="0.25">
      <c r="F22" s="21">
        <f>D3-H3</f>
        <v>285725.21008403361</v>
      </c>
    </row>
    <row r="23" spans="1:8" ht="16.5" thickBot="1" x14ac:dyDescent="0.3">
      <c r="A23" t="s">
        <v>8</v>
      </c>
      <c r="B23" s="9" t="s">
        <v>7</v>
      </c>
      <c r="C23" s="8">
        <f>D3*0.004</f>
        <v>1360.0520000000001</v>
      </c>
      <c r="F23" s="9" t="s">
        <v>13</v>
      </c>
      <c r="G23" s="16">
        <v>0.35</v>
      </c>
      <c r="H23" s="17">
        <f>-(F24*0.35)</f>
        <v>-33426.334741176477</v>
      </c>
    </row>
    <row r="24" spans="1:8" x14ac:dyDescent="0.25">
      <c r="F24" s="21">
        <f>H19</f>
        <v>95503.813546218502</v>
      </c>
    </row>
    <row r="25" spans="1:8" x14ac:dyDescent="0.25">
      <c r="A25" t="s">
        <v>9</v>
      </c>
      <c r="B25" s="9" t="s">
        <v>7</v>
      </c>
      <c r="G25" s="13" t="s">
        <v>14</v>
      </c>
      <c r="H25" s="6">
        <f>H19+H21+H23</f>
        <v>59877.394687394968</v>
      </c>
    </row>
    <row r="26" spans="1:8" ht="15.75" thickBot="1" x14ac:dyDescent="0.3">
      <c r="A26" s="38" t="s">
        <v>638</v>
      </c>
      <c r="B26" s="14"/>
      <c r="C26" s="7"/>
    </row>
    <row r="27" spans="1:8" x14ac:dyDescent="0.25">
      <c r="E27" t="s">
        <v>100</v>
      </c>
      <c r="H27" s="20">
        <f>H25*0.4</f>
        <v>23950.957874957989</v>
      </c>
    </row>
    <row r="28" spans="1:8" ht="15.75" x14ac:dyDescent="0.25">
      <c r="A28" t="s">
        <v>10</v>
      </c>
      <c r="C28" s="10">
        <f>C19-C21-C23-C25</f>
        <v>95503.813546218502</v>
      </c>
      <c r="H28" s="18"/>
    </row>
    <row r="29" spans="1:8" x14ac:dyDescent="0.25">
      <c r="H29" s="3"/>
    </row>
    <row r="30" spans="1:8" x14ac:dyDescent="0.25">
      <c r="H30" s="18"/>
    </row>
  </sheetData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5AECD-3E30-4CBE-A06C-AEA20DB71C74}">
  <dimension ref="A1:H30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476</v>
      </c>
    </row>
    <row r="3" spans="1:8" ht="21" x14ac:dyDescent="0.35">
      <c r="A3" s="2" t="s">
        <v>1</v>
      </c>
      <c r="D3" s="11">
        <v>309400</v>
      </c>
      <c r="F3" s="12" t="s">
        <v>3</v>
      </c>
      <c r="H3" s="11">
        <f>(D3/1.19)*0.19</f>
        <v>49400</v>
      </c>
    </row>
    <row r="4" spans="1:8" x14ac:dyDescent="0.25">
      <c r="A4" s="13" t="s">
        <v>29</v>
      </c>
      <c r="C4" s="28">
        <v>916</v>
      </c>
    </row>
    <row r="5" spans="1:8" ht="21" x14ac:dyDescent="0.35">
      <c r="A5" s="2" t="s">
        <v>2</v>
      </c>
    </row>
    <row r="7" spans="1:8" ht="18.75" x14ac:dyDescent="0.3">
      <c r="A7" s="5"/>
      <c r="D7" s="4"/>
      <c r="H7" s="4"/>
    </row>
    <row r="8" spans="1:8" ht="18.75" x14ac:dyDescent="0.3">
      <c r="A8" s="5"/>
      <c r="D8" s="4"/>
      <c r="H8" s="4"/>
    </row>
    <row r="9" spans="1:8" ht="18.75" x14ac:dyDescent="0.3">
      <c r="A9" s="5" t="s">
        <v>397</v>
      </c>
      <c r="B9" s="5"/>
      <c r="C9" s="5"/>
      <c r="D9" s="4">
        <v>142531</v>
      </c>
      <c r="H9" s="4">
        <f t="shared" ref="H9" si="0">(D9/1.19)*0.19</f>
        <v>22757.050420168071</v>
      </c>
    </row>
    <row r="10" spans="1:8" ht="18.75" x14ac:dyDescent="0.3">
      <c r="A10" s="5"/>
      <c r="B10" s="5"/>
      <c r="C10" s="5"/>
      <c r="D10" s="4"/>
      <c r="H10" s="4"/>
    </row>
    <row r="11" spans="1:8" ht="18.75" x14ac:dyDescent="0.3">
      <c r="A11" s="5"/>
      <c r="B11" s="5"/>
      <c r="C11" s="5"/>
      <c r="D11" s="4"/>
      <c r="H11" s="4"/>
    </row>
    <row r="12" spans="1:8" ht="18.75" x14ac:dyDescent="0.3">
      <c r="A12" s="5"/>
      <c r="B12" s="5"/>
      <c r="C12" s="5"/>
      <c r="D12" s="4"/>
      <c r="H12" s="4"/>
    </row>
    <row r="13" spans="1:8" ht="19.5" thickBot="1" x14ac:dyDescent="0.35">
      <c r="A13" s="5"/>
      <c r="B13" s="5"/>
      <c r="C13" s="5"/>
      <c r="D13" s="35"/>
      <c r="E13" s="27"/>
      <c r="H13" s="35"/>
    </row>
    <row r="14" spans="1:8" ht="19.5" thickTop="1" x14ac:dyDescent="0.3">
      <c r="D14" s="4">
        <f>SUM(D7:D13)</f>
        <v>142531</v>
      </c>
      <c r="H14" s="33">
        <f>SUM(H7:H13)</f>
        <v>22757.050420168071</v>
      </c>
    </row>
    <row r="16" spans="1:8" ht="18.75" x14ac:dyDescent="0.3">
      <c r="C16" t="s">
        <v>4</v>
      </c>
      <c r="D16" s="4">
        <f>D3-D14</f>
        <v>166869</v>
      </c>
      <c r="G16" t="s">
        <v>5</v>
      </c>
      <c r="H16" s="4">
        <f>H3-H14</f>
        <v>26642.949579831929</v>
      </c>
    </row>
    <row r="18" spans="1:8" x14ac:dyDescent="0.25">
      <c r="G18" t="s">
        <v>454</v>
      </c>
    </row>
    <row r="19" spans="1:8" ht="15.75" x14ac:dyDescent="0.25">
      <c r="A19" t="s">
        <v>6</v>
      </c>
      <c r="C19" s="8">
        <f>D16</f>
        <v>166869</v>
      </c>
      <c r="E19" t="s">
        <v>10</v>
      </c>
      <c r="H19" s="6">
        <f>C28</f>
        <v>138988.45042016805</v>
      </c>
    </row>
    <row r="21" spans="1:8" ht="15.75" x14ac:dyDescent="0.25">
      <c r="A21" t="s">
        <v>5</v>
      </c>
      <c r="B21" s="9" t="s">
        <v>7</v>
      </c>
      <c r="C21" s="8">
        <f>H16</f>
        <v>26642.949579831929</v>
      </c>
      <c r="E21" s="13" t="s">
        <v>11</v>
      </c>
      <c r="F21" s="9" t="s">
        <v>12</v>
      </c>
      <c r="G21" s="15" t="s">
        <v>17</v>
      </c>
      <c r="H21" s="3">
        <f>-(F22*0.0077)</f>
        <v>-2002</v>
      </c>
    </row>
    <row r="22" spans="1:8" x14ac:dyDescent="0.25">
      <c r="F22" s="21">
        <f>D3-H3</f>
        <v>260000</v>
      </c>
    </row>
    <row r="23" spans="1:8" ht="16.5" thickBot="1" x14ac:dyDescent="0.3">
      <c r="A23" t="s">
        <v>8</v>
      </c>
      <c r="B23" s="9" t="s">
        <v>7</v>
      </c>
      <c r="C23" s="8">
        <f>D3*0.004</f>
        <v>1237.6000000000001</v>
      </c>
      <c r="F23" s="9" t="s">
        <v>13</v>
      </c>
      <c r="G23" s="16">
        <v>0.35</v>
      </c>
      <c r="H23" s="17">
        <f>-(F24*0.35)</f>
        <v>-48645.957647058814</v>
      </c>
    </row>
    <row r="24" spans="1:8" x14ac:dyDescent="0.25">
      <c r="F24" s="21">
        <f>H19</f>
        <v>138988.45042016805</v>
      </c>
    </row>
    <row r="25" spans="1:8" x14ac:dyDescent="0.25">
      <c r="A25" t="s">
        <v>9</v>
      </c>
      <c r="B25" s="9" t="s">
        <v>7</v>
      </c>
      <c r="G25" s="13" t="s">
        <v>14</v>
      </c>
      <c r="H25" s="6">
        <f>H19+H21+H23</f>
        <v>88340.492773109232</v>
      </c>
    </row>
    <row r="26" spans="1:8" ht="15.75" thickBot="1" x14ac:dyDescent="0.3">
      <c r="A26" s="38" t="s">
        <v>638</v>
      </c>
      <c r="B26" s="14"/>
      <c r="C26" s="7"/>
    </row>
    <row r="27" spans="1:8" x14ac:dyDescent="0.25">
      <c r="E27" t="s">
        <v>100</v>
      </c>
      <c r="H27" s="20">
        <f>H25*0.4</f>
        <v>35336.197109243694</v>
      </c>
    </row>
    <row r="28" spans="1:8" ht="15.75" x14ac:dyDescent="0.25">
      <c r="A28" t="s">
        <v>10</v>
      </c>
      <c r="C28" s="10">
        <f>C19-C21-C23-C25</f>
        <v>138988.45042016805</v>
      </c>
      <c r="H28" s="18"/>
    </row>
    <row r="29" spans="1:8" x14ac:dyDescent="0.25">
      <c r="H29" s="3"/>
    </row>
    <row r="30" spans="1:8" x14ac:dyDescent="0.25">
      <c r="H30" s="18"/>
    </row>
  </sheetData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BB649-C468-4CB8-B4FF-9B7E682CAD24}">
  <dimension ref="A1:H30"/>
  <sheetViews>
    <sheetView workbookViewId="0">
      <selection activeCell="C4" sqref="C4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647</v>
      </c>
    </row>
    <row r="3" spans="1:8" ht="21" x14ac:dyDescent="0.35">
      <c r="A3" s="2" t="s">
        <v>1</v>
      </c>
      <c r="D3" s="11">
        <v>266279</v>
      </c>
      <c r="F3" s="12" t="s">
        <v>3</v>
      </c>
      <c r="H3" s="11">
        <f>(D3/1.19)*0.19</f>
        <v>42515.134453781517</v>
      </c>
    </row>
    <row r="4" spans="1:8" x14ac:dyDescent="0.25">
      <c r="A4" s="13" t="s">
        <v>29</v>
      </c>
      <c r="C4" s="28">
        <v>921</v>
      </c>
    </row>
    <row r="5" spans="1:8" ht="21" x14ac:dyDescent="0.35">
      <c r="A5" s="2" t="s">
        <v>2</v>
      </c>
    </row>
    <row r="7" spans="1:8" ht="18.75" x14ac:dyDescent="0.3">
      <c r="A7" s="5"/>
      <c r="D7" s="4"/>
      <c r="H7" s="4"/>
    </row>
    <row r="8" spans="1:8" ht="18.75" x14ac:dyDescent="0.3">
      <c r="A8" s="5"/>
      <c r="D8" s="4"/>
      <c r="H8" s="4"/>
    </row>
    <row r="9" spans="1:8" ht="18.75" x14ac:dyDescent="0.3">
      <c r="A9" s="5" t="s">
        <v>648</v>
      </c>
      <c r="B9" s="5"/>
      <c r="C9" s="5"/>
      <c r="D9" s="4">
        <v>196500</v>
      </c>
      <c r="H9" s="4">
        <f t="shared" ref="H9" si="0">(D9/1.19)*0.19</f>
        <v>31373.949579831937</v>
      </c>
    </row>
    <row r="10" spans="1:8" ht="18.75" x14ac:dyDescent="0.3">
      <c r="A10" s="5"/>
      <c r="B10" s="5"/>
      <c r="C10" s="5"/>
      <c r="D10" s="4"/>
      <c r="H10" s="4"/>
    </row>
    <row r="11" spans="1:8" ht="18.75" x14ac:dyDescent="0.3">
      <c r="A11" s="5"/>
      <c r="B11" s="5"/>
      <c r="C11" s="5"/>
      <c r="D11" s="4"/>
      <c r="H11" s="4"/>
    </row>
    <row r="12" spans="1:8" ht="18.75" x14ac:dyDescent="0.3">
      <c r="A12" s="5"/>
      <c r="B12" s="5"/>
      <c r="C12" s="5"/>
      <c r="D12" s="4"/>
      <c r="H12" s="4"/>
    </row>
    <row r="13" spans="1:8" ht="19.5" thickBot="1" x14ac:dyDescent="0.35">
      <c r="A13" s="5"/>
      <c r="B13" s="5"/>
      <c r="C13" s="5"/>
      <c r="D13" s="35"/>
      <c r="E13" s="27"/>
      <c r="H13" s="35"/>
    </row>
    <row r="14" spans="1:8" ht="19.5" thickTop="1" x14ac:dyDescent="0.3">
      <c r="D14" s="4">
        <f>SUM(D7:D13)</f>
        <v>196500</v>
      </c>
      <c r="H14" s="33">
        <f>SUM(H7:H13)</f>
        <v>31373.949579831937</v>
      </c>
    </row>
    <row r="16" spans="1:8" ht="18.75" x14ac:dyDescent="0.3">
      <c r="C16" t="s">
        <v>4</v>
      </c>
      <c r="D16" s="4">
        <f>D3-D14</f>
        <v>69779</v>
      </c>
      <c r="G16" t="s">
        <v>5</v>
      </c>
      <c r="H16" s="4">
        <f>H3-H14</f>
        <v>11141.18487394958</v>
      </c>
    </row>
    <row r="18" spans="1:8" x14ac:dyDescent="0.25">
      <c r="G18" t="s">
        <v>454</v>
      </c>
    </row>
    <row r="19" spans="1:8" ht="15.75" x14ac:dyDescent="0.25">
      <c r="A19" t="s">
        <v>6</v>
      </c>
      <c r="C19" s="8">
        <f>D16</f>
        <v>69779</v>
      </c>
      <c r="E19" t="s">
        <v>10</v>
      </c>
      <c r="H19" s="6">
        <f>C28</f>
        <v>57572.699126050422</v>
      </c>
    </row>
    <row r="21" spans="1:8" ht="15.75" x14ac:dyDescent="0.25">
      <c r="A21" t="s">
        <v>5</v>
      </c>
      <c r="B21" s="9" t="s">
        <v>7</v>
      </c>
      <c r="C21" s="8">
        <f>H16</f>
        <v>11141.18487394958</v>
      </c>
      <c r="E21" s="13" t="s">
        <v>11</v>
      </c>
      <c r="F21" s="9" t="s">
        <v>12</v>
      </c>
      <c r="G21" s="15" t="s">
        <v>17</v>
      </c>
      <c r="H21" s="3">
        <f>-(F22*0.0077)</f>
        <v>-1722.9817647058824</v>
      </c>
    </row>
    <row r="22" spans="1:8" x14ac:dyDescent="0.25">
      <c r="F22" s="21">
        <f>D3-H3</f>
        <v>223763.86554621847</v>
      </c>
    </row>
    <row r="23" spans="1:8" ht="16.5" thickBot="1" x14ac:dyDescent="0.3">
      <c r="A23" t="s">
        <v>8</v>
      </c>
      <c r="B23" s="9" t="s">
        <v>7</v>
      </c>
      <c r="C23" s="8">
        <f>D3*0.004</f>
        <v>1065.116</v>
      </c>
      <c r="F23" s="9" t="s">
        <v>13</v>
      </c>
      <c r="G23" s="16">
        <v>0.35</v>
      </c>
      <c r="H23" s="17">
        <f>-(F24*0.35)</f>
        <v>-20150.444694117647</v>
      </c>
    </row>
    <row r="24" spans="1:8" x14ac:dyDescent="0.25">
      <c r="F24" s="21">
        <f>H19</f>
        <v>57572.699126050422</v>
      </c>
    </row>
    <row r="25" spans="1:8" x14ac:dyDescent="0.25">
      <c r="A25" t="s">
        <v>9</v>
      </c>
      <c r="B25" s="9" t="s">
        <v>7</v>
      </c>
      <c r="G25" s="13" t="s">
        <v>14</v>
      </c>
      <c r="H25" s="6">
        <f>H19+H21+H23</f>
        <v>35699.272667226891</v>
      </c>
    </row>
    <row r="26" spans="1:8" ht="15.75" thickBot="1" x14ac:dyDescent="0.3">
      <c r="A26" s="38" t="s">
        <v>638</v>
      </c>
      <c r="B26" s="14"/>
      <c r="C26" s="7"/>
    </row>
    <row r="27" spans="1:8" x14ac:dyDescent="0.25">
      <c r="E27" t="s">
        <v>100</v>
      </c>
      <c r="H27" s="20">
        <f>H25*0.4</f>
        <v>14279.709066890757</v>
      </c>
    </row>
    <row r="28" spans="1:8" ht="15.75" x14ac:dyDescent="0.25">
      <c r="A28" t="s">
        <v>10</v>
      </c>
      <c r="C28" s="10">
        <f>C19-C21-C23-C25</f>
        <v>57572.699126050422</v>
      </c>
      <c r="H28" s="18"/>
    </row>
    <row r="29" spans="1:8" x14ac:dyDescent="0.25">
      <c r="H29" s="3"/>
    </row>
    <row r="30" spans="1:8" x14ac:dyDescent="0.25">
      <c r="H30" s="18"/>
    </row>
  </sheetData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21C40-A360-46CA-BD5C-B6C632B5EABB}">
  <dimension ref="A1:H30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649</v>
      </c>
    </row>
    <row r="3" spans="1:8" ht="21" x14ac:dyDescent="0.35">
      <c r="A3" s="2" t="s">
        <v>1</v>
      </c>
      <c r="D3" s="11">
        <v>144942</v>
      </c>
      <c r="F3" s="12" t="s">
        <v>3</v>
      </c>
      <c r="H3" s="11">
        <f>(D3/1.19)*0.19</f>
        <v>23142</v>
      </c>
    </row>
    <row r="4" spans="1:8" x14ac:dyDescent="0.25">
      <c r="A4" s="13" t="s">
        <v>29</v>
      </c>
      <c r="C4" s="28">
        <v>923</v>
      </c>
    </row>
    <row r="5" spans="1:8" ht="21" x14ac:dyDescent="0.35">
      <c r="A5" s="2" t="s">
        <v>2</v>
      </c>
    </row>
    <row r="7" spans="1:8" ht="18.75" x14ac:dyDescent="0.3">
      <c r="A7" s="5"/>
      <c r="D7" s="4"/>
      <c r="H7" s="4"/>
    </row>
    <row r="8" spans="1:8" ht="18.75" x14ac:dyDescent="0.3">
      <c r="A8" s="5"/>
      <c r="D8" s="4"/>
      <c r="H8" s="4"/>
    </row>
    <row r="9" spans="1:8" ht="18.75" x14ac:dyDescent="0.3">
      <c r="A9" s="5" t="s">
        <v>623</v>
      </c>
      <c r="B9" s="5"/>
      <c r="C9" s="5"/>
      <c r="D9" s="4">
        <v>70686</v>
      </c>
      <c r="H9" s="4">
        <f t="shared" ref="H9:H10" si="0">(D9/1.19)*0.19</f>
        <v>11286</v>
      </c>
    </row>
    <row r="10" spans="1:8" ht="18.75" x14ac:dyDescent="0.3">
      <c r="A10" s="5" t="s">
        <v>167</v>
      </c>
      <c r="B10" s="5"/>
      <c r="C10" s="5"/>
      <c r="D10" s="4">
        <v>14500</v>
      </c>
      <c r="H10" s="4">
        <f t="shared" si="0"/>
        <v>2315.1260504201682</v>
      </c>
    </row>
    <row r="11" spans="1:8" ht="18.75" x14ac:dyDescent="0.3">
      <c r="A11" s="5"/>
      <c r="B11" s="5"/>
      <c r="C11" s="5"/>
      <c r="D11" s="4"/>
      <c r="H11" s="4"/>
    </row>
    <row r="12" spans="1:8" ht="18.75" x14ac:dyDescent="0.3">
      <c r="A12" s="5"/>
      <c r="B12" s="5"/>
      <c r="C12" s="5"/>
      <c r="D12" s="4"/>
      <c r="H12" s="4"/>
    </row>
    <row r="13" spans="1:8" ht="19.5" thickBot="1" x14ac:dyDescent="0.35">
      <c r="A13" s="5"/>
      <c r="B13" s="5"/>
      <c r="C13" s="5"/>
      <c r="D13" s="35"/>
      <c r="E13" s="27"/>
      <c r="H13" s="35"/>
    </row>
    <row r="14" spans="1:8" ht="19.5" thickTop="1" x14ac:dyDescent="0.3">
      <c r="D14" s="4">
        <f>SUM(D7:D13)</f>
        <v>85186</v>
      </c>
      <c r="H14" s="33">
        <f>SUM(H7:H13)</f>
        <v>13601.126050420167</v>
      </c>
    </row>
    <row r="16" spans="1:8" ht="18.75" x14ac:dyDescent="0.3">
      <c r="C16" t="s">
        <v>4</v>
      </c>
      <c r="D16" s="4">
        <f>D3-D14</f>
        <v>59756</v>
      </c>
      <c r="G16" t="s">
        <v>5</v>
      </c>
      <c r="H16" s="4">
        <f>H3-H14</f>
        <v>9540.8739495798327</v>
      </c>
    </row>
    <row r="18" spans="1:8" x14ac:dyDescent="0.25">
      <c r="G18" t="s">
        <v>454</v>
      </c>
    </row>
    <row r="19" spans="1:8" ht="15.75" x14ac:dyDescent="0.25">
      <c r="A19" t="s">
        <v>6</v>
      </c>
      <c r="C19" s="8">
        <f>D16</f>
        <v>59756</v>
      </c>
      <c r="E19" t="s">
        <v>10</v>
      </c>
      <c r="H19" s="6">
        <f>C28</f>
        <v>49635.358050420167</v>
      </c>
    </row>
    <row r="21" spans="1:8" ht="15.75" x14ac:dyDescent="0.25">
      <c r="A21" t="s">
        <v>5</v>
      </c>
      <c r="B21" s="9" t="s">
        <v>7</v>
      </c>
      <c r="C21" s="8">
        <f>H16</f>
        <v>9540.8739495798327</v>
      </c>
      <c r="E21" s="13" t="s">
        <v>11</v>
      </c>
      <c r="F21" s="9" t="s">
        <v>12</v>
      </c>
      <c r="G21" s="15" t="s">
        <v>17</v>
      </c>
      <c r="H21" s="3">
        <f>-(F22*0.0077)</f>
        <v>-937.86</v>
      </c>
    </row>
    <row r="22" spans="1:8" x14ac:dyDescent="0.25">
      <c r="F22" s="21">
        <f>D3-H3</f>
        <v>121800</v>
      </c>
    </row>
    <row r="23" spans="1:8" ht="16.5" thickBot="1" x14ac:dyDescent="0.3">
      <c r="A23" t="s">
        <v>8</v>
      </c>
      <c r="B23" s="9" t="s">
        <v>7</v>
      </c>
      <c r="C23" s="8">
        <f>D3*0.004</f>
        <v>579.76800000000003</v>
      </c>
      <c r="F23" s="9" t="s">
        <v>13</v>
      </c>
      <c r="G23" s="16">
        <v>0.35</v>
      </c>
      <c r="H23" s="17">
        <f>-(F24*0.35)</f>
        <v>-17372.375317647056</v>
      </c>
    </row>
    <row r="24" spans="1:8" x14ac:dyDescent="0.25">
      <c r="F24" s="21">
        <f>H19</f>
        <v>49635.358050420167</v>
      </c>
    </row>
    <row r="25" spans="1:8" x14ac:dyDescent="0.25">
      <c r="A25" t="s">
        <v>9</v>
      </c>
      <c r="B25" s="9" t="s">
        <v>7</v>
      </c>
      <c r="G25" s="13" t="s">
        <v>14</v>
      </c>
      <c r="H25" s="6">
        <f>H19+H21+H23</f>
        <v>31325.12273277311</v>
      </c>
    </row>
    <row r="26" spans="1:8" ht="15.75" thickBot="1" x14ac:dyDescent="0.3">
      <c r="A26" s="38" t="s">
        <v>638</v>
      </c>
      <c r="B26" s="14"/>
      <c r="C26" s="7"/>
    </row>
    <row r="27" spans="1:8" x14ac:dyDescent="0.25">
      <c r="E27" t="s">
        <v>100</v>
      </c>
      <c r="H27" s="20">
        <f>H25*0.4</f>
        <v>12530.049093109244</v>
      </c>
    </row>
    <row r="28" spans="1:8" ht="15.75" x14ac:dyDescent="0.25">
      <c r="A28" t="s">
        <v>10</v>
      </c>
      <c r="C28" s="10">
        <f>C19-C21-C23-C25</f>
        <v>49635.358050420167</v>
      </c>
      <c r="H28" s="18"/>
    </row>
    <row r="29" spans="1:8" x14ac:dyDescent="0.25">
      <c r="H29" s="3"/>
    </row>
    <row r="30" spans="1:8" x14ac:dyDescent="0.25">
      <c r="H30" s="18"/>
    </row>
  </sheetData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0164E-522C-4BFB-92B9-5C1CE156A981}">
  <dimension ref="A1:H30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650</v>
      </c>
    </row>
    <row r="3" spans="1:8" ht="21" x14ac:dyDescent="0.35">
      <c r="A3" s="2" t="s">
        <v>1</v>
      </c>
      <c r="D3" s="11">
        <v>214319</v>
      </c>
      <c r="F3" s="12" t="s">
        <v>3</v>
      </c>
      <c r="H3" s="11">
        <f>(D3/1.19)*0.19</f>
        <v>34219</v>
      </c>
    </row>
    <row r="4" spans="1:8" x14ac:dyDescent="0.25">
      <c r="A4" s="13" t="s">
        <v>29</v>
      </c>
      <c r="C4" s="28">
        <v>924</v>
      </c>
    </row>
    <row r="5" spans="1:8" ht="21" x14ac:dyDescent="0.35">
      <c r="A5" s="2" t="s">
        <v>2</v>
      </c>
    </row>
    <row r="7" spans="1:8" ht="18.75" x14ac:dyDescent="0.3">
      <c r="A7" s="5"/>
      <c r="D7" s="4"/>
      <c r="H7" s="4"/>
    </row>
    <row r="8" spans="1:8" ht="18.75" x14ac:dyDescent="0.3">
      <c r="A8" s="5"/>
      <c r="D8" s="4"/>
      <c r="H8" s="4"/>
    </row>
    <row r="9" spans="1:8" ht="18.75" x14ac:dyDescent="0.3">
      <c r="A9" s="5"/>
      <c r="B9" s="5"/>
      <c r="C9" s="5"/>
      <c r="D9" s="4"/>
      <c r="H9" s="4"/>
    </row>
    <row r="10" spans="1:8" ht="18.75" x14ac:dyDescent="0.3">
      <c r="A10" s="5" t="s">
        <v>167</v>
      </c>
      <c r="B10" s="5"/>
      <c r="C10" s="5"/>
      <c r="D10" s="4">
        <v>151279</v>
      </c>
      <c r="H10" s="4">
        <f t="shared" ref="H10" si="0">(D10/1.19)*0.19</f>
        <v>24153.789915966387</v>
      </c>
    </row>
    <row r="11" spans="1:8" ht="18.75" x14ac:dyDescent="0.3">
      <c r="A11" s="5"/>
      <c r="B11" s="5"/>
      <c r="C11" s="5"/>
      <c r="D11" s="4"/>
      <c r="H11" s="4"/>
    </row>
    <row r="12" spans="1:8" ht="18.75" x14ac:dyDescent="0.3">
      <c r="A12" s="5"/>
      <c r="B12" s="5"/>
      <c r="C12" s="5"/>
      <c r="D12" s="4"/>
      <c r="H12" s="4"/>
    </row>
    <row r="13" spans="1:8" ht="19.5" thickBot="1" x14ac:dyDescent="0.35">
      <c r="A13" s="5"/>
      <c r="B13" s="5"/>
      <c r="C13" s="5"/>
      <c r="D13" s="35"/>
      <c r="E13" s="27"/>
      <c r="H13" s="35"/>
    </row>
    <row r="14" spans="1:8" ht="19.5" thickTop="1" x14ac:dyDescent="0.3">
      <c r="D14" s="4">
        <f>SUM(D7:D13)</f>
        <v>151279</v>
      </c>
      <c r="H14" s="33">
        <f>SUM(H7:H13)</f>
        <v>24153.789915966387</v>
      </c>
    </row>
    <row r="16" spans="1:8" ht="18.75" x14ac:dyDescent="0.3">
      <c r="C16" t="s">
        <v>4</v>
      </c>
      <c r="D16" s="4">
        <f>D3-D14</f>
        <v>63040</v>
      </c>
      <c r="G16" t="s">
        <v>5</v>
      </c>
      <c r="H16" s="4">
        <f>H3-H14</f>
        <v>10065.210084033613</v>
      </c>
    </row>
    <row r="18" spans="1:8" x14ac:dyDescent="0.25">
      <c r="G18" t="s">
        <v>454</v>
      </c>
    </row>
    <row r="19" spans="1:8" ht="15.75" x14ac:dyDescent="0.25">
      <c r="A19" t="s">
        <v>6</v>
      </c>
      <c r="C19" s="8">
        <f>D16</f>
        <v>63040</v>
      </c>
      <c r="E19" t="s">
        <v>10</v>
      </c>
      <c r="H19" s="6">
        <f>C28</f>
        <v>52117.513915966389</v>
      </c>
    </row>
    <row r="21" spans="1:8" ht="15.75" x14ac:dyDescent="0.25">
      <c r="A21" t="s">
        <v>5</v>
      </c>
      <c r="B21" s="9" t="s">
        <v>7</v>
      </c>
      <c r="C21" s="8">
        <f>H16</f>
        <v>10065.210084033613</v>
      </c>
      <c r="E21" s="13" t="s">
        <v>11</v>
      </c>
      <c r="F21" s="9" t="s">
        <v>12</v>
      </c>
      <c r="G21" s="15" t="s">
        <v>17</v>
      </c>
      <c r="H21" s="3">
        <f>-(F22*0.0077)</f>
        <v>-1386.77</v>
      </c>
    </row>
    <row r="22" spans="1:8" x14ac:dyDescent="0.25">
      <c r="F22" s="21">
        <f>D3-H3</f>
        <v>180100</v>
      </c>
    </row>
    <row r="23" spans="1:8" ht="16.5" thickBot="1" x14ac:dyDescent="0.3">
      <c r="A23" t="s">
        <v>8</v>
      </c>
      <c r="B23" s="9" t="s">
        <v>7</v>
      </c>
      <c r="C23" s="8">
        <f>D3*0.004</f>
        <v>857.27600000000007</v>
      </c>
      <c r="F23" s="9" t="s">
        <v>13</v>
      </c>
      <c r="G23" s="16">
        <v>0.35</v>
      </c>
      <c r="H23" s="17">
        <f>-(F24*0.35)</f>
        <v>-18241.129870588236</v>
      </c>
    </row>
    <row r="24" spans="1:8" x14ac:dyDescent="0.25">
      <c r="F24" s="21">
        <f>H19</f>
        <v>52117.513915966389</v>
      </c>
    </row>
    <row r="25" spans="1:8" x14ac:dyDescent="0.25">
      <c r="A25" t="s">
        <v>9</v>
      </c>
      <c r="B25" s="9" t="s">
        <v>7</v>
      </c>
      <c r="G25" s="13" t="s">
        <v>14</v>
      </c>
      <c r="H25" s="6">
        <f>H19+H21+H23</f>
        <v>32489.614045378155</v>
      </c>
    </row>
    <row r="26" spans="1:8" ht="15.75" thickBot="1" x14ac:dyDescent="0.3">
      <c r="A26" s="38" t="s">
        <v>638</v>
      </c>
      <c r="B26" s="14"/>
      <c r="C26" s="7"/>
    </row>
    <row r="27" spans="1:8" x14ac:dyDescent="0.25">
      <c r="E27" t="s">
        <v>100</v>
      </c>
      <c r="H27" s="20">
        <f>H25*0.4</f>
        <v>12995.845618151263</v>
      </c>
    </row>
    <row r="28" spans="1:8" ht="15.75" x14ac:dyDescent="0.25">
      <c r="A28" t="s">
        <v>10</v>
      </c>
      <c r="C28" s="10">
        <f>C19-C21-C23-C25</f>
        <v>52117.513915966389</v>
      </c>
      <c r="H28" s="18"/>
    </row>
    <row r="29" spans="1:8" x14ac:dyDescent="0.25">
      <c r="H29" s="3"/>
    </row>
    <row r="30" spans="1:8" x14ac:dyDescent="0.25">
      <c r="H30" s="18"/>
    </row>
  </sheetData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BCC57-C48F-47F6-B5B9-71703123544B}">
  <dimension ref="A1:H30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651</v>
      </c>
    </row>
    <row r="3" spans="1:8" ht="21" x14ac:dyDescent="0.35">
      <c r="A3" s="2" t="s">
        <v>1</v>
      </c>
      <c r="D3" s="11">
        <v>311780</v>
      </c>
      <c r="F3" s="12" t="s">
        <v>3</v>
      </c>
      <c r="H3" s="11">
        <f>(D3/1.19)*0.19</f>
        <v>49780</v>
      </c>
    </row>
    <row r="4" spans="1:8" x14ac:dyDescent="0.25">
      <c r="A4" s="13" t="s">
        <v>29</v>
      </c>
      <c r="C4" s="28">
        <v>924</v>
      </c>
    </row>
    <row r="5" spans="1:8" ht="21" x14ac:dyDescent="0.35">
      <c r="A5" s="2" t="s">
        <v>2</v>
      </c>
    </row>
    <row r="7" spans="1:8" ht="18.75" x14ac:dyDescent="0.3">
      <c r="A7" s="5"/>
      <c r="D7" s="4"/>
      <c r="H7" s="4"/>
    </row>
    <row r="8" spans="1:8" ht="18.75" x14ac:dyDescent="0.3">
      <c r="A8" s="5"/>
      <c r="D8" s="4"/>
      <c r="H8" s="4"/>
    </row>
    <row r="9" spans="1:8" ht="18.75" x14ac:dyDescent="0.3">
      <c r="A9" s="5"/>
      <c r="B9" s="5"/>
      <c r="C9" s="5"/>
      <c r="D9" s="4"/>
      <c r="H9" s="4"/>
    </row>
    <row r="10" spans="1:8" ht="18.75" x14ac:dyDescent="0.3">
      <c r="A10" s="5" t="s">
        <v>519</v>
      </c>
      <c r="B10" s="5"/>
      <c r="C10" s="5"/>
      <c r="D10" s="4">
        <v>164220</v>
      </c>
      <c r="H10" s="4">
        <f t="shared" ref="H10" si="0">(D10/1.19)*0.19</f>
        <v>26220</v>
      </c>
    </row>
    <row r="11" spans="1:8" ht="18.75" x14ac:dyDescent="0.3">
      <c r="A11" s="5"/>
      <c r="B11" s="5"/>
      <c r="C11" s="5"/>
      <c r="D11" s="4"/>
      <c r="H11" s="4"/>
    </row>
    <row r="12" spans="1:8" ht="18.75" x14ac:dyDescent="0.3">
      <c r="A12" s="5"/>
      <c r="B12" s="5"/>
      <c r="C12" s="5"/>
      <c r="D12" s="4"/>
      <c r="H12" s="4"/>
    </row>
    <row r="13" spans="1:8" ht="19.5" thickBot="1" x14ac:dyDescent="0.35">
      <c r="A13" s="5"/>
      <c r="B13" s="5"/>
      <c r="C13" s="5"/>
      <c r="D13" s="35"/>
      <c r="E13" s="27"/>
      <c r="H13" s="35"/>
    </row>
    <row r="14" spans="1:8" ht="19.5" thickTop="1" x14ac:dyDescent="0.3">
      <c r="D14" s="4">
        <f>SUM(D7:D13)</f>
        <v>164220</v>
      </c>
      <c r="H14" s="33">
        <f>SUM(H7:H13)</f>
        <v>26220</v>
      </c>
    </row>
    <row r="16" spans="1:8" ht="18.75" x14ac:dyDescent="0.3">
      <c r="C16" t="s">
        <v>4</v>
      </c>
      <c r="D16" s="4">
        <f>D3-D14</f>
        <v>147560</v>
      </c>
      <c r="G16" t="s">
        <v>5</v>
      </c>
      <c r="H16" s="4">
        <f>H3-H14</f>
        <v>23560</v>
      </c>
    </row>
    <row r="18" spans="1:8" x14ac:dyDescent="0.25">
      <c r="G18" t="s">
        <v>454</v>
      </c>
    </row>
    <row r="19" spans="1:8" ht="15.75" x14ac:dyDescent="0.25">
      <c r="A19" t="s">
        <v>6</v>
      </c>
      <c r="C19" s="8">
        <f>D16</f>
        <v>147560</v>
      </c>
      <c r="E19" t="s">
        <v>10</v>
      </c>
      <c r="H19" s="6">
        <f>C28</f>
        <v>122752.88</v>
      </c>
    </row>
    <row r="21" spans="1:8" ht="15.75" x14ac:dyDescent="0.25">
      <c r="A21" t="s">
        <v>5</v>
      </c>
      <c r="B21" s="9" t="s">
        <v>7</v>
      </c>
      <c r="C21" s="8">
        <f>H16</f>
        <v>23560</v>
      </c>
      <c r="E21" s="13" t="s">
        <v>11</v>
      </c>
      <c r="F21" s="9" t="s">
        <v>12</v>
      </c>
      <c r="G21" s="15" t="s">
        <v>17</v>
      </c>
      <c r="H21" s="3">
        <f>-(F22*0.0077)</f>
        <v>-2017.4</v>
      </c>
    </row>
    <row r="22" spans="1:8" x14ac:dyDescent="0.25">
      <c r="F22" s="21">
        <f>D3-H3</f>
        <v>262000</v>
      </c>
    </row>
    <row r="23" spans="1:8" ht="16.5" thickBot="1" x14ac:dyDescent="0.3">
      <c r="A23" t="s">
        <v>8</v>
      </c>
      <c r="B23" s="9" t="s">
        <v>7</v>
      </c>
      <c r="C23" s="8">
        <f>D3*0.004</f>
        <v>1247.1200000000001</v>
      </c>
      <c r="F23" s="9" t="s">
        <v>13</v>
      </c>
      <c r="G23" s="16">
        <v>0.35</v>
      </c>
      <c r="H23" s="17">
        <f>-(F24*0.35)</f>
        <v>-42963.508000000002</v>
      </c>
    </row>
    <row r="24" spans="1:8" x14ac:dyDescent="0.25">
      <c r="F24" s="21">
        <f>H19</f>
        <v>122752.88</v>
      </c>
    </row>
    <row r="25" spans="1:8" x14ac:dyDescent="0.25">
      <c r="A25" t="s">
        <v>9</v>
      </c>
      <c r="B25" s="9" t="s">
        <v>7</v>
      </c>
      <c r="G25" s="13" t="s">
        <v>14</v>
      </c>
      <c r="H25" s="6">
        <f>H19+H21+H23</f>
        <v>77771.972000000009</v>
      </c>
    </row>
    <row r="26" spans="1:8" ht="15.75" thickBot="1" x14ac:dyDescent="0.3">
      <c r="A26" s="38" t="s">
        <v>638</v>
      </c>
      <c r="B26" s="14"/>
      <c r="C26" s="7"/>
    </row>
    <row r="27" spans="1:8" x14ac:dyDescent="0.25">
      <c r="E27" t="s">
        <v>100</v>
      </c>
      <c r="H27" s="20">
        <f>H25*0.4</f>
        <v>31108.788800000006</v>
      </c>
    </row>
    <row r="28" spans="1:8" ht="15.75" x14ac:dyDescent="0.25">
      <c r="A28" t="s">
        <v>10</v>
      </c>
      <c r="C28" s="10">
        <f>C19-C21-C23-C25</f>
        <v>122752.88</v>
      </c>
      <c r="H28" s="18"/>
    </row>
    <row r="29" spans="1:8" x14ac:dyDescent="0.25">
      <c r="H29" s="3"/>
    </row>
    <row r="30" spans="1:8" x14ac:dyDescent="0.25">
      <c r="H30" s="18"/>
    </row>
  </sheetData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3DF67-DC05-4F13-A72A-A29B9A096EEE}">
  <dimension ref="A1:H30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453</v>
      </c>
    </row>
    <row r="3" spans="1:8" ht="21" x14ac:dyDescent="0.35">
      <c r="A3" s="2" t="s">
        <v>1</v>
      </c>
      <c r="D3" s="11">
        <v>5799465</v>
      </c>
      <c r="F3" s="12" t="s">
        <v>3</v>
      </c>
      <c r="H3" s="11">
        <f>(D3/1.19)*0.19</f>
        <v>925965</v>
      </c>
    </row>
    <row r="4" spans="1:8" x14ac:dyDescent="0.25">
      <c r="A4" s="13" t="s">
        <v>29</v>
      </c>
      <c r="C4" s="28">
        <v>935</v>
      </c>
    </row>
    <row r="5" spans="1:8" ht="21" x14ac:dyDescent="0.35">
      <c r="A5" s="2" t="s">
        <v>2</v>
      </c>
    </row>
    <row r="7" spans="1:8" ht="18.75" x14ac:dyDescent="0.3">
      <c r="A7" s="5"/>
      <c r="D7" s="4"/>
      <c r="H7" s="4"/>
    </row>
    <row r="8" spans="1:8" ht="18.75" x14ac:dyDescent="0.3">
      <c r="A8" s="5"/>
      <c r="D8" s="4"/>
      <c r="H8" s="4"/>
    </row>
    <row r="9" spans="1:8" ht="18.75" x14ac:dyDescent="0.3">
      <c r="A9" s="5"/>
      <c r="B9" s="5"/>
      <c r="C9" s="5"/>
      <c r="D9" s="4"/>
      <c r="H9" s="4"/>
    </row>
    <row r="10" spans="1:8" ht="18.75" x14ac:dyDescent="0.3">
      <c r="A10" s="5" t="s">
        <v>514</v>
      </c>
      <c r="B10" s="5"/>
      <c r="C10" s="5"/>
      <c r="D10" s="4">
        <v>4333212</v>
      </c>
      <c r="H10" s="4">
        <f t="shared" ref="H10" si="0">(D10/1.19)*0.19</f>
        <v>691857.37815126055</v>
      </c>
    </row>
    <row r="11" spans="1:8" ht="18.75" x14ac:dyDescent="0.3">
      <c r="A11" s="5"/>
      <c r="B11" s="5"/>
      <c r="C11" s="5"/>
      <c r="D11" s="4"/>
      <c r="H11" s="4"/>
    </row>
    <row r="12" spans="1:8" ht="18.75" x14ac:dyDescent="0.3">
      <c r="A12" s="5"/>
      <c r="B12" s="5"/>
      <c r="C12" s="5"/>
      <c r="D12" s="4"/>
      <c r="H12" s="4"/>
    </row>
    <row r="13" spans="1:8" ht="19.5" thickBot="1" x14ac:dyDescent="0.35">
      <c r="A13" s="5"/>
      <c r="B13" s="5"/>
      <c r="C13" s="5"/>
      <c r="D13" s="35"/>
      <c r="E13" s="27"/>
      <c r="H13" s="35"/>
    </row>
    <row r="14" spans="1:8" ht="19.5" thickTop="1" x14ac:dyDescent="0.3">
      <c r="D14" s="4">
        <f>SUM(D7:D13)</f>
        <v>4333212</v>
      </c>
      <c r="H14" s="33">
        <f>SUM(H7:H13)</f>
        <v>691857.37815126055</v>
      </c>
    </row>
    <row r="16" spans="1:8" ht="18.75" x14ac:dyDescent="0.3">
      <c r="C16" t="s">
        <v>4</v>
      </c>
      <c r="D16" s="4">
        <f>D3-D14</f>
        <v>1466253</v>
      </c>
      <c r="G16" t="s">
        <v>5</v>
      </c>
      <c r="H16" s="4">
        <f>H3-H14</f>
        <v>234107.62184873945</v>
      </c>
    </row>
    <row r="18" spans="1:8" x14ac:dyDescent="0.25">
      <c r="G18" t="s">
        <v>454</v>
      </c>
    </row>
    <row r="19" spans="1:8" ht="15.75" x14ac:dyDescent="0.25">
      <c r="A19" t="s">
        <v>6</v>
      </c>
      <c r="C19" s="8">
        <f>D16</f>
        <v>1466253</v>
      </c>
      <c r="E19" t="s">
        <v>10</v>
      </c>
      <c r="H19" s="6">
        <f>C28</f>
        <v>1208947.5181512604</v>
      </c>
    </row>
    <row r="21" spans="1:8" ht="15.75" x14ac:dyDescent="0.25">
      <c r="A21" t="s">
        <v>5</v>
      </c>
      <c r="B21" s="9" t="s">
        <v>7</v>
      </c>
      <c r="C21" s="8">
        <f>H16</f>
        <v>234107.62184873945</v>
      </c>
      <c r="E21" s="13" t="s">
        <v>11</v>
      </c>
      <c r="F21" s="9" t="s">
        <v>12</v>
      </c>
      <c r="G21" s="15" t="s">
        <v>17</v>
      </c>
      <c r="H21" s="3">
        <f>-(F22*0.0077)</f>
        <v>-37525.950000000004</v>
      </c>
    </row>
    <row r="22" spans="1:8" x14ac:dyDescent="0.25">
      <c r="F22" s="21">
        <f>D3-H3</f>
        <v>4873500</v>
      </c>
    </row>
    <row r="23" spans="1:8" ht="16.5" thickBot="1" x14ac:dyDescent="0.3">
      <c r="A23" t="s">
        <v>8</v>
      </c>
      <c r="B23" s="9" t="s">
        <v>7</v>
      </c>
      <c r="C23" s="8">
        <f>D3*0.004</f>
        <v>23197.86</v>
      </c>
      <c r="F23" s="9" t="s">
        <v>13</v>
      </c>
      <c r="G23" s="16">
        <v>0.35</v>
      </c>
      <c r="H23" s="17">
        <f>-(F24*0.35)</f>
        <v>-423131.63135294116</v>
      </c>
    </row>
    <row r="24" spans="1:8" x14ac:dyDescent="0.25">
      <c r="F24" s="21">
        <f>H19</f>
        <v>1208947.5181512604</v>
      </c>
    </row>
    <row r="25" spans="1:8" x14ac:dyDescent="0.25">
      <c r="A25" t="s">
        <v>9</v>
      </c>
      <c r="B25" s="9" t="s">
        <v>7</v>
      </c>
      <c r="G25" s="13" t="s">
        <v>14</v>
      </c>
      <c r="H25" s="6">
        <f>H19+H21+H23</f>
        <v>748289.93679831934</v>
      </c>
    </row>
    <row r="26" spans="1:8" ht="15.75" thickBot="1" x14ac:dyDescent="0.3">
      <c r="A26" s="38" t="s">
        <v>638</v>
      </c>
      <c r="B26" s="14"/>
      <c r="C26" s="7"/>
    </row>
    <row r="27" spans="1:8" x14ac:dyDescent="0.25">
      <c r="E27" t="s">
        <v>100</v>
      </c>
      <c r="H27" s="20">
        <f>H25*0.4</f>
        <v>299315.97471932776</v>
      </c>
    </row>
    <row r="28" spans="1:8" ht="15.75" x14ac:dyDescent="0.25">
      <c r="A28" t="s">
        <v>10</v>
      </c>
      <c r="C28" s="10">
        <f>C19-C21-C23-C25</f>
        <v>1208947.5181512604</v>
      </c>
      <c r="H28" s="18"/>
    </row>
    <row r="29" spans="1:8" x14ac:dyDescent="0.25">
      <c r="H29" s="3"/>
    </row>
    <row r="30" spans="1:8" x14ac:dyDescent="0.25">
      <c r="H30" s="18"/>
    </row>
  </sheetData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3B1DC-3053-4A23-9401-81A27F499394}">
  <dimension ref="A1:H30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652</v>
      </c>
    </row>
    <row r="3" spans="1:8" ht="21" x14ac:dyDescent="0.35">
      <c r="A3" s="2" t="s">
        <v>1</v>
      </c>
      <c r="D3" s="11">
        <v>327500</v>
      </c>
      <c r="F3" s="12" t="s">
        <v>3</v>
      </c>
      <c r="H3" s="11">
        <f>(D3/1.19)*0.19</f>
        <v>52289.915966386558</v>
      </c>
    </row>
    <row r="4" spans="1:8" x14ac:dyDescent="0.25">
      <c r="A4" s="13" t="s">
        <v>29</v>
      </c>
      <c r="C4" s="28">
        <v>939</v>
      </c>
    </row>
    <row r="5" spans="1:8" ht="21" x14ac:dyDescent="0.35">
      <c r="A5" s="2" t="s">
        <v>2</v>
      </c>
    </row>
    <row r="7" spans="1:8" ht="18.75" x14ac:dyDescent="0.3">
      <c r="A7" s="5"/>
      <c r="D7" s="4"/>
      <c r="H7" s="4"/>
    </row>
    <row r="8" spans="1:8" ht="18.75" x14ac:dyDescent="0.3">
      <c r="A8" s="5"/>
      <c r="D8" s="4"/>
      <c r="H8" s="4"/>
    </row>
    <row r="9" spans="1:8" ht="18.75" x14ac:dyDescent="0.3">
      <c r="A9" s="5"/>
      <c r="B9" s="5"/>
      <c r="C9" s="5"/>
      <c r="D9" s="4"/>
      <c r="H9" s="4"/>
    </row>
    <row r="10" spans="1:8" ht="18.75" x14ac:dyDescent="0.3">
      <c r="A10" s="5" t="s">
        <v>514</v>
      </c>
      <c r="B10" s="5"/>
      <c r="C10" s="5"/>
      <c r="D10" s="4">
        <v>212750</v>
      </c>
      <c r="H10" s="4">
        <f t="shared" ref="H10" si="0">(D10/1.19)*0.19</f>
        <v>33968.487394957985</v>
      </c>
    </row>
    <row r="11" spans="1:8" ht="18.75" x14ac:dyDescent="0.3">
      <c r="A11" s="5"/>
      <c r="B11" s="5"/>
      <c r="C11" s="5"/>
      <c r="D11" s="4"/>
      <c r="H11" s="4"/>
    </row>
    <row r="12" spans="1:8" ht="18.75" x14ac:dyDescent="0.3">
      <c r="A12" s="5"/>
      <c r="B12" s="5"/>
      <c r="C12" s="5"/>
      <c r="D12" s="4"/>
      <c r="H12" s="4"/>
    </row>
    <row r="13" spans="1:8" ht="19.5" thickBot="1" x14ac:dyDescent="0.35">
      <c r="A13" s="5"/>
      <c r="B13" s="5"/>
      <c r="C13" s="5"/>
      <c r="D13" s="35"/>
      <c r="E13" s="27"/>
      <c r="H13" s="35"/>
    </row>
    <row r="14" spans="1:8" ht="19.5" thickTop="1" x14ac:dyDescent="0.3">
      <c r="D14" s="4">
        <f>SUM(D7:D13)</f>
        <v>212750</v>
      </c>
      <c r="H14" s="33">
        <f>SUM(H7:H13)</f>
        <v>33968.487394957985</v>
      </c>
    </row>
    <row r="16" spans="1:8" ht="18.75" x14ac:dyDescent="0.3">
      <c r="C16" t="s">
        <v>4</v>
      </c>
      <c r="D16" s="4">
        <f>D3-D14</f>
        <v>114750</v>
      </c>
      <c r="G16" t="s">
        <v>5</v>
      </c>
      <c r="H16" s="4">
        <f>H3-H14</f>
        <v>18321.428571428572</v>
      </c>
    </row>
    <row r="18" spans="1:8" x14ac:dyDescent="0.25">
      <c r="G18" t="s">
        <v>454</v>
      </c>
    </row>
    <row r="19" spans="1:8" ht="15.75" x14ac:dyDescent="0.25">
      <c r="A19" t="s">
        <v>6</v>
      </c>
      <c r="C19" s="8">
        <f>D16</f>
        <v>114750</v>
      </c>
      <c r="E19" t="s">
        <v>10</v>
      </c>
      <c r="H19" s="6">
        <f>C28</f>
        <v>95118.57142857142</v>
      </c>
    </row>
    <row r="21" spans="1:8" ht="15.75" x14ac:dyDescent="0.25">
      <c r="A21" t="s">
        <v>5</v>
      </c>
      <c r="B21" s="9" t="s">
        <v>7</v>
      </c>
      <c r="C21" s="8">
        <f>H16</f>
        <v>18321.428571428572</v>
      </c>
      <c r="E21" s="13" t="s">
        <v>11</v>
      </c>
      <c r="F21" s="9" t="s">
        <v>12</v>
      </c>
      <c r="G21" s="15" t="s">
        <v>17</v>
      </c>
      <c r="H21" s="3">
        <f>-(F22*0.0077)</f>
        <v>-2119.1176470588234</v>
      </c>
    </row>
    <row r="22" spans="1:8" x14ac:dyDescent="0.25">
      <c r="F22" s="21">
        <f>D3-H3</f>
        <v>275210.08403361344</v>
      </c>
    </row>
    <row r="23" spans="1:8" ht="16.5" thickBot="1" x14ac:dyDescent="0.3">
      <c r="A23" t="s">
        <v>8</v>
      </c>
      <c r="B23" s="9" t="s">
        <v>7</v>
      </c>
      <c r="C23" s="8">
        <f>D3*0.004</f>
        <v>1310</v>
      </c>
      <c r="F23" s="9" t="s">
        <v>13</v>
      </c>
      <c r="G23" s="16">
        <v>0.35</v>
      </c>
      <c r="H23" s="17">
        <f>-(F24*0.35)</f>
        <v>-33291.499999999993</v>
      </c>
    </row>
    <row r="24" spans="1:8" x14ac:dyDescent="0.25">
      <c r="F24" s="21">
        <f>H19</f>
        <v>95118.57142857142</v>
      </c>
    </row>
    <row r="25" spans="1:8" x14ac:dyDescent="0.25">
      <c r="A25" t="s">
        <v>9</v>
      </c>
      <c r="B25" s="9" t="s">
        <v>7</v>
      </c>
      <c r="G25" s="13" t="s">
        <v>14</v>
      </c>
      <c r="H25" s="6">
        <f>H19+H21+H23</f>
        <v>59707.953781512602</v>
      </c>
    </row>
    <row r="26" spans="1:8" ht="15.75" thickBot="1" x14ac:dyDescent="0.3">
      <c r="A26" s="38" t="s">
        <v>638</v>
      </c>
      <c r="B26" s="14"/>
      <c r="C26" s="7"/>
    </row>
    <row r="27" spans="1:8" x14ac:dyDescent="0.25">
      <c r="E27" t="s">
        <v>100</v>
      </c>
      <c r="H27" s="20">
        <f>H25*0.4</f>
        <v>23883.181512605042</v>
      </c>
    </row>
    <row r="28" spans="1:8" ht="15.75" x14ac:dyDescent="0.25">
      <c r="A28" t="s">
        <v>10</v>
      </c>
      <c r="C28" s="10">
        <f>C19-C21-C23-C25</f>
        <v>95118.57142857142</v>
      </c>
      <c r="H28" s="18"/>
    </row>
    <row r="29" spans="1:8" x14ac:dyDescent="0.25">
      <c r="H29" s="3"/>
    </row>
    <row r="30" spans="1:8" x14ac:dyDescent="0.25">
      <c r="H30" s="18"/>
    </row>
  </sheetData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B53CB-0CE0-4F1E-879D-A47054828BDE}">
  <dimension ref="A1:H30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653</v>
      </c>
    </row>
    <row r="3" spans="1:8" ht="21" x14ac:dyDescent="0.35">
      <c r="A3" s="2" t="s">
        <v>1</v>
      </c>
      <c r="D3" s="11">
        <v>92344</v>
      </c>
      <c r="F3" s="12" t="s">
        <v>3</v>
      </c>
      <c r="H3" s="11">
        <f>(D3/1.19)*0.19</f>
        <v>14744</v>
      </c>
    </row>
    <row r="4" spans="1:8" x14ac:dyDescent="0.25">
      <c r="A4" s="13" t="s">
        <v>29</v>
      </c>
      <c r="C4" s="28">
        <v>940</v>
      </c>
    </row>
    <row r="5" spans="1:8" ht="21" x14ac:dyDescent="0.35">
      <c r="A5" s="2" t="s">
        <v>2</v>
      </c>
    </row>
    <row r="7" spans="1:8" ht="18.75" x14ac:dyDescent="0.3">
      <c r="A7" s="5"/>
      <c r="D7" s="4"/>
      <c r="H7" s="4"/>
    </row>
    <row r="8" spans="1:8" ht="18.75" x14ac:dyDescent="0.3">
      <c r="A8" s="5"/>
      <c r="D8" s="4"/>
      <c r="H8" s="4"/>
    </row>
    <row r="9" spans="1:8" ht="18.75" x14ac:dyDescent="0.3">
      <c r="A9" s="5"/>
      <c r="B9" s="5"/>
      <c r="C9" s="5"/>
      <c r="D9" s="4"/>
      <c r="H9" s="4"/>
    </row>
    <row r="10" spans="1:8" ht="18.75" x14ac:dyDescent="0.3">
      <c r="A10" s="5" t="s">
        <v>581</v>
      </c>
      <c r="B10" s="5"/>
      <c r="C10" s="5"/>
      <c r="D10" s="4">
        <v>26500</v>
      </c>
      <c r="H10" s="4">
        <f t="shared" ref="H10:H12" si="0">(D10/1.19)*0.19</f>
        <v>4231.09243697479</v>
      </c>
    </row>
    <row r="11" spans="1:8" ht="18.75" x14ac:dyDescent="0.3">
      <c r="A11" s="5" t="s">
        <v>654</v>
      </c>
      <c r="B11" s="5"/>
      <c r="C11" s="5"/>
      <c r="D11" s="4">
        <v>10955</v>
      </c>
      <c r="H11" s="4">
        <f t="shared" si="0"/>
        <v>1749.1176470588236</v>
      </c>
    </row>
    <row r="12" spans="1:8" ht="18.75" x14ac:dyDescent="0.3">
      <c r="A12" s="5" t="s">
        <v>608</v>
      </c>
      <c r="B12" s="5"/>
      <c r="C12" s="5"/>
      <c r="D12" s="4">
        <v>39767</v>
      </c>
      <c r="H12" s="4">
        <f t="shared" si="0"/>
        <v>6349.3529411764712</v>
      </c>
    </row>
    <row r="13" spans="1:8" ht="19.5" thickBot="1" x14ac:dyDescent="0.35">
      <c r="A13" s="5"/>
      <c r="B13" s="5"/>
      <c r="C13" s="5"/>
      <c r="D13" s="35"/>
      <c r="E13" s="27"/>
      <c r="H13" s="35"/>
    </row>
    <row r="14" spans="1:8" ht="19.5" thickTop="1" x14ac:dyDescent="0.3">
      <c r="D14" s="4">
        <f>SUM(D7:D13)</f>
        <v>77222</v>
      </c>
      <c r="H14" s="33">
        <f>SUM(H7:H13)</f>
        <v>12329.563025210085</v>
      </c>
    </row>
    <row r="16" spans="1:8" ht="18.75" x14ac:dyDescent="0.3">
      <c r="C16" t="s">
        <v>4</v>
      </c>
      <c r="D16" s="4">
        <f>D3-D14</f>
        <v>15122</v>
      </c>
      <c r="G16" t="s">
        <v>5</v>
      </c>
      <c r="H16" s="4">
        <f>H3-H14</f>
        <v>2414.4369747899145</v>
      </c>
    </row>
    <row r="18" spans="1:8" x14ac:dyDescent="0.25">
      <c r="G18" t="s">
        <v>454</v>
      </c>
    </row>
    <row r="19" spans="1:8" ht="15.75" x14ac:dyDescent="0.25">
      <c r="A19" t="s">
        <v>6</v>
      </c>
      <c r="C19" s="8">
        <f>D16</f>
        <v>15122</v>
      </c>
      <c r="E19" t="s">
        <v>10</v>
      </c>
      <c r="H19" s="6">
        <f>C28</f>
        <v>12338.187025210085</v>
      </c>
    </row>
    <row r="21" spans="1:8" ht="15.75" x14ac:dyDescent="0.25">
      <c r="A21" t="s">
        <v>5</v>
      </c>
      <c r="B21" s="9" t="s">
        <v>7</v>
      </c>
      <c r="C21" s="8">
        <f>H16</f>
        <v>2414.4369747899145</v>
      </c>
      <c r="E21" s="13" t="s">
        <v>11</v>
      </c>
      <c r="F21" s="9" t="s">
        <v>12</v>
      </c>
      <c r="G21" s="15" t="s">
        <v>17</v>
      </c>
      <c r="H21" s="3">
        <f>-(F22*0.0077)</f>
        <v>-597.52</v>
      </c>
    </row>
    <row r="22" spans="1:8" x14ac:dyDescent="0.25">
      <c r="F22" s="21">
        <f>D3-H3</f>
        <v>77600</v>
      </c>
    </row>
    <row r="23" spans="1:8" ht="16.5" thickBot="1" x14ac:dyDescent="0.3">
      <c r="A23" t="s">
        <v>8</v>
      </c>
      <c r="B23" s="9" t="s">
        <v>7</v>
      </c>
      <c r="C23" s="8">
        <f>D3*0.004</f>
        <v>369.37600000000003</v>
      </c>
      <c r="F23" s="9" t="s">
        <v>13</v>
      </c>
      <c r="G23" s="16">
        <v>0.35</v>
      </c>
      <c r="H23" s="17">
        <f>-(F24*0.35)</f>
        <v>-4318.3654588235295</v>
      </c>
    </row>
    <row r="24" spans="1:8" x14ac:dyDescent="0.25">
      <c r="F24" s="21">
        <f>H19</f>
        <v>12338.187025210085</v>
      </c>
    </row>
    <row r="25" spans="1:8" x14ac:dyDescent="0.25">
      <c r="A25" t="s">
        <v>9</v>
      </c>
      <c r="B25" s="9" t="s">
        <v>7</v>
      </c>
      <c r="G25" s="13" t="s">
        <v>14</v>
      </c>
      <c r="H25" s="6">
        <f>H19+H21+H23</f>
        <v>7422.3015663865554</v>
      </c>
    </row>
    <row r="26" spans="1:8" ht="15.75" thickBot="1" x14ac:dyDescent="0.3">
      <c r="A26" s="38" t="s">
        <v>638</v>
      </c>
      <c r="B26" s="14"/>
      <c r="C26" s="7"/>
    </row>
    <row r="27" spans="1:8" x14ac:dyDescent="0.25">
      <c r="E27" t="s">
        <v>100</v>
      </c>
      <c r="H27" s="20">
        <f>H25*0.4</f>
        <v>2968.9206265546222</v>
      </c>
    </row>
    <row r="28" spans="1:8" ht="15.75" x14ac:dyDescent="0.25">
      <c r="A28" t="s">
        <v>10</v>
      </c>
      <c r="C28" s="10">
        <f>C19-C21-C23-C25</f>
        <v>12338.187025210085</v>
      </c>
      <c r="H28" s="18"/>
    </row>
    <row r="29" spans="1:8" x14ac:dyDescent="0.25">
      <c r="H29" s="3"/>
    </row>
    <row r="30" spans="1:8" x14ac:dyDescent="0.25">
      <c r="H30" s="18"/>
    </row>
  </sheetData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A6859-771B-4285-9D9A-03DEF21FB980}">
  <dimension ref="A1:H30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655</v>
      </c>
    </row>
    <row r="3" spans="1:8" ht="21" x14ac:dyDescent="0.35">
      <c r="A3" s="2" t="s">
        <v>1</v>
      </c>
      <c r="D3" s="11">
        <v>212415</v>
      </c>
      <c r="F3" s="12" t="s">
        <v>3</v>
      </c>
      <c r="H3" s="11">
        <f>(D3/1.19)*0.19</f>
        <v>33915</v>
      </c>
    </row>
    <row r="4" spans="1:8" x14ac:dyDescent="0.25">
      <c r="A4" s="13" t="s">
        <v>29</v>
      </c>
      <c r="C4" s="28">
        <v>941</v>
      </c>
    </row>
    <row r="5" spans="1:8" ht="21" x14ac:dyDescent="0.35">
      <c r="A5" s="2" t="s">
        <v>2</v>
      </c>
    </row>
    <row r="7" spans="1:8" ht="18.75" x14ac:dyDescent="0.3">
      <c r="A7" s="5"/>
      <c r="D7" s="4"/>
      <c r="H7" s="4"/>
    </row>
    <row r="8" spans="1:8" ht="18.75" x14ac:dyDescent="0.3">
      <c r="A8" s="5"/>
      <c r="D8" s="4"/>
      <c r="H8" s="4"/>
    </row>
    <row r="9" spans="1:8" ht="18.75" x14ac:dyDescent="0.3">
      <c r="A9" s="5"/>
      <c r="B9" s="5"/>
      <c r="C9" s="5"/>
      <c r="D9" s="4"/>
      <c r="H9" s="4"/>
    </row>
    <row r="10" spans="1:8" ht="18.75" x14ac:dyDescent="0.3">
      <c r="A10" s="5" t="s">
        <v>519</v>
      </c>
      <c r="B10" s="5"/>
      <c r="C10" s="5"/>
      <c r="D10" s="4">
        <v>124950</v>
      </c>
      <c r="H10" s="4">
        <f t="shared" ref="H10:H12" si="0">(D10/1.19)*0.19</f>
        <v>19950</v>
      </c>
    </row>
    <row r="11" spans="1:8" ht="18.75" x14ac:dyDescent="0.3">
      <c r="A11" s="5" t="s">
        <v>488</v>
      </c>
      <c r="B11" s="5"/>
      <c r="C11" s="5"/>
      <c r="D11" s="4">
        <v>24990</v>
      </c>
      <c r="H11" s="4">
        <f t="shared" si="0"/>
        <v>3990</v>
      </c>
    </row>
    <row r="12" spans="1:8" ht="18.75" x14ac:dyDescent="0.3">
      <c r="A12" s="5"/>
      <c r="B12" s="5"/>
      <c r="C12" s="5"/>
      <c r="D12" s="4"/>
      <c r="H12" s="4">
        <f t="shared" si="0"/>
        <v>0</v>
      </c>
    </row>
    <row r="13" spans="1:8" ht="19.5" thickBot="1" x14ac:dyDescent="0.35">
      <c r="A13" s="5"/>
      <c r="B13" s="5"/>
      <c r="C13" s="5"/>
      <c r="D13" s="35"/>
      <c r="E13" s="27"/>
      <c r="H13" s="35"/>
    </row>
    <row r="14" spans="1:8" ht="19.5" thickTop="1" x14ac:dyDescent="0.3">
      <c r="D14" s="4">
        <f>SUM(D7:D13)</f>
        <v>149940</v>
      </c>
      <c r="H14" s="33">
        <f>SUM(H7:H13)</f>
        <v>23940</v>
      </c>
    </row>
    <row r="16" spans="1:8" ht="18.75" x14ac:dyDescent="0.3">
      <c r="C16" t="s">
        <v>4</v>
      </c>
      <c r="D16" s="4">
        <f>D3-D14</f>
        <v>62475</v>
      </c>
      <c r="G16" t="s">
        <v>5</v>
      </c>
      <c r="H16" s="4">
        <f>H3-H14</f>
        <v>9975</v>
      </c>
    </row>
    <row r="18" spans="1:8" x14ac:dyDescent="0.25">
      <c r="G18" t="s">
        <v>454</v>
      </c>
    </row>
    <row r="19" spans="1:8" ht="15.75" x14ac:dyDescent="0.25">
      <c r="A19" t="s">
        <v>6</v>
      </c>
      <c r="C19" s="8">
        <f>D16</f>
        <v>62475</v>
      </c>
      <c r="E19" t="s">
        <v>10</v>
      </c>
      <c r="H19" s="6">
        <f>C28</f>
        <v>51650.34</v>
      </c>
    </row>
    <row r="21" spans="1:8" ht="15.75" x14ac:dyDescent="0.25">
      <c r="A21" t="s">
        <v>5</v>
      </c>
      <c r="B21" s="9" t="s">
        <v>7</v>
      </c>
      <c r="C21" s="8">
        <f>H16</f>
        <v>9975</v>
      </c>
      <c r="E21" s="13" t="s">
        <v>11</v>
      </c>
      <c r="F21" s="9" t="s">
        <v>12</v>
      </c>
      <c r="G21" s="15" t="s">
        <v>17</v>
      </c>
      <c r="H21" s="3">
        <f>-(F22*0.0077)</f>
        <v>-1374.45</v>
      </c>
    </row>
    <row r="22" spans="1:8" x14ac:dyDescent="0.25">
      <c r="F22" s="21">
        <f>D3-H3</f>
        <v>178500</v>
      </c>
    </row>
    <row r="23" spans="1:8" ht="16.5" thickBot="1" x14ac:dyDescent="0.3">
      <c r="A23" t="s">
        <v>8</v>
      </c>
      <c r="B23" s="9" t="s">
        <v>7</v>
      </c>
      <c r="C23" s="8">
        <f>D3*0.004</f>
        <v>849.66</v>
      </c>
      <c r="F23" s="9" t="s">
        <v>13</v>
      </c>
      <c r="G23" s="16">
        <v>0.35</v>
      </c>
      <c r="H23" s="17">
        <f>-(F24*0.35)</f>
        <v>-18077.618999999999</v>
      </c>
    </row>
    <row r="24" spans="1:8" x14ac:dyDescent="0.25">
      <c r="F24" s="21">
        <f>H19</f>
        <v>51650.34</v>
      </c>
    </row>
    <row r="25" spans="1:8" x14ac:dyDescent="0.25">
      <c r="A25" t="s">
        <v>9</v>
      </c>
      <c r="B25" s="9" t="s">
        <v>7</v>
      </c>
      <c r="G25" s="13" t="s">
        <v>14</v>
      </c>
      <c r="H25" s="6">
        <f>H19+H21+H23</f>
        <v>32198.271000000001</v>
      </c>
    </row>
    <row r="26" spans="1:8" ht="15.75" thickBot="1" x14ac:dyDescent="0.3">
      <c r="A26" s="38" t="s">
        <v>638</v>
      </c>
      <c r="B26" s="14"/>
      <c r="C26" s="7"/>
    </row>
    <row r="27" spans="1:8" x14ac:dyDescent="0.25">
      <c r="E27" t="s">
        <v>100</v>
      </c>
      <c r="H27" s="20">
        <f>H25*0.4</f>
        <v>12879.308400000002</v>
      </c>
    </row>
    <row r="28" spans="1:8" ht="15.75" x14ac:dyDescent="0.25">
      <c r="A28" t="s">
        <v>10</v>
      </c>
      <c r="C28" s="10">
        <f>C19-C21-C23-C25</f>
        <v>51650.34</v>
      </c>
      <c r="H28" s="18"/>
    </row>
    <row r="29" spans="1:8" x14ac:dyDescent="0.25">
      <c r="H29" s="3"/>
    </row>
    <row r="30" spans="1:8" x14ac:dyDescent="0.25">
      <c r="H30" s="18"/>
    </row>
  </sheetData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866BF-EE94-4975-9E19-8A8EA798E882}">
  <dimension ref="A1:H30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656</v>
      </c>
    </row>
    <row r="3" spans="1:8" ht="21" x14ac:dyDescent="0.35">
      <c r="A3" s="2" t="s">
        <v>1</v>
      </c>
      <c r="D3" s="11">
        <v>396270</v>
      </c>
      <c r="F3" s="12" t="s">
        <v>3</v>
      </c>
      <c r="H3" s="11">
        <f>(D3/1.19)*0.19</f>
        <v>63270</v>
      </c>
    </row>
    <row r="4" spans="1:8" x14ac:dyDescent="0.25">
      <c r="A4" s="13" t="s">
        <v>29</v>
      </c>
      <c r="C4" s="28">
        <v>942</v>
      </c>
    </row>
    <row r="5" spans="1:8" ht="21" x14ac:dyDescent="0.35">
      <c r="A5" s="2" t="s">
        <v>2</v>
      </c>
    </row>
    <row r="7" spans="1:8" ht="18.75" x14ac:dyDescent="0.3">
      <c r="A7" s="5"/>
      <c r="D7" s="4"/>
      <c r="H7" s="4"/>
    </row>
    <row r="8" spans="1:8" ht="18.75" x14ac:dyDescent="0.3">
      <c r="A8" s="5"/>
      <c r="D8" s="4"/>
      <c r="H8" s="4"/>
    </row>
    <row r="9" spans="1:8" ht="18.75" x14ac:dyDescent="0.3">
      <c r="A9" s="5"/>
      <c r="B9" s="5"/>
      <c r="C9" s="5"/>
      <c r="D9" s="4"/>
      <c r="H9" s="4"/>
    </row>
    <row r="10" spans="1:8" ht="18.75" x14ac:dyDescent="0.3">
      <c r="A10" s="5" t="s">
        <v>657</v>
      </c>
      <c r="B10" s="5"/>
      <c r="C10" s="5"/>
      <c r="D10" s="4">
        <v>250000</v>
      </c>
      <c r="H10" s="4">
        <v>0</v>
      </c>
    </row>
    <row r="11" spans="1:8" ht="18.75" x14ac:dyDescent="0.3">
      <c r="A11" s="5"/>
      <c r="B11" s="5"/>
      <c r="C11" s="5"/>
      <c r="D11" s="4"/>
      <c r="H11" s="4">
        <f t="shared" ref="H11:H12" si="0">(D11/1.19)*0.19</f>
        <v>0</v>
      </c>
    </row>
    <row r="12" spans="1:8" ht="18.75" x14ac:dyDescent="0.3">
      <c r="A12" s="5"/>
      <c r="B12" s="5"/>
      <c r="C12" s="5"/>
      <c r="D12" s="4"/>
      <c r="H12" s="4">
        <f t="shared" si="0"/>
        <v>0</v>
      </c>
    </row>
    <row r="13" spans="1:8" ht="19.5" thickBot="1" x14ac:dyDescent="0.35">
      <c r="A13" s="5"/>
      <c r="B13" s="5"/>
      <c r="C13" s="5"/>
      <c r="D13" s="35"/>
      <c r="E13" s="27"/>
      <c r="H13" s="35"/>
    </row>
    <row r="14" spans="1:8" ht="19.5" thickTop="1" x14ac:dyDescent="0.3">
      <c r="D14" s="4">
        <f>SUM(D7:D13)</f>
        <v>250000</v>
      </c>
      <c r="H14" s="33">
        <f>SUM(H7:H13)</f>
        <v>0</v>
      </c>
    </row>
    <row r="16" spans="1:8" ht="18.75" x14ac:dyDescent="0.3">
      <c r="C16" t="s">
        <v>4</v>
      </c>
      <c r="D16" s="4">
        <f>D3-D14</f>
        <v>146270</v>
      </c>
      <c r="G16" t="s">
        <v>5</v>
      </c>
      <c r="H16" s="4">
        <f>H3-H14</f>
        <v>63270</v>
      </c>
    </row>
    <row r="18" spans="1:8" x14ac:dyDescent="0.25">
      <c r="G18" t="s">
        <v>454</v>
      </c>
    </row>
    <row r="19" spans="1:8" ht="15.75" x14ac:dyDescent="0.25">
      <c r="A19" t="s">
        <v>6</v>
      </c>
      <c r="C19" s="8">
        <f>D16</f>
        <v>146270</v>
      </c>
      <c r="E19" t="s">
        <v>10</v>
      </c>
      <c r="H19" s="6">
        <f>C28</f>
        <v>81414.92</v>
      </c>
    </row>
    <row r="21" spans="1:8" ht="15.75" x14ac:dyDescent="0.25">
      <c r="A21" t="s">
        <v>5</v>
      </c>
      <c r="B21" s="9" t="s">
        <v>7</v>
      </c>
      <c r="C21" s="8">
        <f>H16</f>
        <v>63270</v>
      </c>
      <c r="E21" s="13" t="s">
        <v>11</v>
      </c>
      <c r="F21" s="9" t="s">
        <v>12</v>
      </c>
      <c r="G21" s="15" t="s">
        <v>17</v>
      </c>
      <c r="H21" s="3">
        <f>-(F22*0.0077)</f>
        <v>-2564.1</v>
      </c>
    </row>
    <row r="22" spans="1:8" x14ac:dyDescent="0.25">
      <c r="F22" s="21">
        <f>D3-H3</f>
        <v>333000</v>
      </c>
    </row>
    <row r="23" spans="1:8" ht="16.5" thickBot="1" x14ac:dyDescent="0.3">
      <c r="A23" t="s">
        <v>8</v>
      </c>
      <c r="B23" s="9" t="s">
        <v>7</v>
      </c>
      <c r="C23" s="8">
        <f>D3*0.004</f>
        <v>1585.08</v>
      </c>
      <c r="F23" s="9" t="s">
        <v>13</v>
      </c>
      <c r="G23" s="16">
        <v>0.35</v>
      </c>
      <c r="H23" s="17">
        <f>-(F24*0.35)</f>
        <v>-28495.221999999998</v>
      </c>
    </row>
    <row r="24" spans="1:8" x14ac:dyDescent="0.25">
      <c r="F24" s="21">
        <f>H19</f>
        <v>81414.92</v>
      </c>
    </row>
    <row r="25" spans="1:8" x14ac:dyDescent="0.25">
      <c r="A25" t="s">
        <v>9</v>
      </c>
      <c r="B25" s="9" t="s">
        <v>7</v>
      </c>
      <c r="G25" s="13" t="s">
        <v>14</v>
      </c>
      <c r="H25" s="6">
        <f>H19+H21+H23</f>
        <v>50355.597999999998</v>
      </c>
    </row>
    <row r="26" spans="1:8" ht="15.75" thickBot="1" x14ac:dyDescent="0.3">
      <c r="A26" s="38" t="s">
        <v>638</v>
      </c>
      <c r="B26" s="14"/>
      <c r="C26" s="7"/>
    </row>
    <row r="27" spans="1:8" x14ac:dyDescent="0.25">
      <c r="E27" t="s">
        <v>100</v>
      </c>
      <c r="H27" s="20">
        <f>H25*0.4</f>
        <v>20142.2392</v>
      </c>
    </row>
    <row r="28" spans="1:8" ht="15.75" x14ac:dyDescent="0.25">
      <c r="A28" t="s">
        <v>10</v>
      </c>
      <c r="C28" s="10">
        <f>C19-C21-C23-C25</f>
        <v>81414.92</v>
      </c>
      <c r="H28" s="18"/>
    </row>
    <row r="29" spans="1:8" x14ac:dyDescent="0.25">
      <c r="H29" s="3"/>
    </row>
    <row r="30" spans="1:8" x14ac:dyDescent="0.25">
      <c r="H30" s="18"/>
    </row>
  </sheetData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6E376-4B0D-4E9C-8C18-D814D2F0B743}">
  <dimension ref="A1:H30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658</v>
      </c>
    </row>
    <row r="3" spans="1:8" ht="21" x14ac:dyDescent="0.35">
      <c r="A3" s="2" t="s">
        <v>1</v>
      </c>
      <c r="D3" s="11">
        <v>339507</v>
      </c>
      <c r="F3" s="12" t="s">
        <v>3</v>
      </c>
      <c r="H3" s="11">
        <f>(D3/1.19)*0.19</f>
        <v>54207</v>
      </c>
    </row>
    <row r="4" spans="1:8" x14ac:dyDescent="0.25">
      <c r="A4" s="13" t="s">
        <v>29</v>
      </c>
      <c r="C4" s="28">
        <v>944</v>
      </c>
    </row>
    <row r="5" spans="1:8" ht="21" x14ac:dyDescent="0.35">
      <c r="A5" s="2" t="s">
        <v>2</v>
      </c>
    </row>
    <row r="7" spans="1:8" ht="18.75" x14ac:dyDescent="0.3">
      <c r="A7" s="5"/>
      <c r="D7" s="4"/>
      <c r="H7" s="4"/>
    </row>
    <row r="8" spans="1:8" ht="18.75" x14ac:dyDescent="0.3">
      <c r="A8" s="5"/>
      <c r="D8" s="4"/>
      <c r="H8" s="4"/>
    </row>
    <row r="9" spans="1:8" ht="18.75" x14ac:dyDescent="0.3">
      <c r="A9" s="5"/>
      <c r="B9" s="5"/>
      <c r="C9" s="5"/>
      <c r="D9" s="4"/>
      <c r="H9" s="4"/>
    </row>
    <row r="10" spans="1:8" ht="18.75" x14ac:dyDescent="0.3">
      <c r="A10" s="5" t="s">
        <v>623</v>
      </c>
      <c r="B10" s="5"/>
      <c r="C10" s="5"/>
      <c r="D10" s="4">
        <v>15600</v>
      </c>
      <c r="H10" s="4">
        <f>(D10/1.19)*0.19</f>
        <v>2490.7563025210088</v>
      </c>
    </row>
    <row r="11" spans="1:8" ht="18.75" x14ac:dyDescent="0.3">
      <c r="A11" s="5" t="s">
        <v>560</v>
      </c>
      <c r="B11" s="5"/>
      <c r="C11" s="5"/>
      <c r="D11" s="4">
        <v>189700</v>
      </c>
      <c r="H11" s="4">
        <f t="shared" ref="H11:H12" si="0">(D11/1.19)*0.19</f>
        <v>30288.235294117647</v>
      </c>
    </row>
    <row r="12" spans="1:8" ht="18.75" x14ac:dyDescent="0.3">
      <c r="A12" s="5" t="s">
        <v>167</v>
      </c>
      <c r="B12" s="5"/>
      <c r="C12" s="5"/>
      <c r="D12" s="4">
        <v>7445</v>
      </c>
      <c r="H12" s="4">
        <f t="shared" si="0"/>
        <v>1188.6974789915967</v>
      </c>
    </row>
    <row r="13" spans="1:8" ht="19.5" thickBot="1" x14ac:dyDescent="0.35">
      <c r="A13" s="5"/>
      <c r="B13" s="5"/>
      <c r="C13" s="5"/>
      <c r="D13" s="35"/>
      <c r="E13" s="27"/>
      <c r="H13" s="35"/>
    </row>
    <row r="14" spans="1:8" ht="19.5" thickTop="1" x14ac:dyDescent="0.3">
      <c r="D14" s="4">
        <f>SUM(D7:D13)</f>
        <v>212745</v>
      </c>
      <c r="H14" s="33">
        <f>SUM(H7:H13)</f>
        <v>33967.689075630253</v>
      </c>
    </row>
    <row r="16" spans="1:8" ht="18.75" x14ac:dyDescent="0.3">
      <c r="C16" t="s">
        <v>4</v>
      </c>
      <c r="D16" s="4">
        <f>D3-D14</f>
        <v>126762</v>
      </c>
      <c r="G16" t="s">
        <v>5</v>
      </c>
      <c r="H16" s="4">
        <f>H3-H14</f>
        <v>20239.310924369747</v>
      </c>
    </row>
    <row r="18" spans="1:8" x14ac:dyDescent="0.25">
      <c r="G18" t="s">
        <v>454</v>
      </c>
    </row>
    <row r="19" spans="1:8" ht="15.75" x14ac:dyDescent="0.25">
      <c r="A19" t="s">
        <v>6</v>
      </c>
      <c r="C19" s="8">
        <f>D16</f>
        <v>126762</v>
      </c>
      <c r="E19" t="s">
        <v>10</v>
      </c>
      <c r="H19" s="6">
        <f>C28</f>
        <v>105164.66107563024</v>
      </c>
    </row>
    <row r="21" spans="1:8" ht="15.75" x14ac:dyDescent="0.25">
      <c r="A21" t="s">
        <v>5</v>
      </c>
      <c r="B21" s="9" t="s">
        <v>7</v>
      </c>
      <c r="C21" s="8">
        <f>H16</f>
        <v>20239.310924369747</v>
      </c>
      <c r="E21" s="13" t="s">
        <v>11</v>
      </c>
      <c r="F21" s="9" t="s">
        <v>12</v>
      </c>
      <c r="G21" s="15" t="s">
        <v>17</v>
      </c>
      <c r="H21" s="3">
        <f>-(F22*0.0077)</f>
        <v>-2196.81</v>
      </c>
    </row>
    <row r="22" spans="1:8" x14ac:dyDescent="0.25">
      <c r="F22" s="21">
        <f>D3-H3</f>
        <v>285300</v>
      </c>
    </row>
    <row r="23" spans="1:8" ht="16.5" thickBot="1" x14ac:dyDescent="0.3">
      <c r="A23" t="s">
        <v>8</v>
      </c>
      <c r="B23" s="9" t="s">
        <v>7</v>
      </c>
      <c r="C23" s="8">
        <f>D3*0.004</f>
        <v>1358.028</v>
      </c>
      <c r="F23" s="9" t="s">
        <v>13</v>
      </c>
      <c r="G23" s="16">
        <v>0.35</v>
      </c>
      <c r="H23" s="17">
        <f>-(F24*0.35)</f>
        <v>-36807.631376470585</v>
      </c>
    </row>
    <row r="24" spans="1:8" x14ac:dyDescent="0.25">
      <c r="F24" s="21">
        <f>H19</f>
        <v>105164.66107563024</v>
      </c>
    </row>
    <row r="25" spans="1:8" x14ac:dyDescent="0.25">
      <c r="A25" t="s">
        <v>9</v>
      </c>
      <c r="B25" s="9" t="s">
        <v>7</v>
      </c>
      <c r="G25" s="13" t="s">
        <v>14</v>
      </c>
      <c r="H25" s="6">
        <f>H19+H21+H23</f>
        <v>66160.219699159657</v>
      </c>
    </row>
    <row r="26" spans="1:8" ht="15.75" thickBot="1" x14ac:dyDescent="0.3">
      <c r="A26" s="38" t="s">
        <v>638</v>
      </c>
      <c r="B26" s="14"/>
      <c r="C26" s="7"/>
    </row>
    <row r="27" spans="1:8" x14ac:dyDescent="0.25">
      <c r="E27" t="s">
        <v>100</v>
      </c>
      <c r="H27" s="20">
        <f>H25*0.4</f>
        <v>26464.087879663864</v>
      </c>
    </row>
    <row r="28" spans="1:8" ht="15.75" x14ac:dyDescent="0.25">
      <c r="A28" t="s">
        <v>10</v>
      </c>
      <c r="C28" s="10">
        <f>C19-C21-C23-C25</f>
        <v>105164.66107563024</v>
      </c>
      <c r="H28" s="18"/>
    </row>
    <row r="29" spans="1:8" x14ac:dyDescent="0.25">
      <c r="H29" s="3"/>
    </row>
    <row r="30" spans="1:8" x14ac:dyDescent="0.25">
      <c r="H30" s="18"/>
    </row>
  </sheetData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FC373-E322-410B-B629-A363CD959B84}">
  <dimension ref="A1:H30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659</v>
      </c>
    </row>
    <row r="3" spans="1:8" ht="21" x14ac:dyDescent="0.35">
      <c r="A3" s="2" t="s">
        <v>1</v>
      </c>
      <c r="D3" s="11">
        <v>141372</v>
      </c>
      <c r="F3" s="12" t="s">
        <v>3</v>
      </c>
      <c r="H3" s="11">
        <f>(D3/1.19)*0.19</f>
        <v>22572</v>
      </c>
    </row>
    <row r="4" spans="1:8" x14ac:dyDescent="0.25">
      <c r="A4" s="13" t="s">
        <v>29</v>
      </c>
      <c r="C4" s="28">
        <v>946</v>
      </c>
    </row>
    <row r="5" spans="1:8" ht="21" x14ac:dyDescent="0.35">
      <c r="A5" s="2" t="s">
        <v>2</v>
      </c>
    </row>
    <row r="7" spans="1:8" ht="18.75" x14ac:dyDescent="0.3">
      <c r="A7" s="5"/>
      <c r="D7" s="4"/>
      <c r="H7" s="4"/>
    </row>
    <row r="8" spans="1:8" ht="18.75" x14ac:dyDescent="0.3">
      <c r="A8" s="5"/>
      <c r="D8" s="4"/>
      <c r="H8" s="4"/>
    </row>
    <row r="9" spans="1:8" ht="18.75" x14ac:dyDescent="0.3">
      <c r="A9" s="5"/>
      <c r="B9" s="5"/>
      <c r="C9" s="5"/>
      <c r="D9" s="4"/>
      <c r="H9" s="4"/>
    </row>
    <row r="10" spans="1:8" ht="18.75" x14ac:dyDescent="0.3">
      <c r="A10" s="5"/>
      <c r="B10" s="5"/>
      <c r="C10" s="5"/>
      <c r="D10" s="4"/>
      <c r="H10" s="4">
        <f>(D10/1.19)*0.19</f>
        <v>0</v>
      </c>
    </row>
    <row r="11" spans="1:8" ht="18.75" x14ac:dyDescent="0.3">
      <c r="A11" s="5"/>
      <c r="B11" s="5"/>
      <c r="C11" s="5"/>
      <c r="D11" s="4"/>
      <c r="H11" s="4">
        <f t="shared" ref="H11:H12" si="0">(D11/1.19)*0.19</f>
        <v>0</v>
      </c>
    </row>
    <row r="12" spans="1:8" ht="18.75" x14ac:dyDescent="0.3">
      <c r="A12" s="5" t="s">
        <v>167</v>
      </c>
      <c r="B12" s="5"/>
      <c r="C12" s="5"/>
      <c r="D12" s="4">
        <v>90600</v>
      </c>
      <c r="H12" s="4">
        <f t="shared" si="0"/>
        <v>14465.546218487396</v>
      </c>
    </row>
    <row r="13" spans="1:8" ht="19.5" thickBot="1" x14ac:dyDescent="0.35">
      <c r="A13" s="5"/>
      <c r="B13" s="5"/>
      <c r="C13" s="5"/>
      <c r="D13" s="35"/>
      <c r="E13" s="27"/>
      <c r="H13" s="35"/>
    </row>
    <row r="14" spans="1:8" ht="19.5" thickTop="1" x14ac:dyDescent="0.3">
      <c r="D14" s="4">
        <f>SUM(D7:D13)</f>
        <v>90600</v>
      </c>
      <c r="H14" s="33">
        <f>SUM(H7:H13)</f>
        <v>14465.546218487396</v>
      </c>
    </row>
    <row r="16" spans="1:8" ht="18.75" x14ac:dyDescent="0.3">
      <c r="C16" t="s">
        <v>4</v>
      </c>
      <c r="D16" s="4">
        <f>D3-D14</f>
        <v>50772</v>
      </c>
      <c r="G16" t="s">
        <v>5</v>
      </c>
      <c r="H16" s="4">
        <f>H3-H14</f>
        <v>8106.4537815126041</v>
      </c>
    </row>
    <row r="18" spans="1:8" x14ac:dyDescent="0.25">
      <c r="G18" t="s">
        <v>454</v>
      </c>
    </row>
    <row r="19" spans="1:8" ht="15.75" x14ac:dyDescent="0.25">
      <c r="A19" t="s">
        <v>6</v>
      </c>
      <c r="C19" s="8">
        <f>D16</f>
        <v>50772</v>
      </c>
      <c r="E19" t="s">
        <v>10</v>
      </c>
      <c r="H19" s="6">
        <f>C28</f>
        <v>42100.0582184874</v>
      </c>
    </row>
    <row r="21" spans="1:8" ht="15.75" x14ac:dyDescent="0.25">
      <c r="A21" t="s">
        <v>5</v>
      </c>
      <c r="B21" s="9" t="s">
        <v>7</v>
      </c>
      <c r="C21" s="8">
        <f>H16</f>
        <v>8106.4537815126041</v>
      </c>
      <c r="E21" s="13" t="s">
        <v>11</v>
      </c>
      <c r="F21" s="9" t="s">
        <v>12</v>
      </c>
      <c r="G21" s="15" t="s">
        <v>17</v>
      </c>
      <c r="H21" s="3">
        <f>-(F22*0.0077)</f>
        <v>-914.76</v>
      </c>
    </row>
    <row r="22" spans="1:8" x14ac:dyDescent="0.25">
      <c r="F22" s="21">
        <f>D3-H3</f>
        <v>118800</v>
      </c>
    </row>
    <row r="23" spans="1:8" ht="16.5" thickBot="1" x14ac:dyDescent="0.3">
      <c r="A23" t="s">
        <v>8</v>
      </c>
      <c r="B23" s="9" t="s">
        <v>7</v>
      </c>
      <c r="C23" s="8">
        <f>D3*0.004</f>
        <v>565.48800000000006</v>
      </c>
      <c r="F23" s="9" t="s">
        <v>13</v>
      </c>
      <c r="G23" s="16">
        <v>0.35</v>
      </c>
      <c r="H23" s="17">
        <f>-(F24*0.35)</f>
        <v>-14735.020376470589</v>
      </c>
    </row>
    <row r="24" spans="1:8" x14ac:dyDescent="0.25">
      <c r="F24" s="21">
        <f>H19</f>
        <v>42100.0582184874</v>
      </c>
    </row>
    <row r="25" spans="1:8" x14ac:dyDescent="0.25">
      <c r="A25" t="s">
        <v>9</v>
      </c>
      <c r="B25" s="9" t="s">
        <v>7</v>
      </c>
      <c r="G25" s="13" t="s">
        <v>14</v>
      </c>
      <c r="H25" s="6">
        <f>H19+H21+H23</f>
        <v>26450.277842016811</v>
      </c>
    </row>
    <row r="26" spans="1:8" ht="15.75" thickBot="1" x14ac:dyDescent="0.3">
      <c r="A26" s="38" t="s">
        <v>638</v>
      </c>
      <c r="B26" s="14"/>
      <c r="C26" s="7"/>
    </row>
    <row r="27" spans="1:8" x14ac:dyDescent="0.25">
      <c r="E27" t="s">
        <v>100</v>
      </c>
      <c r="H27" s="20">
        <f>H25*0.4</f>
        <v>10580.111136806725</v>
      </c>
    </row>
    <row r="28" spans="1:8" ht="15.75" x14ac:dyDescent="0.25">
      <c r="A28" t="s">
        <v>10</v>
      </c>
      <c r="C28" s="10">
        <f>C19-C21-C23-C25</f>
        <v>42100.0582184874</v>
      </c>
      <c r="H28" s="18"/>
    </row>
    <row r="29" spans="1:8" x14ac:dyDescent="0.25">
      <c r="H29" s="3"/>
    </row>
    <row r="30" spans="1:8" x14ac:dyDescent="0.25">
      <c r="H30" s="18"/>
    </row>
  </sheetData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CCA13-B0A5-4331-A2A2-828B925BDB35}">
  <dimension ref="A1:H30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660</v>
      </c>
    </row>
    <row r="3" spans="1:8" ht="21" x14ac:dyDescent="0.35">
      <c r="A3" s="2" t="s">
        <v>1</v>
      </c>
      <c r="D3" s="11">
        <v>35700</v>
      </c>
      <c r="F3" s="12" t="s">
        <v>3</v>
      </c>
      <c r="H3" s="11">
        <f>(D3/1.19)*0.19</f>
        <v>5700</v>
      </c>
    </row>
    <row r="4" spans="1:8" x14ac:dyDescent="0.25">
      <c r="A4" s="13" t="s">
        <v>29</v>
      </c>
      <c r="C4" s="28">
        <v>949</v>
      </c>
    </row>
    <row r="5" spans="1:8" ht="21" x14ac:dyDescent="0.35">
      <c r="A5" s="2" t="s">
        <v>2</v>
      </c>
    </row>
    <row r="7" spans="1:8" ht="18.75" x14ac:dyDescent="0.3">
      <c r="A7" s="5"/>
      <c r="D7" s="4"/>
      <c r="H7" s="4"/>
    </row>
    <row r="8" spans="1:8" ht="18.75" x14ac:dyDescent="0.3">
      <c r="A8" s="5"/>
      <c r="D8" s="4"/>
      <c r="H8" s="4"/>
    </row>
    <row r="9" spans="1:8" ht="18.75" x14ac:dyDescent="0.3">
      <c r="A9" s="5"/>
      <c r="B9" s="5"/>
      <c r="C9" s="5"/>
      <c r="D9" s="4"/>
      <c r="H9" s="4"/>
    </row>
    <row r="10" spans="1:8" ht="18.75" x14ac:dyDescent="0.3">
      <c r="A10" s="5"/>
      <c r="B10" s="5"/>
      <c r="C10" s="5"/>
      <c r="D10" s="4"/>
      <c r="H10" s="4">
        <f>(D10/1.19)*0.19</f>
        <v>0</v>
      </c>
    </row>
    <row r="11" spans="1:8" ht="18.75" x14ac:dyDescent="0.3">
      <c r="A11" s="5"/>
      <c r="B11" s="5"/>
      <c r="C11" s="5"/>
      <c r="D11" s="4"/>
      <c r="H11" s="4">
        <f t="shared" ref="H11:H12" si="0">(D11/1.19)*0.19</f>
        <v>0</v>
      </c>
    </row>
    <row r="12" spans="1:8" ht="18.75" x14ac:dyDescent="0.3">
      <c r="A12" s="5" t="s">
        <v>167</v>
      </c>
      <c r="B12" s="5"/>
      <c r="C12" s="5"/>
      <c r="D12" s="4">
        <v>18500</v>
      </c>
      <c r="H12" s="4">
        <f t="shared" si="0"/>
        <v>2953.7815126050423</v>
      </c>
    </row>
    <row r="13" spans="1:8" ht="19.5" thickBot="1" x14ac:dyDescent="0.35">
      <c r="A13" s="5"/>
      <c r="B13" s="5"/>
      <c r="C13" s="5"/>
      <c r="D13" s="35"/>
      <c r="E13" s="27"/>
      <c r="H13" s="35"/>
    </row>
    <row r="14" spans="1:8" ht="19.5" thickTop="1" x14ac:dyDescent="0.3">
      <c r="D14" s="4">
        <f>SUM(D7:D13)</f>
        <v>18500</v>
      </c>
      <c r="H14" s="33">
        <f>SUM(H7:H13)</f>
        <v>2953.7815126050423</v>
      </c>
    </row>
    <row r="16" spans="1:8" ht="18.75" x14ac:dyDescent="0.3">
      <c r="C16" t="s">
        <v>4</v>
      </c>
      <c r="D16" s="4">
        <f>D3-D14</f>
        <v>17200</v>
      </c>
      <c r="G16" t="s">
        <v>5</v>
      </c>
      <c r="H16" s="4">
        <f>H3-H14</f>
        <v>2746.2184873949577</v>
      </c>
    </row>
    <row r="18" spans="1:8" x14ac:dyDescent="0.25">
      <c r="G18" t="s">
        <v>454</v>
      </c>
    </row>
    <row r="19" spans="1:8" ht="15.75" x14ac:dyDescent="0.25">
      <c r="A19" t="s">
        <v>6</v>
      </c>
      <c r="C19" s="8">
        <f>D16</f>
        <v>17200</v>
      </c>
      <c r="E19" t="s">
        <v>10</v>
      </c>
      <c r="H19" s="6">
        <f>C28</f>
        <v>14310.981512605043</v>
      </c>
    </row>
    <row r="21" spans="1:8" ht="15.75" x14ac:dyDescent="0.25">
      <c r="A21" t="s">
        <v>5</v>
      </c>
      <c r="B21" s="9" t="s">
        <v>7</v>
      </c>
      <c r="C21" s="8">
        <f>H16</f>
        <v>2746.2184873949577</v>
      </c>
      <c r="E21" s="13" t="s">
        <v>11</v>
      </c>
      <c r="F21" s="9" t="s">
        <v>12</v>
      </c>
      <c r="G21" s="15" t="s">
        <v>17</v>
      </c>
      <c r="H21" s="3">
        <f>-(F22*0.0077)</f>
        <v>-231</v>
      </c>
    </row>
    <row r="22" spans="1:8" x14ac:dyDescent="0.25">
      <c r="F22" s="21">
        <f>D3-H3</f>
        <v>30000</v>
      </c>
    </row>
    <row r="23" spans="1:8" ht="16.5" thickBot="1" x14ac:dyDescent="0.3">
      <c r="A23" t="s">
        <v>8</v>
      </c>
      <c r="B23" s="9" t="s">
        <v>7</v>
      </c>
      <c r="C23" s="8">
        <f>D3*0.004</f>
        <v>142.80000000000001</v>
      </c>
      <c r="F23" s="9" t="s">
        <v>13</v>
      </c>
      <c r="G23" s="16">
        <v>0.35</v>
      </c>
      <c r="H23" s="17">
        <f>-(F24*0.35)</f>
        <v>-5008.8435294117653</v>
      </c>
    </row>
    <row r="24" spans="1:8" x14ac:dyDescent="0.25">
      <c r="F24" s="21">
        <f>H19</f>
        <v>14310.981512605043</v>
      </c>
    </row>
    <row r="25" spans="1:8" x14ac:dyDescent="0.25">
      <c r="A25" t="s">
        <v>9</v>
      </c>
      <c r="B25" s="9" t="s">
        <v>7</v>
      </c>
      <c r="G25" s="13" t="s">
        <v>14</v>
      </c>
      <c r="H25" s="6">
        <f>H19+H21+H23</f>
        <v>9071.1379831932791</v>
      </c>
    </row>
    <row r="26" spans="1:8" ht="15.75" thickBot="1" x14ac:dyDescent="0.3">
      <c r="A26" s="38" t="s">
        <v>638</v>
      </c>
      <c r="B26" s="14"/>
      <c r="C26" s="7"/>
    </row>
    <row r="27" spans="1:8" x14ac:dyDescent="0.25">
      <c r="E27" t="s">
        <v>100</v>
      </c>
      <c r="H27" s="20">
        <f>H25*0.4</f>
        <v>3628.455193277312</v>
      </c>
    </row>
    <row r="28" spans="1:8" ht="15.75" x14ac:dyDescent="0.25">
      <c r="A28" t="s">
        <v>10</v>
      </c>
      <c r="C28" s="10">
        <f>C19-C21-C23-C25</f>
        <v>14310.981512605043</v>
      </c>
      <c r="H28" s="18"/>
    </row>
    <row r="29" spans="1:8" x14ac:dyDescent="0.25">
      <c r="H29" s="3"/>
    </row>
    <row r="30" spans="1:8" x14ac:dyDescent="0.25">
      <c r="H30" s="18"/>
    </row>
  </sheetData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93B84-9191-45F3-97D5-A78AEB3FAB7E}">
  <dimension ref="A1:H30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661</v>
      </c>
    </row>
    <row r="3" spans="1:8" ht="21" x14ac:dyDescent="0.35">
      <c r="A3" s="2" t="s">
        <v>1</v>
      </c>
      <c r="D3" s="11">
        <v>74970</v>
      </c>
      <c r="F3" s="12" t="s">
        <v>3</v>
      </c>
      <c r="H3" s="11">
        <f>(D3/1.19)*0.19</f>
        <v>11970</v>
      </c>
    </row>
    <row r="4" spans="1:8" x14ac:dyDescent="0.25">
      <c r="A4" s="13" t="s">
        <v>29</v>
      </c>
      <c r="C4" s="28">
        <v>950</v>
      </c>
    </row>
    <row r="5" spans="1:8" ht="21" x14ac:dyDescent="0.35">
      <c r="A5" s="2" t="s">
        <v>2</v>
      </c>
    </row>
    <row r="7" spans="1:8" ht="18.75" x14ac:dyDescent="0.3">
      <c r="A7" s="5"/>
      <c r="D7" s="4"/>
      <c r="H7" s="4"/>
    </row>
    <row r="8" spans="1:8" ht="18.75" x14ac:dyDescent="0.3">
      <c r="A8" s="5"/>
      <c r="D8" s="4"/>
      <c r="H8" s="4"/>
    </row>
    <row r="9" spans="1:8" ht="18.75" x14ac:dyDescent="0.3">
      <c r="A9" s="5"/>
      <c r="B9" s="5"/>
      <c r="C9" s="5"/>
      <c r="D9" s="4"/>
      <c r="H9" s="4"/>
    </row>
    <row r="10" spans="1:8" ht="18.75" x14ac:dyDescent="0.3">
      <c r="A10" s="5"/>
      <c r="B10" s="5"/>
      <c r="C10" s="5"/>
      <c r="D10" s="4"/>
      <c r="H10" s="4">
        <f>(D10/1.19)*0.19</f>
        <v>0</v>
      </c>
    </row>
    <row r="11" spans="1:8" ht="18.75" x14ac:dyDescent="0.3">
      <c r="A11" s="5"/>
      <c r="B11" s="5"/>
      <c r="C11" s="5"/>
      <c r="D11" s="4"/>
      <c r="H11" s="4">
        <f t="shared" ref="H11:H12" si="0">(D11/1.19)*0.19</f>
        <v>0</v>
      </c>
    </row>
    <row r="12" spans="1:8" ht="18.75" x14ac:dyDescent="0.3">
      <c r="A12" s="5" t="s">
        <v>167</v>
      </c>
      <c r="B12" s="5"/>
      <c r="C12" s="5"/>
      <c r="D12" s="4">
        <v>34820</v>
      </c>
      <c r="H12" s="4">
        <f t="shared" si="0"/>
        <v>5559.4957983193281</v>
      </c>
    </row>
    <row r="13" spans="1:8" ht="19.5" thickBot="1" x14ac:dyDescent="0.35">
      <c r="A13" s="5"/>
      <c r="B13" s="5"/>
      <c r="C13" s="5"/>
      <c r="D13" s="35"/>
      <c r="E13" s="27"/>
      <c r="H13" s="35"/>
    </row>
    <row r="14" spans="1:8" ht="19.5" thickTop="1" x14ac:dyDescent="0.3">
      <c r="D14" s="4">
        <f>SUM(D7:D13)</f>
        <v>34820</v>
      </c>
      <c r="H14" s="33">
        <f>SUM(H7:H13)</f>
        <v>5559.4957983193281</v>
      </c>
    </row>
    <row r="16" spans="1:8" ht="18.75" x14ac:dyDescent="0.3">
      <c r="C16" t="s">
        <v>4</v>
      </c>
      <c r="D16" s="4">
        <f>D3-D14</f>
        <v>40150</v>
      </c>
      <c r="G16" t="s">
        <v>5</v>
      </c>
      <c r="H16" s="4">
        <f>H3-H14</f>
        <v>6410.5042016806719</v>
      </c>
    </row>
    <row r="18" spans="1:8" x14ac:dyDescent="0.25">
      <c r="G18" t="s">
        <v>454</v>
      </c>
    </row>
    <row r="19" spans="1:8" ht="15.75" x14ac:dyDescent="0.25">
      <c r="A19" t="s">
        <v>6</v>
      </c>
      <c r="C19" s="8">
        <f>D16</f>
        <v>40150</v>
      </c>
      <c r="E19" t="s">
        <v>10</v>
      </c>
      <c r="H19" s="6">
        <f>C28</f>
        <v>33439.615798319333</v>
      </c>
    </row>
    <row r="21" spans="1:8" ht="15.75" x14ac:dyDescent="0.25">
      <c r="A21" t="s">
        <v>5</v>
      </c>
      <c r="B21" s="9" t="s">
        <v>7</v>
      </c>
      <c r="C21" s="8">
        <f>H16</f>
        <v>6410.5042016806719</v>
      </c>
      <c r="E21" s="13" t="s">
        <v>11</v>
      </c>
      <c r="F21" s="9" t="s">
        <v>12</v>
      </c>
      <c r="G21" s="15" t="s">
        <v>17</v>
      </c>
      <c r="H21" s="3">
        <f>-(F22*0.0077)</f>
        <v>-485.1</v>
      </c>
    </row>
    <row r="22" spans="1:8" x14ac:dyDescent="0.25">
      <c r="F22" s="21">
        <f>D3-H3</f>
        <v>63000</v>
      </c>
    </row>
    <row r="23" spans="1:8" ht="16.5" thickBot="1" x14ac:dyDescent="0.3">
      <c r="A23" t="s">
        <v>8</v>
      </c>
      <c r="B23" s="9" t="s">
        <v>7</v>
      </c>
      <c r="C23" s="8">
        <f>D3*0.004</f>
        <v>299.88</v>
      </c>
      <c r="F23" s="9" t="s">
        <v>13</v>
      </c>
      <c r="G23" s="16">
        <v>0.35</v>
      </c>
      <c r="H23" s="17">
        <f>-(F24*0.35)</f>
        <v>-11703.865529411765</v>
      </c>
    </row>
    <row r="24" spans="1:8" x14ac:dyDescent="0.25">
      <c r="F24" s="21">
        <f>H19</f>
        <v>33439.615798319333</v>
      </c>
    </row>
    <row r="25" spans="1:8" x14ac:dyDescent="0.25">
      <c r="A25" t="s">
        <v>9</v>
      </c>
      <c r="B25" s="9" t="s">
        <v>7</v>
      </c>
      <c r="G25" s="13" t="s">
        <v>14</v>
      </c>
      <c r="H25" s="6">
        <f>H19+H21+H23</f>
        <v>21250.650268907571</v>
      </c>
    </row>
    <row r="26" spans="1:8" ht="15.75" thickBot="1" x14ac:dyDescent="0.3">
      <c r="A26" s="38" t="s">
        <v>638</v>
      </c>
      <c r="B26" s="14"/>
      <c r="C26" s="7"/>
    </row>
    <row r="27" spans="1:8" x14ac:dyDescent="0.25">
      <c r="E27" t="s">
        <v>100</v>
      </c>
      <c r="H27" s="20">
        <f>H25*0.4</f>
        <v>8500.2601075630282</v>
      </c>
    </row>
    <row r="28" spans="1:8" ht="15.75" x14ac:dyDescent="0.25">
      <c r="A28" t="s">
        <v>10</v>
      </c>
      <c r="C28" s="10">
        <f>C19-C21-C23-C25</f>
        <v>33439.615798319333</v>
      </c>
      <c r="H28" s="18"/>
    </row>
    <row r="29" spans="1:8" x14ac:dyDescent="0.25">
      <c r="H29" s="3"/>
    </row>
    <row r="30" spans="1:8" x14ac:dyDescent="0.25">
      <c r="H30" s="18"/>
    </row>
  </sheetData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1D4F5-522A-43F4-9902-33C0F01B988B}">
  <dimension ref="A1:H30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663</v>
      </c>
    </row>
    <row r="3" spans="1:8" ht="21" x14ac:dyDescent="0.35">
      <c r="A3" s="2" t="s">
        <v>1</v>
      </c>
      <c r="D3" s="11">
        <v>803850</v>
      </c>
      <c r="F3" s="12" t="s">
        <v>3</v>
      </c>
      <c r="H3" s="11">
        <f>(D3/1.19)*0.19</f>
        <v>128345.79831932775</v>
      </c>
    </row>
    <row r="4" spans="1:8" x14ac:dyDescent="0.25">
      <c r="A4" s="13" t="s">
        <v>29</v>
      </c>
      <c r="C4" s="28">
        <v>954</v>
      </c>
    </row>
    <row r="5" spans="1:8" ht="21" x14ac:dyDescent="0.35">
      <c r="A5" s="2" t="s">
        <v>2</v>
      </c>
    </row>
    <row r="7" spans="1:8" ht="18.75" x14ac:dyDescent="0.3">
      <c r="A7" s="5"/>
      <c r="D7" s="4"/>
      <c r="H7" s="4"/>
    </row>
    <row r="8" spans="1:8" ht="18.75" x14ac:dyDescent="0.3">
      <c r="A8" s="5"/>
      <c r="D8" s="4"/>
      <c r="H8" s="4"/>
    </row>
    <row r="9" spans="1:8" ht="18.75" x14ac:dyDescent="0.3">
      <c r="A9" s="5"/>
      <c r="B9" s="5"/>
      <c r="C9" s="5"/>
      <c r="D9" s="4"/>
      <c r="H9" s="4"/>
    </row>
    <row r="10" spans="1:8" ht="18.75" x14ac:dyDescent="0.3">
      <c r="A10" s="5"/>
      <c r="B10" s="5"/>
      <c r="C10" s="5"/>
      <c r="D10" s="4"/>
      <c r="H10" s="4">
        <f>(D10/1.19)*0.19</f>
        <v>0</v>
      </c>
    </row>
    <row r="11" spans="1:8" ht="18.75" x14ac:dyDescent="0.3">
      <c r="A11" s="5"/>
      <c r="B11" s="5"/>
      <c r="C11" s="5"/>
      <c r="D11" s="4"/>
      <c r="H11" s="4">
        <f t="shared" ref="H11:H12" si="0">(D11/1.19)*0.19</f>
        <v>0</v>
      </c>
    </row>
    <row r="12" spans="1:8" ht="18.75" x14ac:dyDescent="0.3">
      <c r="A12" s="5" t="s">
        <v>662</v>
      </c>
      <c r="B12" s="5"/>
      <c r="C12" s="5"/>
      <c r="D12" s="4">
        <v>642600</v>
      </c>
      <c r="H12" s="4">
        <f t="shared" si="0"/>
        <v>102600</v>
      </c>
    </row>
    <row r="13" spans="1:8" ht="19.5" thickBot="1" x14ac:dyDescent="0.35">
      <c r="A13" s="5"/>
      <c r="B13" s="5"/>
      <c r="C13" s="5"/>
      <c r="D13" s="35"/>
      <c r="E13" s="27"/>
      <c r="H13" s="35"/>
    </row>
    <row r="14" spans="1:8" ht="19.5" thickTop="1" x14ac:dyDescent="0.3">
      <c r="D14" s="4">
        <f>SUM(D7:D13)</f>
        <v>642600</v>
      </c>
      <c r="H14" s="33">
        <f>SUM(H7:H13)</f>
        <v>102600</v>
      </c>
    </row>
    <row r="16" spans="1:8" ht="18.75" x14ac:dyDescent="0.3">
      <c r="C16" t="s">
        <v>4</v>
      </c>
      <c r="D16" s="4">
        <f>D3-D14</f>
        <v>161250</v>
      </c>
      <c r="G16" t="s">
        <v>5</v>
      </c>
      <c r="H16" s="4">
        <f>H3-H14</f>
        <v>25745.798319327747</v>
      </c>
    </row>
    <row r="18" spans="1:8" x14ac:dyDescent="0.25">
      <c r="G18" t="s">
        <v>454</v>
      </c>
    </row>
    <row r="19" spans="1:8" ht="15.75" x14ac:dyDescent="0.25">
      <c r="A19" t="s">
        <v>6</v>
      </c>
      <c r="C19" s="8">
        <f>D16</f>
        <v>161250</v>
      </c>
      <c r="E19" t="s">
        <v>10</v>
      </c>
      <c r="H19" s="6">
        <f>C28</f>
        <v>132288.80168067224</v>
      </c>
    </row>
    <row r="21" spans="1:8" ht="15.75" x14ac:dyDescent="0.25">
      <c r="A21" t="s">
        <v>5</v>
      </c>
      <c r="B21" s="9" t="s">
        <v>7</v>
      </c>
      <c r="C21" s="8">
        <f>H16</f>
        <v>25745.798319327747</v>
      </c>
      <c r="E21" s="13" t="s">
        <v>11</v>
      </c>
      <c r="F21" s="9" t="s">
        <v>12</v>
      </c>
      <c r="G21" s="15" t="s">
        <v>17</v>
      </c>
      <c r="H21" s="3">
        <f>-(F22*0.0077)</f>
        <v>-5201.3823529411766</v>
      </c>
    </row>
    <row r="22" spans="1:8" x14ac:dyDescent="0.25">
      <c r="F22" s="21">
        <f>D3-H3</f>
        <v>675504.20168067224</v>
      </c>
    </row>
    <row r="23" spans="1:8" ht="16.5" thickBot="1" x14ac:dyDescent="0.3">
      <c r="A23" t="s">
        <v>8</v>
      </c>
      <c r="B23" s="9" t="s">
        <v>7</v>
      </c>
      <c r="C23" s="8">
        <f>D3*0.004</f>
        <v>3215.4</v>
      </c>
      <c r="F23" s="9" t="s">
        <v>13</v>
      </c>
      <c r="G23" s="16">
        <v>0.35</v>
      </c>
      <c r="H23" s="17">
        <f>-(F24*0.35)</f>
        <v>-46301.08058823528</v>
      </c>
    </row>
    <row r="24" spans="1:8" x14ac:dyDescent="0.25">
      <c r="F24" s="21">
        <f>H19</f>
        <v>132288.80168067224</v>
      </c>
    </row>
    <row r="25" spans="1:8" x14ac:dyDescent="0.25">
      <c r="A25" t="s">
        <v>9</v>
      </c>
      <c r="B25" s="9" t="s">
        <v>7</v>
      </c>
      <c r="G25" s="13" t="s">
        <v>14</v>
      </c>
      <c r="H25" s="6">
        <f>H19+H21+H23</f>
        <v>80786.338739495783</v>
      </c>
    </row>
    <row r="26" spans="1:8" ht="15.75" thickBot="1" x14ac:dyDescent="0.3">
      <c r="A26" s="38" t="s">
        <v>638</v>
      </c>
      <c r="B26" s="14"/>
      <c r="C26" s="7"/>
    </row>
    <row r="27" spans="1:8" x14ac:dyDescent="0.25">
      <c r="E27" t="s">
        <v>100</v>
      </c>
      <c r="H27" s="20">
        <f>H25*0.4</f>
        <v>32314.535495798315</v>
      </c>
    </row>
    <row r="28" spans="1:8" ht="15.75" x14ac:dyDescent="0.25">
      <c r="A28" t="s">
        <v>10</v>
      </c>
      <c r="C28" s="10">
        <f>C19-C21-C23-C25</f>
        <v>132288.80168067224</v>
      </c>
      <c r="H28" s="18"/>
    </row>
    <row r="29" spans="1:8" x14ac:dyDescent="0.25">
      <c r="H29" s="3"/>
    </row>
    <row r="30" spans="1:8" x14ac:dyDescent="0.25">
      <c r="H30" s="18"/>
    </row>
  </sheetData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72971-BBE1-400D-A09E-64EAF32D226C}">
  <dimension ref="A1:H30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664</v>
      </c>
    </row>
    <row r="3" spans="1:8" ht="21" x14ac:dyDescent="0.35">
      <c r="A3" s="2" t="s">
        <v>1</v>
      </c>
      <c r="D3" s="11">
        <v>719970</v>
      </c>
      <c r="F3" s="12" t="s">
        <v>3</v>
      </c>
      <c r="H3" s="11">
        <f>(D3/1.19)*0.19</f>
        <v>114953.19327731093</v>
      </c>
    </row>
    <row r="4" spans="1:8" x14ac:dyDescent="0.25">
      <c r="A4" s="13" t="s">
        <v>29</v>
      </c>
      <c r="C4" s="28">
        <v>957</v>
      </c>
    </row>
    <row r="5" spans="1:8" ht="21" x14ac:dyDescent="0.35">
      <c r="A5" s="2" t="s">
        <v>2</v>
      </c>
    </row>
    <row r="7" spans="1:8" ht="18.75" x14ac:dyDescent="0.3">
      <c r="A7" s="5"/>
      <c r="D7" s="4"/>
      <c r="H7" s="4"/>
    </row>
    <row r="8" spans="1:8" ht="18.75" x14ac:dyDescent="0.3">
      <c r="A8" s="5"/>
      <c r="D8" s="4"/>
      <c r="H8" s="4"/>
    </row>
    <row r="9" spans="1:8" ht="18.75" x14ac:dyDescent="0.3">
      <c r="A9" s="5"/>
      <c r="B9" s="5"/>
      <c r="C9" s="5"/>
      <c r="D9" s="4"/>
      <c r="H9" s="4"/>
    </row>
    <row r="10" spans="1:8" ht="18.75" x14ac:dyDescent="0.3">
      <c r="A10" s="5"/>
      <c r="B10" s="5"/>
      <c r="C10" s="5"/>
      <c r="D10" s="4"/>
      <c r="H10" s="4">
        <f>(D10/1.19)*0.19</f>
        <v>0</v>
      </c>
    </row>
    <row r="11" spans="1:8" ht="18.75" x14ac:dyDescent="0.3">
      <c r="A11" s="5"/>
      <c r="B11" s="5"/>
      <c r="C11" s="5"/>
      <c r="D11" s="4"/>
      <c r="H11" s="4">
        <f t="shared" ref="H11:H12" si="0">(D11/1.19)*0.19</f>
        <v>0</v>
      </c>
    </row>
    <row r="12" spans="1:8" ht="18.75" x14ac:dyDescent="0.3">
      <c r="A12" s="5" t="s">
        <v>488</v>
      </c>
      <c r="B12" s="5"/>
      <c r="C12" s="5"/>
      <c r="D12" s="4">
        <v>533120</v>
      </c>
      <c r="H12" s="4">
        <f t="shared" si="0"/>
        <v>85120</v>
      </c>
    </row>
    <row r="13" spans="1:8" ht="19.5" thickBot="1" x14ac:dyDescent="0.35">
      <c r="A13" s="5"/>
      <c r="B13" s="5"/>
      <c r="C13" s="5"/>
      <c r="D13" s="35"/>
      <c r="E13" s="27"/>
      <c r="H13" s="35"/>
    </row>
    <row r="14" spans="1:8" ht="19.5" thickTop="1" x14ac:dyDescent="0.3">
      <c r="D14" s="4">
        <f>SUM(D7:D13)</f>
        <v>533120</v>
      </c>
      <c r="H14" s="33">
        <f>SUM(H7:H13)</f>
        <v>85120</v>
      </c>
    </row>
    <row r="16" spans="1:8" ht="18.75" x14ac:dyDescent="0.3">
      <c r="C16" t="s">
        <v>4</v>
      </c>
      <c r="D16" s="4">
        <f>D3-D14</f>
        <v>186850</v>
      </c>
      <c r="G16" t="s">
        <v>5</v>
      </c>
      <c r="H16" s="4">
        <f>H3-H14</f>
        <v>29833.193277310929</v>
      </c>
    </row>
    <row r="18" spans="1:8" x14ac:dyDescent="0.25">
      <c r="G18" t="s">
        <v>454</v>
      </c>
    </row>
    <row r="19" spans="1:8" ht="15.75" x14ac:dyDescent="0.25">
      <c r="A19" t="s">
        <v>6</v>
      </c>
      <c r="C19" s="8">
        <f>D16</f>
        <v>186850</v>
      </c>
      <c r="E19" t="s">
        <v>10</v>
      </c>
      <c r="H19" s="6">
        <f>C28</f>
        <v>154136.92672268907</v>
      </c>
    </row>
    <row r="21" spans="1:8" ht="15.75" x14ac:dyDescent="0.25">
      <c r="A21" t="s">
        <v>5</v>
      </c>
      <c r="B21" s="9" t="s">
        <v>7</v>
      </c>
      <c r="C21" s="8">
        <f>H16</f>
        <v>29833.193277310929</v>
      </c>
      <c r="E21" s="13" t="s">
        <v>11</v>
      </c>
      <c r="F21" s="9" t="s">
        <v>12</v>
      </c>
      <c r="G21" s="15" t="s">
        <v>17</v>
      </c>
      <c r="H21" s="3">
        <f>-(F22*0.0077)</f>
        <v>-4658.6294117647058</v>
      </c>
    </row>
    <row r="22" spans="1:8" x14ac:dyDescent="0.25">
      <c r="F22" s="21">
        <f>D3-H3</f>
        <v>605016.80672268907</v>
      </c>
    </row>
    <row r="23" spans="1:8" ht="16.5" thickBot="1" x14ac:dyDescent="0.3">
      <c r="A23" t="s">
        <v>8</v>
      </c>
      <c r="B23" s="9" t="s">
        <v>7</v>
      </c>
      <c r="C23" s="8">
        <f>D3*0.004</f>
        <v>2879.88</v>
      </c>
      <c r="F23" s="9" t="s">
        <v>13</v>
      </c>
      <c r="G23" s="16">
        <v>0.35</v>
      </c>
      <c r="H23" s="17">
        <f>-(F24*0.35)</f>
        <v>-53947.924352941169</v>
      </c>
    </row>
    <row r="24" spans="1:8" x14ac:dyDescent="0.25">
      <c r="F24" s="21">
        <f>H19</f>
        <v>154136.92672268907</v>
      </c>
    </row>
    <row r="25" spans="1:8" x14ac:dyDescent="0.25">
      <c r="A25" t="s">
        <v>9</v>
      </c>
      <c r="B25" s="9" t="s">
        <v>7</v>
      </c>
      <c r="G25" s="13" t="s">
        <v>14</v>
      </c>
      <c r="H25" s="6">
        <f>H19+H21+H23</f>
        <v>95530.3729579832</v>
      </c>
    </row>
    <row r="26" spans="1:8" ht="15.75" thickBot="1" x14ac:dyDescent="0.3">
      <c r="A26" s="38" t="s">
        <v>638</v>
      </c>
      <c r="B26" s="14"/>
      <c r="C26" s="7"/>
    </row>
    <row r="27" spans="1:8" x14ac:dyDescent="0.25">
      <c r="E27" t="s">
        <v>100</v>
      </c>
      <c r="H27" s="20">
        <f>H25*0.4</f>
        <v>38212.14918319328</v>
      </c>
    </row>
    <row r="28" spans="1:8" ht="15.75" x14ac:dyDescent="0.25">
      <c r="A28" t="s">
        <v>10</v>
      </c>
      <c r="C28" s="10">
        <f>C19-C21-C23-C25</f>
        <v>154136.92672268907</v>
      </c>
      <c r="H28" s="18"/>
    </row>
    <row r="29" spans="1:8" x14ac:dyDescent="0.25">
      <c r="H29" s="3"/>
    </row>
    <row r="30" spans="1:8" x14ac:dyDescent="0.25">
      <c r="H30" s="18"/>
    </row>
  </sheetData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AA093-C9D9-4A22-BA3E-B21B83B1FAFF}">
  <dimension ref="A1:H30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665</v>
      </c>
    </row>
    <row r="3" spans="1:8" ht="21" x14ac:dyDescent="0.35">
      <c r="A3" s="2" t="s">
        <v>1</v>
      </c>
      <c r="D3" s="11">
        <v>314160</v>
      </c>
      <c r="F3" s="12" t="s">
        <v>3</v>
      </c>
      <c r="H3" s="11">
        <f>(D3/1.19)*0.19</f>
        <v>50160</v>
      </c>
    </row>
    <row r="4" spans="1:8" x14ac:dyDescent="0.25">
      <c r="A4" s="13" t="s">
        <v>29</v>
      </c>
      <c r="C4" s="28">
        <v>958</v>
      </c>
    </row>
    <row r="5" spans="1:8" ht="21" x14ac:dyDescent="0.35">
      <c r="A5" s="2" t="s">
        <v>2</v>
      </c>
    </row>
    <row r="7" spans="1:8" ht="18.75" x14ac:dyDescent="0.3">
      <c r="A7" s="5"/>
      <c r="D7" s="4"/>
      <c r="H7" s="4"/>
    </row>
    <row r="8" spans="1:8" ht="18.75" x14ac:dyDescent="0.3">
      <c r="A8" s="5"/>
      <c r="D8" s="4"/>
      <c r="H8" s="4"/>
    </row>
    <row r="9" spans="1:8" ht="18.75" x14ac:dyDescent="0.3">
      <c r="A9" s="5"/>
      <c r="B9" s="5"/>
      <c r="C9" s="5"/>
      <c r="D9" s="4"/>
      <c r="H9" s="4"/>
    </row>
    <row r="10" spans="1:8" ht="18.75" x14ac:dyDescent="0.3">
      <c r="A10" s="5"/>
      <c r="B10" s="5"/>
      <c r="C10" s="5"/>
      <c r="D10" s="4"/>
      <c r="H10" s="4">
        <f>(D10/1.19)*0.19</f>
        <v>0</v>
      </c>
    </row>
    <row r="11" spans="1:8" ht="18.75" x14ac:dyDescent="0.3">
      <c r="A11" s="5"/>
      <c r="B11" s="5"/>
      <c r="C11" s="5"/>
      <c r="D11" s="4"/>
      <c r="H11" s="4">
        <f t="shared" ref="H11:H12" si="0">(D11/1.19)*0.19</f>
        <v>0</v>
      </c>
    </row>
    <row r="12" spans="1:8" ht="18.75" x14ac:dyDescent="0.3">
      <c r="A12" s="5" t="s">
        <v>666</v>
      </c>
      <c r="B12" s="5"/>
      <c r="C12" s="5"/>
      <c r="D12" s="4">
        <v>240154</v>
      </c>
      <c r="H12" s="4">
        <f t="shared" si="0"/>
        <v>38343.915966386558</v>
      </c>
    </row>
    <row r="13" spans="1:8" ht="19.5" thickBot="1" x14ac:dyDescent="0.35">
      <c r="A13" s="5"/>
      <c r="B13" s="5"/>
      <c r="C13" s="5"/>
      <c r="D13" s="35"/>
      <c r="E13" s="27"/>
      <c r="H13" s="35"/>
    </row>
    <row r="14" spans="1:8" ht="19.5" thickTop="1" x14ac:dyDescent="0.3">
      <c r="D14" s="4">
        <f>SUM(D7:D13)</f>
        <v>240154</v>
      </c>
      <c r="H14" s="33">
        <f>SUM(H7:H13)</f>
        <v>38343.915966386558</v>
      </c>
    </row>
    <row r="16" spans="1:8" ht="18.75" x14ac:dyDescent="0.3">
      <c r="C16" t="s">
        <v>4</v>
      </c>
      <c r="D16" s="4">
        <f>D3-D14</f>
        <v>74006</v>
      </c>
      <c r="G16" t="s">
        <v>5</v>
      </c>
      <c r="H16" s="4">
        <f>H3-H14</f>
        <v>11816.084033613442</v>
      </c>
    </row>
    <row r="18" spans="1:8" x14ac:dyDescent="0.25">
      <c r="G18" t="s">
        <v>454</v>
      </c>
    </row>
    <row r="19" spans="1:8" ht="15.75" x14ac:dyDescent="0.25">
      <c r="A19" t="s">
        <v>6</v>
      </c>
      <c r="C19" s="8">
        <f>D16</f>
        <v>74006</v>
      </c>
      <c r="E19" t="s">
        <v>10</v>
      </c>
      <c r="H19" s="6">
        <f>C28</f>
        <v>60933.275966386558</v>
      </c>
    </row>
    <row r="21" spans="1:8" ht="15.75" x14ac:dyDescent="0.25">
      <c r="A21" t="s">
        <v>5</v>
      </c>
      <c r="B21" s="9" t="s">
        <v>7</v>
      </c>
      <c r="C21" s="8">
        <f>H16</f>
        <v>11816.084033613442</v>
      </c>
      <c r="E21" s="13" t="s">
        <v>11</v>
      </c>
      <c r="F21" s="9" t="s">
        <v>12</v>
      </c>
      <c r="G21" s="15" t="s">
        <v>17</v>
      </c>
      <c r="H21" s="3">
        <f>-(F22*0.0077)</f>
        <v>-2032.8</v>
      </c>
    </row>
    <row r="22" spans="1:8" x14ac:dyDescent="0.25">
      <c r="F22" s="21">
        <f>D3-H3</f>
        <v>264000</v>
      </c>
    </row>
    <row r="23" spans="1:8" ht="16.5" thickBot="1" x14ac:dyDescent="0.3">
      <c r="A23" t="s">
        <v>8</v>
      </c>
      <c r="B23" s="9" t="s">
        <v>7</v>
      </c>
      <c r="C23" s="8">
        <f>D3*0.004</f>
        <v>1256.6400000000001</v>
      </c>
      <c r="F23" s="9" t="s">
        <v>13</v>
      </c>
      <c r="G23" s="16">
        <v>0.35</v>
      </c>
      <c r="H23" s="17">
        <f>-(F24*0.35)</f>
        <v>-21326.646588235293</v>
      </c>
    </row>
    <row r="24" spans="1:8" x14ac:dyDescent="0.25">
      <c r="F24" s="21">
        <f>H19</f>
        <v>60933.275966386558</v>
      </c>
    </row>
    <row r="25" spans="1:8" x14ac:dyDescent="0.25">
      <c r="A25" t="s">
        <v>9</v>
      </c>
      <c r="B25" s="9" t="s">
        <v>7</v>
      </c>
      <c r="G25" s="13" t="s">
        <v>14</v>
      </c>
      <c r="H25" s="6">
        <f>H19+H21+H23</f>
        <v>37573.829378151262</v>
      </c>
    </row>
    <row r="26" spans="1:8" ht="15.75" thickBot="1" x14ac:dyDescent="0.3">
      <c r="A26" s="38" t="s">
        <v>638</v>
      </c>
      <c r="B26" s="14"/>
      <c r="C26" s="7"/>
    </row>
    <row r="27" spans="1:8" x14ac:dyDescent="0.25">
      <c r="E27" t="s">
        <v>100</v>
      </c>
      <c r="H27" s="20">
        <f>H25*0.4</f>
        <v>15029.531751260505</v>
      </c>
    </row>
    <row r="28" spans="1:8" ht="15.75" x14ac:dyDescent="0.25">
      <c r="A28" t="s">
        <v>10</v>
      </c>
      <c r="C28" s="10">
        <f>C19-C21-C23-C25</f>
        <v>60933.275966386558</v>
      </c>
      <c r="H28" s="18"/>
    </row>
    <row r="29" spans="1:8" x14ac:dyDescent="0.25">
      <c r="H29" s="3"/>
    </row>
    <row r="30" spans="1:8" x14ac:dyDescent="0.25">
      <c r="H30" s="18"/>
    </row>
  </sheetData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3B794-4561-4845-B4D9-3B458E56165B}">
  <dimension ref="A1:H30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667</v>
      </c>
    </row>
    <row r="3" spans="1:8" ht="21" x14ac:dyDescent="0.35">
      <c r="A3" s="2" t="s">
        <v>1</v>
      </c>
      <c r="D3" s="11">
        <v>76160</v>
      </c>
      <c r="F3" s="12" t="s">
        <v>3</v>
      </c>
      <c r="H3" s="11">
        <f>(D3/1.19)*0.19</f>
        <v>12160</v>
      </c>
    </row>
    <row r="4" spans="1:8" x14ac:dyDescent="0.25">
      <c r="A4" s="13" t="s">
        <v>29</v>
      </c>
      <c r="C4" s="28">
        <v>962</v>
      </c>
    </row>
    <row r="5" spans="1:8" ht="21" x14ac:dyDescent="0.35">
      <c r="A5" s="2" t="s">
        <v>2</v>
      </c>
    </row>
    <row r="7" spans="1:8" ht="18.75" x14ac:dyDescent="0.3">
      <c r="A7" s="5"/>
      <c r="D7" s="4"/>
      <c r="H7" s="4"/>
    </row>
    <row r="8" spans="1:8" ht="18.75" x14ac:dyDescent="0.3">
      <c r="A8" s="5"/>
      <c r="D8" s="4"/>
      <c r="H8" s="4"/>
    </row>
    <row r="9" spans="1:8" ht="18.75" x14ac:dyDescent="0.3">
      <c r="A9" s="5"/>
      <c r="B9" s="5"/>
      <c r="C9" s="5"/>
      <c r="D9" s="4"/>
      <c r="H9" s="4"/>
    </row>
    <row r="10" spans="1:8" ht="18.75" x14ac:dyDescent="0.3">
      <c r="A10" s="5"/>
      <c r="B10" s="5"/>
      <c r="C10" s="5"/>
      <c r="D10" s="4"/>
      <c r="H10" s="4">
        <f>(D10/1.19)*0.19</f>
        <v>0</v>
      </c>
    </row>
    <row r="11" spans="1:8" ht="18.75" x14ac:dyDescent="0.3">
      <c r="A11" s="5"/>
      <c r="B11" s="5"/>
      <c r="C11" s="5"/>
      <c r="D11" s="4"/>
      <c r="H11" s="4">
        <f t="shared" ref="H11:H12" si="0">(D11/1.19)*0.19</f>
        <v>0</v>
      </c>
    </row>
    <row r="12" spans="1:8" ht="18.75" x14ac:dyDescent="0.3">
      <c r="A12" s="5" t="s">
        <v>310</v>
      </c>
      <c r="B12" s="5"/>
      <c r="C12" s="5"/>
      <c r="D12" s="4">
        <v>50800</v>
      </c>
      <c r="H12" s="4">
        <f t="shared" si="0"/>
        <v>8110.9243697478996</v>
      </c>
    </row>
    <row r="13" spans="1:8" ht="19.5" thickBot="1" x14ac:dyDescent="0.35">
      <c r="A13" s="5"/>
      <c r="B13" s="5"/>
      <c r="C13" s="5"/>
      <c r="D13" s="35"/>
      <c r="E13" s="27"/>
      <c r="H13" s="35"/>
    </row>
    <row r="14" spans="1:8" ht="19.5" thickTop="1" x14ac:dyDescent="0.3">
      <c r="D14" s="4">
        <f>SUM(D7:D13)</f>
        <v>50800</v>
      </c>
      <c r="H14" s="33">
        <f>SUM(H7:H13)</f>
        <v>8110.9243697478996</v>
      </c>
    </row>
    <row r="16" spans="1:8" ht="18.75" x14ac:dyDescent="0.3">
      <c r="C16" t="s">
        <v>4</v>
      </c>
      <c r="D16" s="4">
        <f>D3-D14</f>
        <v>25360</v>
      </c>
      <c r="G16" t="s">
        <v>5</v>
      </c>
      <c r="H16" s="4">
        <f>H3-H14</f>
        <v>4049.0756302521004</v>
      </c>
    </row>
    <row r="18" spans="1:8" x14ac:dyDescent="0.25">
      <c r="G18" t="s">
        <v>454</v>
      </c>
    </row>
    <row r="19" spans="1:8" ht="15.75" x14ac:dyDescent="0.25">
      <c r="A19" t="s">
        <v>6</v>
      </c>
      <c r="C19" s="8">
        <f>D16</f>
        <v>25360</v>
      </c>
      <c r="E19" t="s">
        <v>10</v>
      </c>
      <c r="H19" s="6">
        <f>C28</f>
        <v>21006.2843697479</v>
      </c>
    </row>
    <row r="21" spans="1:8" ht="15.75" x14ac:dyDescent="0.25">
      <c r="A21" t="s">
        <v>5</v>
      </c>
      <c r="B21" s="9" t="s">
        <v>7</v>
      </c>
      <c r="C21" s="8">
        <f>H16</f>
        <v>4049.0756302521004</v>
      </c>
      <c r="E21" s="13" t="s">
        <v>11</v>
      </c>
      <c r="F21" s="9" t="s">
        <v>12</v>
      </c>
      <c r="G21" s="15" t="s">
        <v>17</v>
      </c>
      <c r="H21" s="3">
        <f>-(F22*0.0077)</f>
        <v>-492.8</v>
      </c>
    </row>
    <row r="22" spans="1:8" x14ac:dyDescent="0.25">
      <c r="F22" s="21">
        <f>D3-H3</f>
        <v>64000</v>
      </c>
    </row>
    <row r="23" spans="1:8" ht="16.5" thickBot="1" x14ac:dyDescent="0.3">
      <c r="A23" t="s">
        <v>8</v>
      </c>
      <c r="B23" s="9" t="s">
        <v>7</v>
      </c>
      <c r="C23" s="8">
        <f>D3*0.004</f>
        <v>304.64</v>
      </c>
      <c r="F23" s="9" t="s">
        <v>13</v>
      </c>
      <c r="G23" s="16">
        <v>0.35</v>
      </c>
      <c r="H23" s="17">
        <f>-(F24*0.35)</f>
        <v>-7352.1995294117642</v>
      </c>
    </row>
    <row r="24" spans="1:8" x14ac:dyDescent="0.25">
      <c r="F24" s="21">
        <f>H19</f>
        <v>21006.2843697479</v>
      </c>
    </row>
    <row r="25" spans="1:8" x14ac:dyDescent="0.25">
      <c r="A25" t="s">
        <v>9</v>
      </c>
      <c r="B25" s="9" t="s">
        <v>7</v>
      </c>
      <c r="G25" s="13" t="s">
        <v>14</v>
      </c>
      <c r="H25" s="6">
        <f>H19+H21+H23</f>
        <v>13161.284840336137</v>
      </c>
    </row>
    <row r="26" spans="1:8" ht="15.75" thickBot="1" x14ac:dyDescent="0.3">
      <c r="A26" s="38" t="s">
        <v>638</v>
      </c>
      <c r="B26" s="14"/>
      <c r="C26" s="7"/>
    </row>
    <row r="27" spans="1:8" x14ac:dyDescent="0.25">
      <c r="E27" t="s">
        <v>100</v>
      </c>
      <c r="H27" s="20">
        <f>H25*0.4</f>
        <v>5264.5139361344554</v>
      </c>
    </row>
    <row r="28" spans="1:8" ht="15.75" x14ac:dyDescent="0.25">
      <c r="A28" t="s">
        <v>10</v>
      </c>
      <c r="C28" s="10">
        <f>C19-C21-C23-C25</f>
        <v>21006.2843697479</v>
      </c>
      <c r="H28" s="18"/>
    </row>
    <row r="29" spans="1:8" x14ac:dyDescent="0.25">
      <c r="H29" s="3"/>
    </row>
    <row r="30" spans="1:8" x14ac:dyDescent="0.25">
      <c r="H30" s="18"/>
    </row>
  </sheetData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77768-C9B5-49F8-B501-E5F977886E48}">
  <dimension ref="A1:H30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668</v>
      </c>
    </row>
    <row r="3" spans="1:8" ht="21" x14ac:dyDescent="0.35">
      <c r="A3" s="2" t="s">
        <v>1</v>
      </c>
      <c r="D3" s="11">
        <v>3689000</v>
      </c>
      <c r="F3" s="12" t="s">
        <v>3</v>
      </c>
      <c r="H3" s="11">
        <f>(D3/1.19)*0.19</f>
        <v>589000</v>
      </c>
    </row>
    <row r="4" spans="1:8" x14ac:dyDescent="0.25">
      <c r="A4" s="13" t="s">
        <v>29</v>
      </c>
      <c r="C4" s="28">
        <v>963</v>
      </c>
    </row>
    <row r="5" spans="1:8" ht="21" x14ac:dyDescent="0.35">
      <c r="A5" s="2" t="s">
        <v>2</v>
      </c>
    </row>
    <row r="7" spans="1:8" ht="18.75" x14ac:dyDescent="0.3">
      <c r="A7" s="5"/>
      <c r="D7" s="4"/>
      <c r="H7" s="4"/>
    </row>
    <row r="8" spans="1:8" ht="18.75" x14ac:dyDescent="0.3">
      <c r="A8" s="5"/>
      <c r="D8" s="4"/>
      <c r="H8" s="4"/>
    </row>
    <row r="9" spans="1:8" ht="18.75" x14ac:dyDescent="0.3">
      <c r="A9" s="5"/>
      <c r="B9" s="5"/>
      <c r="C9" s="5"/>
      <c r="D9" s="4"/>
      <c r="H9" s="4"/>
    </row>
    <row r="10" spans="1:8" ht="18.75" x14ac:dyDescent="0.3">
      <c r="A10" s="5"/>
      <c r="B10" s="5"/>
      <c r="C10" s="5"/>
      <c r="D10" s="4"/>
      <c r="H10" s="4">
        <f>(D10/1.19)*0.19</f>
        <v>0</v>
      </c>
    </row>
    <row r="11" spans="1:8" ht="18.75" x14ac:dyDescent="0.3">
      <c r="A11" s="5" t="s">
        <v>669</v>
      </c>
      <c r="B11" s="5"/>
      <c r="C11" s="5"/>
      <c r="D11" s="4">
        <v>1011500</v>
      </c>
      <c r="H11" s="4">
        <f t="shared" ref="H11" si="0">(D11/1.19)*0.19</f>
        <v>161500</v>
      </c>
    </row>
    <row r="12" spans="1:8" ht="18.75" x14ac:dyDescent="0.3">
      <c r="A12" s="5" t="s">
        <v>670</v>
      </c>
      <c r="B12" s="5"/>
      <c r="C12" s="5"/>
      <c r="D12" s="4">
        <v>750000</v>
      </c>
      <c r="H12" s="4">
        <v>0</v>
      </c>
    </row>
    <row r="13" spans="1:8" ht="19.5" thickBot="1" x14ac:dyDescent="0.35">
      <c r="A13" s="5"/>
      <c r="B13" s="5"/>
      <c r="C13" s="5"/>
      <c r="D13" s="35"/>
      <c r="E13" s="27"/>
      <c r="H13" s="35"/>
    </row>
    <row r="14" spans="1:8" ht="19.5" thickTop="1" x14ac:dyDescent="0.3">
      <c r="D14" s="4">
        <f>SUM(D7:D13)</f>
        <v>1761500</v>
      </c>
      <c r="H14" s="33">
        <f>SUM(H7:H13)</f>
        <v>161500</v>
      </c>
    </row>
    <row r="16" spans="1:8" ht="18.75" x14ac:dyDescent="0.3">
      <c r="C16" t="s">
        <v>4</v>
      </c>
      <c r="D16" s="4">
        <f>D3-D14</f>
        <v>1927500</v>
      </c>
      <c r="G16" t="s">
        <v>5</v>
      </c>
      <c r="H16" s="4">
        <f>H3-H14</f>
        <v>427500</v>
      </c>
    </row>
    <row r="18" spans="1:8" x14ac:dyDescent="0.25">
      <c r="G18" t="s">
        <v>454</v>
      </c>
    </row>
    <row r="19" spans="1:8" ht="15.75" x14ac:dyDescent="0.25">
      <c r="A19" t="s">
        <v>6</v>
      </c>
      <c r="C19" s="8">
        <f>D16</f>
        <v>1927500</v>
      </c>
      <c r="E19" t="s">
        <v>10</v>
      </c>
      <c r="H19" s="6">
        <f>C28</f>
        <v>1485244</v>
      </c>
    </row>
    <row r="21" spans="1:8" ht="15.75" x14ac:dyDescent="0.25">
      <c r="A21" t="s">
        <v>5</v>
      </c>
      <c r="B21" s="9" t="s">
        <v>7</v>
      </c>
      <c r="C21" s="8">
        <f>H16</f>
        <v>427500</v>
      </c>
      <c r="E21" s="13" t="s">
        <v>11</v>
      </c>
      <c r="F21" s="9" t="s">
        <v>12</v>
      </c>
      <c r="G21" s="15" t="s">
        <v>17</v>
      </c>
      <c r="H21" s="3">
        <f>-(F22*0.0077)</f>
        <v>-23870</v>
      </c>
    </row>
    <row r="22" spans="1:8" x14ac:dyDescent="0.25">
      <c r="F22" s="21">
        <f>D3-H3</f>
        <v>3100000</v>
      </c>
    </row>
    <row r="23" spans="1:8" ht="16.5" thickBot="1" x14ac:dyDescent="0.3">
      <c r="A23" t="s">
        <v>8</v>
      </c>
      <c r="B23" s="9" t="s">
        <v>7</v>
      </c>
      <c r="C23" s="8">
        <f>D3*0.004</f>
        <v>14756</v>
      </c>
      <c r="F23" s="9" t="s">
        <v>13</v>
      </c>
      <c r="G23" s="16">
        <v>0.35</v>
      </c>
      <c r="H23" s="17">
        <f>-(F24*0.35)</f>
        <v>-519835.39999999997</v>
      </c>
    </row>
    <row r="24" spans="1:8" x14ac:dyDescent="0.25">
      <c r="F24" s="21">
        <f>H19</f>
        <v>1485244</v>
      </c>
    </row>
    <row r="25" spans="1:8" x14ac:dyDescent="0.25">
      <c r="A25" t="s">
        <v>9</v>
      </c>
      <c r="B25" s="9" t="s">
        <v>7</v>
      </c>
      <c r="G25" s="13" t="s">
        <v>14</v>
      </c>
      <c r="H25" s="6">
        <f>H19+H21+H23</f>
        <v>941538.60000000009</v>
      </c>
    </row>
    <row r="26" spans="1:8" ht="15.75" thickBot="1" x14ac:dyDescent="0.3">
      <c r="A26" s="38" t="s">
        <v>638</v>
      </c>
      <c r="B26" s="14"/>
      <c r="C26" s="7"/>
    </row>
    <row r="27" spans="1:8" x14ac:dyDescent="0.25">
      <c r="E27" t="s">
        <v>100</v>
      </c>
      <c r="H27" s="20">
        <f>H25*0.4</f>
        <v>376615.44000000006</v>
      </c>
    </row>
    <row r="28" spans="1:8" ht="15.75" x14ac:dyDescent="0.25">
      <c r="A28" t="s">
        <v>10</v>
      </c>
      <c r="C28" s="10">
        <f>C19-C21-C23-C25</f>
        <v>1485244</v>
      </c>
      <c r="H28" s="18"/>
    </row>
    <row r="29" spans="1:8" x14ac:dyDescent="0.25">
      <c r="H29" s="3"/>
    </row>
    <row r="30" spans="1:8" x14ac:dyDescent="0.25">
      <c r="H30" s="18"/>
    </row>
  </sheetData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578F0-2410-4F08-AF38-5F77D9BFC3DB}">
  <dimension ref="A1:H30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671</v>
      </c>
    </row>
    <row r="3" spans="1:8" ht="21" x14ac:dyDescent="0.35">
      <c r="A3" s="2" t="s">
        <v>1</v>
      </c>
      <c r="D3" s="11">
        <v>15470</v>
      </c>
      <c r="F3" s="12" t="s">
        <v>3</v>
      </c>
      <c r="H3" s="11">
        <f>(D3/1.19)*0.19</f>
        <v>2470</v>
      </c>
    </row>
    <row r="4" spans="1:8" x14ac:dyDescent="0.25">
      <c r="A4" s="13" t="s">
        <v>29</v>
      </c>
      <c r="C4" s="28">
        <v>966</v>
      </c>
    </row>
    <row r="5" spans="1:8" ht="21" x14ac:dyDescent="0.35">
      <c r="A5" s="2" t="s">
        <v>2</v>
      </c>
    </row>
    <row r="7" spans="1:8" ht="18.75" x14ac:dyDescent="0.3">
      <c r="A7" s="5"/>
      <c r="D7" s="4"/>
      <c r="H7" s="4"/>
    </row>
    <row r="8" spans="1:8" ht="18.75" x14ac:dyDescent="0.3">
      <c r="A8" s="5"/>
      <c r="D8" s="4"/>
      <c r="H8" s="4"/>
    </row>
    <row r="9" spans="1:8" ht="18.75" x14ac:dyDescent="0.3">
      <c r="A9" s="5"/>
      <c r="B9" s="5"/>
      <c r="C9" s="5"/>
      <c r="D9" s="4"/>
      <c r="H9" s="4"/>
    </row>
    <row r="10" spans="1:8" ht="18.75" x14ac:dyDescent="0.3">
      <c r="A10" s="5"/>
      <c r="B10" s="5"/>
      <c r="C10" s="5"/>
      <c r="D10" s="4"/>
      <c r="H10" s="4">
        <f>(D10/1.19)*0.19</f>
        <v>0</v>
      </c>
    </row>
    <row r="11" spans="1:8" ht="18.75" x14ac:dyDescent="0.3">
      <c r="A11" s="5" t="s">
        <v>425</v>
      </c>
      <c r="B11" s="5"/>
      <c r="C11" s="5"/>
      <c r="D11" s="4">
        <v>6630</v>
      </c>
      <c r="H11" s="4">
        <f t="shared" ref="H11" si="0">(D11/1.19)*0.19</f>
        <v>1058.5714285714287</v>
      </c>
    </row>
    <row r="12" spans="1:8" ht="18.75" x14ac:dyDescent="0.3">
      <c r="A12" s="5"/>
      <c r="B12" s="5"/>
      <c r="C12" s="5"/>
      <c r="D12" s="4"/>
      <c r="H12" s="4">
        <v>0</v>
      </c>
    </row>
    <row r="13" spans="1:8" ht="19.5" thickBot="1" x14ac:dyDescent="0.35">
      <c r="A13" s="5"/>
      <c r="B13" s="5"/>
      <c r="C13" s="5"/>
      <c r="D13" s="35"/>
      <c r="E13" s="27"/>
      <c r="H13" s="35"/>
    </row>
    <row r="14" spans="1:8" ht="19.5" thickTop="1" x14ac:dyDescent="0.3">
      <c r="D14" s="4">
        <f>SUM(D7:D13)</f>
        <v>6630</v>
      </c>
      <c r="H14" s="33">
        <f>SUM(H7:H13)</f>
        <v>1058.5714285714287</v>
      </c>
    </row>
    <row r="16" spans="1:8" ht="18.75" x14ac:dyDescent="0.3">
      <c r="C16" t="s">
        <v>4</v>
      </c>
      <c r="D16" s="4">
        <f>D3-D14</f>
        <v>8840</v>
      </c>
      <c r="G16" t="s">
        <v>5</v>
      </c>
      <c r="H16" s="4">
        <f>H3-H14</f>
        <v>1411.4285714285713</v>
      </c>
    </row>
    <row r="18" spans="1:8" x14ac:dyDescent="0.25">
      <c r="G18" t="s">
        <v>454</v>
      </c>
    </row>
    <row r="19" spans="1:8" ht="15.75" x14ac:dyDescent="0.25">
      <c r="A19" t="s">
        <v>6</v>
      </c>
      <c r="C19" s="8">
        <f>D16</f>
        <v>8840</v>
      </c>
      <c r="E19" t="s">
        <v>10</v>
      </c>
      <c r="H19" s="6">
        <f>C28</f>
        <v>7366.6914285714283</v>
      </c>
    </row>
    <row r="21" spans="1:8" ht="15.75" x14ac:dyDescent="0.25">
      <c r="A21" t="s">
        <v>5</v>
      </c>
      <c r="B21" s="9" t="s">
        <v>7</v>
      </c>
      <c r="C21" s="8">
        <f>H16</f>
        <v>1411.4285714285713</v>
      </c>
      <c r="E21" s="13" t="s">
        <v>11</v>
      </c>
      <c r="F21" s="9" t="s">
        <v>12</v>
      </c>
      <c r="G21" s="15" t="s">
        <v>17</v>
      </c>
      <c r="H21" s="3">
        <f>-(F22*0.0077)</f>
        <v>-100.10000000000001</v>
      </c>
    </row>
    <row r="22" spans="1:8" x14ac:dyDescent="0.25">
      <c r="F22" s="21">
        <f>D3-H3</f>
        <v>13000</v>
      </c>
    </row>
    <row r="23" spans="1:8" ht="16.5" thickBot="1" x14ac:dyDescent="0.3">
      <c r="A23" t="s">
        <v>8</v>
      </c>
      <c r="B23" s="9" t="s">
        <v>7</v>
      </c>
      <c r="C23" s="8">
        <f>D3*0.004</f>
        <v>61.88</v>
      </c>
      <c r="F23" s="9" t="s">
        <v>13</v>
      </c>
      <c r="G23" s="16">
        <v>0.35</v>
      </c>
      <c r="H23" s="17">
        <f>-(F24*0.35)</f>
        <v>-2578.3419999999996</v>
      </c>
    </row>
    <row r="24" spans="1:8" x14ac:dyDescent="0.25">
      <c r="F24" s="21">
        <f>H19</f>
        <v>7366.6914285714283</v>
      </c>
    </row>
    <row r="25" spans="1:8" x14ac:dyDescent="0.25">
      <c r="A25" t="s">
        <v>9</v>
      </c>
      <c r="B25" s="9" t="s">
        <v>7</v>
      </c>
      <c r="G25" s="13" t="s">
        <v>14</v>
      </c>
      <c r="H25" s="6">
        <f>H19+H21+H23</f>
        <v>4688.2494285714283</v>
      </c>
    </row>
    <row r="26" spans="1:8" ht="15.75" thickBot="1" x14ac:dyDescent="0.3">
      <c r="A26" s="38" t="s">
        <v>638</v>
      </c>
      <c r="B26" s="14"/>
      <c r="C26" s="7"/>
    </row>
    <row r="27" spans="1:8" x14ac:dyDescent="0.25">
      <c r="E27" t="s">
        <v>100</v>
      </c>
      <c r="H27" s="20">
        <f>H25*0.4</f>
        <v>1875.2997714285714</v>
      </c>
    </row>
    <row r="28" spans="1:8" ht="15.75" x14ac:dyDescent="0.25">
      <c r="A28" t="s">
        <v>10</v>
      </c>
      <c r="C28" s="10">
        <f>C19-C21-C23-C25</f>
        <v>7366.6914285714283</v>
      </c>
      <c r="H28" s="18"/>
    </row>
    <row r="29" spans="1:8" x14ac:dyDescent="0.25">
      <c r="H29" s="3"/>
    </row>
    <row r="30" spans="1:8" x14ac:dyDescent="0.25">
      <c r="H30" s="18"/>
    </row>
  </sheetData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A2F82-C1F6-4AD2-817B-1434E1D3E769}">
  <dimension ref="A1:H30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672</v>
      </c>
    </row>
    <row r="3" spans="1:8" ht="21" x14ac:dyDescent="0.35">
      <c r="A3" s="2" t="s">
        <v>1</v>
      </c>
      <c r="D3" s="11">
        <v>68425</v>
      </c>
      <c r="F3" s="12" t="s">
        <v>3</v>
      </c>
      <c r="H3" s="11">
        <f>(D3/1.19)*0.19</f>
        <v>10925</v>
      </c>
    </row>
    <row r="4" spans="1:8" x14ac:dyDescent="0.25">
      <c r="A4" s="13" t="s">
        <v>29</v>
      </c>
      <c r="C4" s="28">
        <v>967</v>
      </c>
    </row>
    <row r="5" spans="1:8" ht="21" x14ac:dyDescent="0.35">
      <c r="A5" s="2" t="s">
        <v>2</v>
      </c>
    </row>
    <row r="7" spans="1:8" ht="18.75" x14ac:dyDescent="0.3">
      <c r="A7" s="5"/>
      <c r="D7" s="4"/>
      <c r="H7" s="4"/>
    </row>
    <row r="8" spans="1:8" ht="18.75" x14ac:dyDescent="0.3">
      <c r="A8" s="5"/>
      <c r="D8" s="4"/>
      <c r="H8" s="4"/>
    </row>
    <row r="9" spans="1:8" ht="18.75" x14ac:dyDescent="0.3">
      <c r="A9" s="5"/>
      <c r="B9" s="5"/>
      <c r="C9" s="5"/>
      <c r="D9" s="4"/>
      <c r="H9" s="4"/>
    </row>
    <row r="10" spans="1:8" ht="18.75" x14ac:dyDescent="0.3">
      <c r="A10" s="5"/>
      <c r="B10" s="5"/>
      <c r="C10" s="5"/>
      <c r="D10" s="4"/>
      <c r="H10" s="4">
        <f>(D10/1.19)*0.19</f>
        <v>0</v>
      </c>
    </row>
    <row r="11" spans="1:8" ht="18.75" x14ac:dyDescent="0.3">
      <c r="A11" s="5" t="s">
        <v>425</v>
      </c>
      <c r="B11" s="5"/>
      <c r="C11" s="5"/>
      <c r="D11" s="4">
        <v>18200</v>
      </c>
      <c r="H11" s="4">
        <f t="shared" ref="H11:H12" si="0">(D11/1.19)*0.19</f>
        <v>2905.8823529411766</v>
      </c>
    </row>
    <row r="12" spans="1:8" ht="18.75" x14ac:dyDescent="0.3">
      <c r="A12" s="5" t="s">
        <v>673</v>
      </c>
      <c r="B12" s="5"/>
      <c r="C12" s="5"/>
      <c r="D12" s="4">
        <v>20000</v>
      </c>
      <c r="H12" s="4">
        <f t="shared" si="0"/>
        <v>3193.2773109243699</v>
      </c>
    </row>
    <row r="13" spans="1:8" ht="19.5" thickBot="1" x14ac:dyDescent="0.35">
      <c r="A13" s="5"/>
      <c r="B13" s="5"/>
      <c r="C13" s="5"/>
      <c r="D13" s="35"/>
      <c r="E13" s="27"/>
      <c r="H13" s="35"/>
    </row>
    <row r="14" spans="1:8" ht="19.5" thickTop="1" x14ac:dyDescent="0.3">
      <c r="D14" s="4">
        <f>SUM(D7:D13)</f>
        <v>38200</v>
      </c>
      <c r="H14" s="33">
        <f>SUM(H7:H13)</f>
        <v>6099.1596638655465</v>
      </c>
    </row>
    <row r="16" spans="1:8" ht="18.75" x14ac:dyDescent="0.3">
      <c r="C16" t="s">
        <v>4</v>
      </c>
      <c r="D16" s="4">
        <f>D3-D14</f>
        <v>30225</v>
      </c>
      <c r="G16" t="s">
        <v>5</v>
      </c>
      <c r="H16" s="4">
        <f>H3-H14</f>
        <v>4825.8403361344535</v>
      </c>
    </row>
    <row r="18" spans="1:8" x14ac:dyDescent="0.25">
      <c r="G18" t="s">
        <v>454</v>
      </c>
    </row>
    <row r="19" spans="1:8" ht="15.75" x14ac:dyDescent="0.25">
      <c r="A19" t="s">
        <v>6</v>
      </c>
      <c r="C19" s="8">
        <f>D16</f>
        <v>30225</v>
      </c>
      <c r="E19" t="s">
        <v>10</v>
      </c>
      <c r="H19" s="6">
        <f>C28</f>
        <v>25125.459663865546</v>
      </c>
    </row>
    <row r="21" spans="1:8" ht="15.75" x14ac:dyDescent="0.25">
      <c r="A21" t="s">
        <v>5</v>
      </c>
      <c r="B21" s="9" t="s">
        <v>7</v>
      </c>
      <c r="C21" s="8">
        <f>H16</f>
        <v>4825.8403361344535</v>
      </c>
      <c r="E21" s="13" t="s">
        <v>11</v>
      </c>
      <c r="F21" s="9" t="s">
        <v>12</v>
      </c>
      <c r="G21" s="15" t="s">
        <v>17</v>
      </c>
      <c r="H21" s="3">
        <f>-(F22*0.0077)</f>
        <v>-442.75</v>
      </c>
    </row>
    <row r="22" spans="1:8" x14ac:dyDescent="0.25">
      <c r="F22" s="21">
        <f>D3-H3</f>
        <v>57500</v>
      </c>
    </row>
    <row r="23" spans="1:8" ht="16.5" thickBot="1" x14ac:dyDescent="0.3">
      <c r="A23" t="s">
        <v>8</v>
      </c>
      <c r="B23" s="9" t="s">
        <v>7</v>
      </c>
      <c r="C23" s="8">
        <f>D3*0.004</f>
        <v>273.7</v>
      </c>
      <c r="F23" s="9" t="s">
        <v>13</v>
      </c>
      <c r="G23" s="16">
        <v>0.35</v>
      </c>
      <c r="H23" s="17">
        <f>-(F24*0.35)</f>
        <v>-8793.9108823529405</v>
      </c>
    </row>
    <row r="24" spans="1:8" x14ac:dyDescent="0.25">
      <c r="F24" s="21">
        <f>H19</f>
        <v>25125.459663865546</v>
      </c>
    </row>
    <row r="25" spans="1:8" x14ac:dyDescent="0.25">
      <c r="A25" t="s">
        <v>9</v>
      </c>
      <c r="B25" s="9" t="s">
        <v>7</v>
      </c>
      <c r="G25" s="13" t="s">
        <v>14</v>
      </c>
      <c r="H25" s="6">
        <f>H19+H21+H23</f>
        <v>15888.798781512605</v>
      </c>
    </row>
    <row r="26" spans="1:8" ht="15.75" thickBot="1" x14ac:dyDescent="0.3">
      <c r="A26" s="38" t="s">
        <v>638</v>
      </c>
      <c r="B26" s="14"/>
      <c r="C26" s="7"/>
    </row>
    <row r="27" spans="1:8" x14ac:dyDescent="0.25">
      <c r="E27" t="s">
        <v>100</v>
      </c>
      <c r="H27" s="20">
        <f>H25*0.4</f>
        <v>6355.5195126050421</v>
      </c>
    </row>
    <row r="28" spans="1:8" ht="15.75" x14ac:dyDescent="0.25">
      <c r="A28" t="s">
        <v>10</v>
      </c>
      <c r="C28" s="10">
        <f>C19-C21-C23-C25</f>
        <v>25125.459663865546</v>
      </c>
      <c r="H28" s="18"/>
    </row>
    <row r="29" spans="1:8" x14ac:dyDescent="0.25">
      <c r="H29" s="3"/>
    </row>
    <row r="30" spans="1:8" x14ac:dyDescent="0.25">
      <c r="H30" s="18"/>
    </row>
  </sheetData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1AE98-872D-4923-98F0-A93273F0DA33}">
  <dimension ref="A1:H30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674</v>
      </c>
    </row>
    <row r="3" spans="1:8" ht="21" x14ac:dyDescent="0.35">
      <c r="A3" s="2" t="s">
        <v>1</v>
      </c>
      <c r="D3" s="11">
        <v>99008</v>
      </c>
      <c r="F3" s="12" t="s">
        <v>3</v>
      </c>
      <c r="H3" s="11">
        <f>(D3/1.19)*0.19</f>
        <v>15808</v>
      </c>
    </row>
    <row r="4" spans="1:8" x14ac:dyDescent="0.25">
      <c r="A4" s="13" t="s">
        <v>29</v>
      </c>
      <c r="C4" s="28">
        <v>969</v>
      </c>
    </row>
    <row r="5" spans="1:8" ht="21" x14ac:dyDescent="0.35">
      <c r="A5" s="2" t="s">
        <v>2</v>
      </c>
    </row>
    <row r="7" spans="1:8" ht="18.75" x14ac:dyDescent="0.3">
      <c r="A7" s="5"/>
      <c r="D7" s="4"/>
      <c r="H7" s="4"/>
    </row>
    <row r="8" spans="1:8" ht="18.75" x14ac:dyDescent="0.3">
      <c r="A8" s="5"/>
      <c r="D8" s="4"/>
      <c r="H8" s="4"/>
    </row>
    <row r="9" spans="1:8" ht="18.75" x14ac:dyDescent="0.3">
      <c r="A9" s="5"/>
      <c r="B9" s="5"/>
      <c r="C9" s="5"/>
      <c r="D9" s="4"/>
      <c r="H9" s="4"/>
    </row>
    <row r="10" spans="1:8" ht="18.75" x14ac:dyDescent="0.3">
      <c r="A10" s="5"/>
      <c r="B10" s="5"/>
      <c r="C10" s="5"/>
      <c r="D10" s="4"/>
      <c r="H10" s="4">
        <f>(D10/1.19)*0.19</f>
        <v>0</v>
      </c>
    </row>
    <row r="11" spans="1:8" ht="18.75" x14ac:dyDescent="0.3">
      <c r="A11" s="5" t="s">
        <v>209</v>
      </c>
      <c r="B11" s="5"/>
      <c r="C11" s="5"/>
      <c r="D11" s="4">
        <v>58200</v>
      </c>
      <c r="H11" s="4">
        <f t="shared" ref="H11:H12" si="0">(D11/1.19)*0.19</f>
        <v>9292.4369747899163</v>
      </c>
    </row>
    <row r="12" spans="1:8" ht="18.75" x14ac:dyDescent="0.3">
      <c r="A12" s="5"/>
      <c r="B12" s="5"/>
      <c r="C12" s="5"/>
      <c r="D12" s="4"/>
      <c r="H12" s="4">
        <f t="shared" si="0"/>
        <v>0</v>
      </c>
    </row>
    <row r="13" spans="1:8" ht="19.5" thickBot="1" x14ac:dyDescent="0.35">
      <c r="A13" s="5"/>
      <c r="B13" s="5"/>
      <c r="C13" s="5"/>
      <c r="D13" s="35"/>
      <c r="E13" s="27"/>
      <c r="H13" s="35"/>
    </row>
    <row r="14" spans="1:8" ht="19.5" thickTop="1" x14ac:dyDescent="0.3">
      <c r="D14" s="4">
        <f>SUM(D7:D13)</f>
        <v>58200</v>
      </c>
      <c r="H14" s="33">
        <f>SUM(H7:H13)</f>
        <v>9292.4369747899163</v>
      </c>
    </row>
    <row r="16" spans="1:8" ht="18.75" x14ac:dyDescent="0.3">
      <c r="C16" t="s">
        <v>4</v>
      </c>
      <c r="D16" s="4">
        <f>D3-D14</f>
        <v>40808</v>
      </c>
      <c r="G16" t="s">
        <v>5</v>
      </c>
      <c r="H16" s="4">
        <f>H3-H14</f>
        <v>6515.5630252100837</v>
      </c>
    </row>
    <row r="18" spans="1:8" x14ac:dyDescent="0.25">
      <c r="G18" t="s">
        <v>454</v>
      </c>
    </row>
    <row r="19" spans="1:8" ht="15.75" x14ac:dyDescent="0.25">
      <c r="A19" t="s">
        <v>6</v>
      </c>
      <c r="C19" s="8">
        <f>D16</f>
        <v>40808</v>
      </c>
      <c r="E19" t="s">
        <v>10</v>
      </c>
      <c r="H19" s="6">
        <f>C28</f>
        <v>33896.404974789919</v>
      </c>
    </row>
    <row r="21" spans="1:8" ht="15.75" x14ac:dyDescent="0.25">
      <c r="A21" t="s">
        <v>5</v>
      </c>
      <c r="B21" s="9" t="s">
        <v>7</v>
      </c>
      <c r="C21" s="8">
        <f>H16</f>
        <v>6515.5630252100837</v>
      </c>
      <c r="E21" s="13" t="s">
        <v>11</v>
      </c>
      <c r="F21" s="9" t="s">
        <v>12</v>
      </c>
      <c r="G21" s="15" t="s">
        <v>17</v>
      </c>
      <c r="H21" s="3">
        <f>-(F22*0.0077)</f>
        <v>-640.64</v>
      </c>
    </row>
    <row r="22" spans="1:8" x14ac:dyDescent="0.25">
      <c r="F22" s="21">
        <f>D3-H3</f>
        <v>83200</v>
      </c>
    </row>
    <row r="23" spans="1:8" ht="16.5" thickBot="1" x14ac:dyDescent="0.3">
      <c r="A23" t="s">
        <v>8</v>
      </c>
      <c r="B23" s="9" t="s">
        <v>7</v>
      </c>
      <c r="C23" s="8">
        <f>D3*0.004</f>
        <v>396.03199999999998</v>
      </c>
      <c r="F23" s="9" t="s">
        <v>13</v>
      </c>
      <c r="G23" s="16">
        <v>0.35</v>
      </c>
      <c r="H23" s="17">
        <f>-(F24*0.35)</f>
        <v>-11863.741741176471</v>
      </c>
    </row>
    <row r="24" spans="1:8" x14ac:dyDescent="0.25">
      <c r="F24" s="21">
        <f>H19</f>
        <v>33896.404974789919</v>
      </c>
    </row>
    <row r="25" spans="1:8" x14ac:dyDescent="0.25">
      <c r="A25" t="s">
        <v>9</v>
      </c>
      <c r="B25" s="9" t="s">
        <v>7</v>
      </c>
      <c r="G25" s="13" t="s">
        <v>14</v>
      </c>
      <c r="H25" s="6">
        <f>H19+H21+H23</f>
        <v>21392.02323361345</v>
      </c>
    </row>
    <row r="26" spans="1:8" ht="15.75" thickBot="1" x14ac:dyDescent="0.3">
      <c r="A26" s="38" t="s">
        <v>638</v>
      </c>
      <c r="B26" s="14"/>
      <c r="C26" s="7"/>
    </row>
    <row r="27" spans="1:8" x14ac:dyDescent="0.25">
      <c r="E27" t="s">
        <v>100</v>
      </c>
      <c r="H27" s="20">
        <f>H25*0.4</f>
        <v>8556.8092934453798</v>
      </c>
    </row>
    <row r="28" spans="1:8" ht="15.75" x14ac:dyDescent="0.25">
      <c r="A28" t="s">
        <v>10</v>
      </c>
      <c r="C28" s="10">
        <f>C19-C21-C23-C25</f>
        <v>33896.404974789919</v>
      </c>
      <c r="H28" s="18"/>
    </row>
    <row r="29" spans="1:8" x14ac:dyDescent="0.25">
      <c r="H29" s="3"/>
    </row>
    <row r="30" spans="1:8" x14ac:dyDescent="0.25">
      <c r="H30" s="18"/>
    </row>
  </sheetData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FBB21-E95E-4A18-A281-0BB8E574B79A}">
  <dimension ref="A1:H30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675</v>
      </c>
    </row>
    <row r="3" spans="1:8" ht="21" x14ac:dyDescent="0.35">
      <c r="A3" s="2" t="s">
        <v>1</v>
      </c>
      <c r="D3" s="11">
        <v>19278</v>
      </c>
      <c r="F3" s="12" t="s">
        <v>3</v>
      </c>
      <c r="H3" s="11">
        <f>(D3/1.19)*0.19</f>
        <v>3078</v>
      </c>
    </row>
    <row r="4" spans="1:8" x14ac:dyDescent="0.25">
      <c r="A4" s="13" t="s">
        <v>29</v>
      </c>
      <c r="C4" s="28">
        <v>971</v>
      </c>
    </row>
    <row r="5" spans="1:8" ht="21" x14ac:dyDescent="0.35">
      <c r="A5" s="2" t="s">
        <v>2</v>
      </c>
    </row>
    <row r="7" spans="1:8" ht="18.75" x14ac:dyDescent="0.3">
      <c r="A7" s="5"/>
      <c r="D7" s="4"/>
      <c r="H7" s="4"/>
    </row>
    <row r="8" spans="1:8" ht="18.75" x14ac:dyDescent="0.3">
      <c r="A8" s="5"/>
      <c r="D8" s="4"/>
      <c r="H8" s="4"/>
    </row>
    <row r="9" spans="1:8" ht="18.75" x14ac:dyDescent="0.3">
      <c r="A9" s="5"/>
      <c r="B9" s="5"/>
      <c r="C9" s="5"/>
      <c r="D9" s="4"/>
      <c r="H9" s="4"/>
    </row>
    <row r="10" spans="1:8" ht="18.75" x14ac:dyDescent="0.3">
      <c r="A10" s="5"/>
      <c r="B10" s="5"/>
      <c r="C10" s="5"/>
      <c r="D10" s="4"/>
      <c r="H10" s="4">
        <f>(D10/1.19)*0.19</f>
        <v>0</v>
      </c>
    </row>
    <row r="11" spans="1:8" ht="18.75" x14ac:dyDescent="0.3">
      <c r="A11" s="5" t="s">
        <v>209</v>
      </c>
      <c r="B11" s="5"/>
      <c r="C11" s="5"/>
      <c r="D11" s="4">
        <v>14280</v>
      </c>
      <c r="H11" s="4">
        <f t="shared" ref="H11:H12" si="0">(D11/1.19)*0.19</f>
        <v>2280</v>
      </c>
    </row>
    <row r="12" spans="1:8" ht="18.75" x14ac:dyDescent="0.3">
      <c r="A12" s="5"/>
      <c r="B12" s="5"/>
      <c r="C12" s="5"/>
      <c r="D12" s="4"/>
      <c r="H12" s="4">
        <f t="shared" si="0"/>
        <v>0</v>
      </c>
    </row>
    <row r="13" spans="1:8" ht="19.5" thickBot="1" x14ac:dyDescent="0.35">
      <c r="A13" s="5"/>
      <c r="B13" s="5"/>
      <c r="C13" s="5"/>
      <c r="D13" s="35"/>
      <c r="E13" s="27"/>
      <c r="H13" s="35"/>
    </row>
    <row r="14" spans="1:8" ht="19.5" thickTop="1" x14ac:dyDescent="0.3">
      <c r="D14" s="4">
        <f>SUM(D7:D13)</f>
        <v>14280</v>
      </c>
      <c r="H14" s="33">
        <f>SUM(H7:H13)</f>
        <v>2280</v>
      </c>
    </row>
    <row r="16" spans="1:8" ht="18.75" x14ac:dyDescent="0.3">
      <c r="C16" t="s">
        <v>4</v>
      </c>
      <c r="D16" s="4">
        <f>D3-D14</f>
        <v>4998</v>
      </c>
      <c r="G16" t="s">
        <v>5</v>
      </c>
      <c r="H16" s="4">
        <f>H3-H14</f>
        <v>798</v>
      </c>
    </row>
    <row r="18" spans="1:8" x14ac:dyDescent="0.25">
      <c r="G18" t="s">
        <v>454</v>
      </c>
    </row>
    <row r="19" spans="1:8" ht="15.75" x14ac:dyDescent="0.25">
      <c r="A19" t="s">
        <v>6</v>
      </c>
      <c r="C19" s="8">
        <f>D16</f>
        <v>4998</v>
      </c>
      <c r="E19" t="s">
        <v>10</v>
      </c>
      <c r="H19" s="6">
        <f>C28</f>
        <v>4122.8879999999999</v>
      </c>
    </row>
    <row r="21" spans="1:8" ht="15.75" x14ac:dyDescent="0.25">
      <c r="A21" t="s">
        <v>5</v>
      </c>
      <c r="B21" s="9" t="s">
        <v>7</v>
      </c>
      <c r="C21" s="8">
        <f>H16</f>
        <v>798</v>
      </c>
      <c r="E21" s="13" t="s">
        <v>11</v>
      </c>
      <c r="F21" s="9" t="s">
        <v>12</v>
      </c>
      <c r="G21" s="15" t="s">
        <v>17</v>
      </c>
      <c r="H21" s="3">
        <f>-(F22*0.0077)</f>
        <v>-124.74000000000001</v>
      </c>
    </row>
    <row r="22" spans="1:8" x14ac:dyDescent="0.25">
      <c r="F22" s="21">
        <f>D3-H3</f>
        <v>16200</v>
      </c>
    </row>
    <row r="23" spans="1:8" ht="16.5" thickBot="1" x14ac:dyDescent="0.3">
      <c r="A23" t="s">
        <v>8</v>
      </c>
      <c r="B23" s="9" t="s">
        <v>7</v>
      </c>
      <c r="C23" s="8">
        <f>D3*0.004</f>
        <v>77.111999999999995</v>
      </c>
      <c r="F23" s="9" t="s">
        <v>13</v>
      </c>
      <c r="G23" s="16">
        <v>0.35</v>
      </c>
      <c r="H23" s="17">
        <f>-(F24*0.35)</f>
        <v>-1443.0107999999998</v>
      </c>
    </row>
    <row r="24" spans="1:8" x14ac:dyDescent="0.25">
      <c r="F24" s="21">
        <f>H19</f>
        <v>4122.8879999999999</v>
      </c>
    </row>
    <row r="25" spans="1:8" x14ac:dyDescent="0.25">
      <c r="A25" t="s">
        <v>9</v>
      </c>
      <c r="B25" s="9" t="s">
        <v>7</v>
      </c>
      <c r="G25" s="13" t="s">
        <v>14</v>
      </c>
      <c r="H25" s="6">
        <f>H19+H21+H23</f>
        <v>2555.1372000000001</v>
      </c>
    </row>
    <row r="26" spans="1:8" ht="15.75" thickBot="1" x14ac:dyDescent="0.3">
      <c r="A26" s="38" t="s">
        <v>638</v>
      </c>
      <c r="B26" s="14"/>
      <c r="C26" s="7"/>
    </row>
    <row r="27" spans="1:8" x14ac:dyDescent="0.25">
      <c r="E27" t="s">
        <v>100</v>
      </c>
      <c r="H27" s="20">
        <f>H25*0.4</f>
        <v>1022.0548800000001</v>
      </c>
    </row>
    <row r="28" spans="1:8" ht="15.75" x14ac:dyDescent="0.25">
      <c r="A28" t="s">
        <v>10</v>
      </c>
      <c r="C28" s="10">
        <f>C19-C21-C23-C25</f>
        <v>4122.8879999999999</v>
      </c>
      <c r="H28" s="18"/>
    </row>
    <row r="29" spans="1:8" x14ac:dyDescent="0.25">
      <c r="H29" s="3"/>
    </row>
    <row r="30" spans="1:8" x14ac:dyDescent="0.25">
      <c r="H30" s="18"/>
    </row>
  </sheetData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88E90-BDE7-4FAB-BDCE-6FA42D0AF647}">
  <dimension ref="A1:H30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676</v>
      </c>
    </row>
    <row r="3" spans="1:8" ht="21" x14ac:dyDescent="0.35">
      <c r="A3" s="2" t="s">
        <v>1</v>
      </c>
      <c r="D3" s="11">
        <v>698732</v>
      </c>
      <c r="F3" s="12" t="s">
        <v>3</v>
      </c>
      <c r="H3" s="11">
        <f>(D3/1.19)*0.19</f>
        <v>111562.25210084034</v>
      </c>
    </row>
    <row r="4" spans="1:8" x14ac:dyDescent="0.25">
      <c r="A4" s="13" t="s">
        <v>29</v>
      </c>
      <c r="C4" s="28">
        <v>972</v>
      </c>
    </row>
    <row r="5" spans="1:8" ht="21" x14ac:dyDescent="0.35">
      <c r="A5" s="2" t="s">
        <v>2</v>
      </c>
    </row>
    <row r="7" spans="1:8" ht="18.75" x14ac:dyDescent="0.3">
      <c r="A7" s="5"/>
      <c r="D7" s="4"/>
      <c r="H7" s="4"/>
    </row>
    <row r="8" spans="1:8" ht="18.75" x14ac:dyDescent="0.3">
      <c r="A8" s="5"/>
      <c r="D8" s="4"/>
      <c r="H8" s="4"/>
    </row>
    <row r="9" spans="1:8" ht="18.75" x14ac:dyDescent="0.3">
      <c r="A9" s="5"/>
      <c r="B9" s="5"/>
      <c r="C9" s="5"/>
      <c r="D9" s="4"/>
      <c r="H9" s="4"/>
    </row>
    <row r="10" spans="1:8" ht="18.75" x14ac:dyDescent="0.3">
      <c r="A10" s="5"/>
      <c r="B10" s="5"/>
      <c r="C10" s="5"/>
      <c r="D10" s="4"/>
      <c r="H10" s="4">
        <f>(D10/1.19)*0.19</f>
        <v>0</v>
      </c>
    </row>
    <row r="11" spans="1:8" ht="18.75" x14ac:dyDescent="0.3">
      <c r="A11" s="5" t="s">
        <v>209</v>
      </c>
      <c r="B11" s="5"/>
      <c r="C11" s="5"/>
      <c r="D11" s="4">
        <v>213468</v>
      </c>
      <c r="H11" s="4">
        <f t="shared" ref="H11:H12" si="0">(D11/1.19)*0.19</f>
        <v>34083.126050420171</v>
      </c>
    </row>
    <row r="12" spans="1:8" ht="18.75" x14ac:dyDescent="0.3">
      <c r="A12" s="5" t="s">
        <v>560</v>
      </c>
      <c r="B12" s="5"/>
      <c r="C12" s="5"/>
      <c r="D12" s="4">
        <v>201658</v>
      </c>
      <c r="H12" s="4">
        <f t="shared" si="0"/>
        <v>32197.495798319331</v>
      </c>
    </row>
    <row r="13" spans="1:8" ht="19.5" thickBot="1" x14ac:dyDescent="0.35">
      <c r="A13" s="5" t="s">
        <v>92</v>
      </c>
      <c r="B13" s="5"/>
      <c r="C13" s="5"/>
      <c r="D13" s="35"/>
      <c r="E13" s="27"/>
      <c r="H13" s="35"/>
    </row>
    <row r="14" spans="1:8" ht="19.5" thickTop="1" x14ac:dyDescent="0.3">
      <c r="D14" s="4">
        <f>SUM(D7:D13)</f>
        <v>415126</v>
      </c>
      <c r="H14" s="33">
        <f>SUM(H7:H13)</f>
        <v>66280.621848739509</v>
      </c>
    </row>
    <row r="16" spans="1:8" ht="18.75" x14ac:dyDescent="0.3">
      <c r="C16" t="s">
        <v>4</v>
      </c>
      <c r="D16" s="4">
        <f>D3-D14</f>
        <v>283606</v>
      </c>
      <c r="G16" t="s">
        <v>5</v>
      </c>
      <c r="H16" s="4">
        <f>H3-H14</f>
        <v>45281.630252100833</v>
      </c>
    </row>
    <row r="18" spans="1:8" x14ac:dyDescent="0.25">
      <c r="G18" t="s">
        <v>454</v>
      </c>
    </row>
    <row r="19" spans="1:8" ht="15.75" x14ac:dyDescent="0.25">
      <c r="A19" t="s">
        <v>6</v>
      </c>
      <c r="C19" s="8">
        <f>D16</f>
        <v>283606</v>
      </c>
      <c r="E19" t="s">
        <v>10</v>
      </c>
      <c r="H19" s="6">
        <f>C28</f>
        <v>235529.44174789917</v>
      </c>
    </row>
    <row r="21" spans="1:8" ht="15.75" x14ac:dyDescent="0.25">
      <c r="A21" t="s">
        <v>5</v>
      </c>
      <c r="B21" s="9" t="s">
        <v>7</v>
      </c>
      <c r="C21" s="8">
        <f>H16</f>
        <v>45281.630252100833</v>
      </c>
      <c r="E21" s="13" t="s">
        <v>11</v>
      </c>
      <c r="F21" s="9" t="s">
        <v>12</v>
      </c>
      <c r="G21" s="15" t="s">
        <v>17</v>
      </c>
      <c r="H21" s="3">
        <f>-(F22*0.0077)</f>
        <v>-4521.2070588235292</v>
      </c>
    </row>
    <row r="22" spans="1:8" x14ac:dyDescent="0.25">
      <c r="F22" s="21">
        <f>D3-H3</f>
        <v>587169.74789915967</v>
      </c>
    </row>
    <row r="23" spans="1:8" ht="16.5" thickBot="1" x14ac:dyDescent="0.3">
      <c r="A23" t="s">
        <v>8</v>
      </c>
      <c r="B23" s="9" t="s">
        <v>7</v>
      </c>
      <c r="C23" s="8">
        <f>D3*0.004</f>
        <v>2794.9279999999999</v>
      </c>
      <c r="F23" s="9" t="s">
        <v>13</v>
      </c>
      <c r="G23" s="16">
        <v>0.35</v>
      </c>
      <c r="H23" s="17">
        <f>-(F24*0.35)</f>
        <v>-82435.304611764703</v>
      </c>
    </row>
    <row r="24" spans="1:8" x14ac:dyDescent="0.25">
      <c r="F24" s="21">
        <f>H19</f>
        <v>235529.44174789917</v>
      </c>
    </row>
    <row r="25" spans="1:8" x14ac:dyDescent="0.25">
      <c r="A25" t="s">
        <v>9</v>
      </c>
      <c r="B25" s="9" t="s">
        <v>7</v>
      </c>
      <c r="G25" s="13" t="s">
        <v>14</v>
      </c>
      <c r="H25" s="6">
        <f>H19+H21+H23</f>
        <v>148572.93007731094</v>
      </c>
    </row>
    <row r="26" spans="1:8" ht="15.75" thickBot="1" x14ac:dyDescent="0.3">
      <c r="A26" s="38" t="s">
        <v>638</v>
      </c>
      <c r="B26" s="14"/>
      <c r="C26" s="7"/>
    </row>
    <row r="27" spans="1:8" x14ac:dyDescent="0.25">
      <c r="E27" t="s">
        <v>100</v>
      </c>
      <c r="H27" s="20">
        <f>H25*0.4</f>
        <v>59429.172030924383</v>
      </c>
    </row>
    <row r="28" spans="1:8" ht="15.75" x14ac:dyDescent="0.25">
      <c r="A28" t="s">
        <v>10</v>
      </c>
      <c r="C28" s="10">
        <f>C19-C21-C23-C25</f>
        <v>235529.44174789917</v>
      </c>
      <c r="H28" s="18"/>
    </row>
    <row r="29" spans="1:8" x14ac:dyDescent="0.25">
      <c r="H29" s="3"/>
    </row>
    <row r="30" spans="1:8" x14ac:dyDescent="0.25">
      <c r="H30" s="18"/>
    </row>
  </sheetData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6FA2D-7B5B-478B-BEBF-CE785252DD92}">
  <dimension ref="A1:H30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679</v>
      </c>
    </row>
    <row r="3" spans="1:8" ht="21" x14ac:dyDescent="0.35">
      <c r="A3" s="2" t="s">
        <v>1</v>
      </c>
      <c r="D3" s="11">
        <v>327845</v>
      </c>
      <c r="F3" s="12" t="s">
        <v>3</v>
      </c>
      <c r="H3" s="11">
        <f>(D3/1.19)*0.19</f>
        <v>52345</v>
      </c>
    </row>
    <row r="4" spans="1:8" x14ac:dyDescent="0.25">
      <c r="A4" s="13" t="s">
        <v>29</v>
      </c>
      <c r="C4" s="28">
        <v>977</v>
      </c>
    </row>
    <row r="5" spans="1:8" ht="21" x14ac:dyDescent="0.35">
      <c r="A5" s="2" t="s">
        <v>2</v>
      </c>
    </row>
    <row r="7" spans="1:8" ht="18.75" x14ac:dyDescent="0.3">
      <c r="A7" s="5"/>
      <c r="D7" s="4"/>
      <c r="H7" s="4"/>
    </row>
    <row r="8" spans="1:8" ht="18.75" x14ac:dyDescent="0.3">
      <c r="A8" s="5"/>
      <c r="D8" s="4"/>
      <c r="H8" s="4"/>
    </row>
    <row r="9" spans="1:8" ht="18.75" x14ac:dyDescent="0.3">
      <c r="A9" s="5"/>
      <c r="B9" s="5"/>
      <c r="C9" s="5"/>
      <c r="D9" s="4"/>
      <c r="H9" s="4"/>
    </row>
    <row r="10" spans="1:8" ht="18.75" x14ac:dyDescent="0.3">
      <c r="A10" s="5"/>
      <c r="B10" s="5"/>
      <c r="C10" s="5"/>
      <c r="D10" s="4"/>
      <c r="H10" s="4">
        <f>(D10/1.19)*0.19</f>
        <v>0</v>
      </c>
    </row>
    <row r="11" spans="1:8" ht="18.75" x14ac:dyDescent="0.3">
      <c r="A11" s="5" t="s">
        <v>208</v>
      </c>
      <c r="B11" s="5"/>
      <c r="C11" s="5"/>
      <c r="D11" s="4">
        <v>150000</v>
      </c>
      <c r="H11" s="4">
        <f t="shared" ref="H11:H12" si="0">(D11/1.19)*0.19</f>
        <v>23949.579831932773</v>
      </c>
    </row>
    <row r="12" spans="1:8" ht="18.75" x14ac:dyDescent="0.3">
      <c r="A12" s="5"/>
      <c r="B12" s="5"/>
      <c r="C12" s="5"/>
      <c r="D12" s="4"/>
      <c r="H12" s="4">
        <f t="shared" si="0"/>
        <v>0</v>
      </c>
    </row>
    <row r="13" spans="1:8" ht="19.5" thickBot="1" x14ac:dyDescent="0.35">
      <c r="A13" s="5"/>
      <c r="B13" s="5"/>
      <c r="C13" s="5"/>
      <c r="D13" s="35"/>
      <c r="E13" s="27"/>
      <c r="H13" s="35"/>
    </row>
    <row r="14" spans="1:8" ht="19.5" thickTop="1" x14ac:dyDescent="0.3">
      <c r="D14" s="4">
        <f>SUM(D7:D13)</f>
        <v>150000</v>
      </c>
      <c r="H14" s="33">
        <f>SUM(H7:H13)</f>
        <v>23949.579831932773</v>
      </c>
    </row>
    <row r="16" spans="1:8" ht="18.75" x14ac:dyDescent="0.3">
      <c r="C16" t="s">
        <v>4</v>
      </c>
      <c r="D16" s="4">
        <f>D3-D14</f>
        <v>177845</v>
      </c>
      <c r="G16" t="s">
        <v>5</v>
      </c>
      <c r="H16" s="4">
        <f>H3-H14</f>
        <v>28395.420168067227</v>
      </c>
    </row>
    <row r="18" spans="1:8" x14ac:dyDescent="0.25">
      <c r="G18" t="s">
        <v>454</v>
      </c>
    </row>
    <row r="19" spans="1:8" ht="15.75" x14ac:dyDescent="0.25">
      <c r="A19" t="s">
        <v>6</v>
      </c>
      <c r="C19" s="8">
        <f>D16</f>
        <v>177845</v>
      </c>
      <c r="E19" t="s">
        <v>10</v>
      </c>
      <c r="H19" s="6">
        <f>C28</f>
        <v>148138.19983193278</v>
      </c>
    </row>
    <row r="21" spans="1:8" ht="15.75" x14ac:dyDescent="0.25">
      <c r="A21" t="s">
        <v>5</v>
      </c>
      <c r="B21" s="9" t="s">
        <v>7</v>
      </c>
      <c r="C21" s="8">
        <f>H16</f>
        <v>28395.420168067227</v>
      </c>
      <c r="E21" s="13" t="s">
        <v>11</v>
      </c>
      <c r="F21" s="9" t="s">
        <v>12</v>
      </c>
      <c r="G21" s="15" t="s">
        <v>17</v>
      </c>
      <c r="H21" s="3">
        <f>-(F22*0.0077)</f>
        <v>-2121.35</v>
      </c>
    </row>
    <row r="22" spans="1:8" x14ac:dyDescent="0.25">
      <c r="F22" s="21">
        <f>D3-H3</f>
        <v>275500</v>
      </c>
    </row>
    <row r="23" spans="1:8" ht="16.5" thickBot="1" x14ac:dyDescent="0.3">
      <c r="A23" t="s">
        <v>8</v>
      </c>
      <c r="B23" s="9" t="s">
        <v>7</v>
      </c>
      <c r="C23" s="8">
        <f>D3*0.004</f>
        <v>1311.38</v>
      </c>
      <c r="F23" s="9" t="s">
        <v>13</v>
      </c>
      <c r="G23" s="16">
        <v>0.35</v>
      </c>
      <c r="H23" s="17">
        <f>-(F24*0.35)</f>
        <v>-51848.369941176468</v>
      </c>
    </row>
    <row r="24" spans="1:8" x14ac:dyDescent="0.25">
      <c r="F24" s="21">
        <f>H19</f>
        <v>148138.19983193278</v>
      </c>
    </row>
    <row r="25" spans="1:8" x14ac:dyDescent="0.25">
      <c r="A25" t="s">
        <v>9</v>
      </c>
      <c r="B25" s="9" t="s">
        <v>7</v>
      </c>
      <c r="G25" s="13" t="s">
        <v>14</v>
      </c>
      <c r="H25" s="6">
        <f>H19+H21+H23</f>
        <v>94168.479890756309</v>
      </c>
    </row>
    <row r="26" spans="1:8" ht="15.75" thickBot="1" x14ac:dyDescent="0.3">
      <c r="A26" s="38" t="s">
        <v>638</v>
      </c>
      <c r="B26" s="14"/>
      <c r="C26" s="7"/>
    </row>
    <row r="27" spans="1:8" x14ac:dyDescent="0.25">
      <c r="E27" t="s">
        <v>100</v>
      </c>
      <c r="H27" s="20">
        <f>H25*0.4</f>
        <v>37667.391956302527</v>
      </c>
    </row>
    <row r="28" spans="1:8" ht="15.75" x14ac:dyDescent="0.25">
      <c r="A28" t="s">
        <v>10</v>
      </c>
      <c r="C28" s="10">
        <f>C19-C21-C23-C25</f>
        <v>148138.19983193278</v>
      </c>
      <c r="H28" s="18"/>
    </row>
    <row r="29" spans="1:8" x14ac:dyDescent="0.25">
      <c r="H29" s="3"/>
    </row>
    <row r="30" spans="1:8" x14ac:dyDescent="0.25">
      <c r="H30" s="18"/>
    </row>
  </sheetData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39BB7-04AF-49D6-A18D-F5BCAB30BCEC}">
  <dimension ref="A1:H30"/>
  <sheetViews>
    <sheetView workbookViewId="0">
      <selection activeCell="D12" sqref="D12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680</v>
      </c>
    </row>
    <row r="3" spans="1:8" ht="21" x14ac:dyDescent="0.35">
      <c r="A3" s="2" t="s">
        <v>1</v>
      </c>
      <c r="D3" s="11">
        <v>173502</v>
      </c>
      <c r="F3" s="12" t="s">
        <v>3</v>
      </c>
      <c r="H3" s="11">
        <f>(D3/1.19)*0.19</f>
        <v>27702</v>
      </c>
    </row>
    <row r="4" spans="1:8" x14ac:dyDescent="0.25">
      <c r="A4" s="13" t="s">
        <v>29</v>
      </c>
      <c r="C4" s="28">
        <v>978</v>
      </c>
    </row>
    <row r="5" spans="1:8" ht="21" x14ac:dyDescent="0.35">
      <c r="A5" s="2" t="s">
        <v>2</v>
      </c>
    </row>
    <row r="7" spans="1:8" ht="18.75" x14ac:dyDescent="0.3">
      <c r="A7" s="5"/>
      <c r="D7" s="4"/>
      <c r="H7" s="4"/>
    </row>
    <row r="8" spans="1:8" ht="18.75" x14ac:dyDescent="0.3">
      <c r="A8" s="5"/>
      <c r="D8" s="4"/>
      <c r="H8" s="4"/>
    </row>
    <row r="9" spans="1:8" ht="18.75" x14ac:dyDescent="0.3">
      <c r="A9" s="5"/>
      <c r="B9" s="5"/>
      <c r="C9" s="5"/>
      <c r="D9" s="4"/>
      <c r="H9" s="4"/>
    </row>
    <row r="10" spans="1:8" ht="18.75" x14ac:dyDescent="0.3">
      <c r="A10" s="5"/>
      <c r="B10" s="5"/>
      <c r="C10" s="5"/>
      <c r="D10" s="4"/>
      <c r="H10" s="4">
        <f>(D10/1.19)*0.19</f>
        <v>0</v>
      </c>
    </row>
    <row r="11" spans="1:8" ht="18.75" x14ac:dyDescent="0.3">
      <c r="A11" s="5" t="s">
        <v>62</v>
      </c>
      <c r="B11" s="5"/>
      <c r="C11" s="5"/>
      <c r="D11" s="4">
        <v>128250</v>
      </c>
      <c r="H11" s="4">
        <f t="shared" ref="H11:H12" si="0">(D11/1.19)*0.19</f>
        <v>20476.890756302524</v>
      </c>
    </row>
    <row r="12" spans="1:8" ht="18.75" x14ac:dyDescent="0.3">
      <c r="A12" s="5"/>
      <c r="B12" s="5"/>
      <c r="C12" s="5"/>
      <c r="D12" s="4"/>
      <c r="H12" s="4">
        <f t="shared" si="0"/>
        <v>0</v>
      </c>
    </row>
    <row r="13" spans="1:8" ht="19.5" thickBot="1" x14ac:dyDescent="0.35">
      <c r="A13" s="5"/>
      <c r="B13" s="5"/>
      <c r="C13" s="5"/>
      <c r="D13" s="35"/>
      <c r="E13" s="27"/>
      <c r="H13" s="35"/>
    </row>
    <row r="14" spans="1:8" ht="19.5" thickTop="1" x14ac:dyDescent="0.3">
      <c r="D14" s="4">
        <f>SUM(D7:D13)</f>
        <v>128250</v>
      </c>
      <c r="H14" s="33">
        <f>SUM(H7:H13)</f>
        <v>20476.890756302524</v>
      </c>
    </row>
    <row r="16" spans="1:8" ht="18.75" x14ac:dyDescent="0.3">
      <c r="C16" t="s">
        <v>4</v>
      </c>
      <c r="D16" s="4">
        <f>D3-D14</f>
        <v>45252</v>
      </c>
      <c r="G16" t="s">
        <v>5</v>
      </c>
      <c r="H16" s="4">
        <f>H3-H14</f>
        <v>7225.1092436974759</v>
      </c>
    </row>
    <row r="18" spans="1:8" x14ac:dyDescent="0.25">
      <c r="G18" t="s">
        <v>454</v>
      </c>
    </row>
    <row r="19" spans="1:8" ht="15.75" x14ac:dyDescent="0.25">
      <c r="A19" t="s">
        <v>6</v>
      </c>
      <c r="C19" s="8">
        <f>D16</f>
        <v>45252</v>
      </c>
      <c r="E19" t="s">
        <v>10</v>
      </c>
      <c r="H19" s="6">
        <f>C28</f>
        <v>37332.882756302526</v>
      </c>
    </row>
    <row r="21" spans="1:8" ht="15.75" x14ac:dyDescent="0.25">
      <c r="A21" t="s">
        <v>5</v>
      </c>
      <c r="B21" s="9" t="s">
        <v>7</v>
      </c>
      <c r="C21" s="8">
        <f>H16</f>
        <v>7225.1092436974759</v>
      </c>
      <c r="E21" s="13" t="s">
        <v>11</v>
      </c>
      <c r="F21" s="9" t="s">
        <v>12</v>
      </c>
      <c r="G21" s="15" t="s">
        <v>17</v>
      </c>
      <c r="H21" s="3">
        <f>-(F22*0.0077)</f>
        <v>-1122.6600000000001</v>
      </c>
    </row>
    <row r="22" spans="1:8" x14ac:dyDescent="0.25">
      <c r="F22" s="21">
        <f>D3-H3</f>
        <v>145800</v>
      </c>
    </row>
    <row r="23" spans="1:8" ht="16.5" thickBot="1" x14ac:dyDescent="0.3">
      <c r="A23" t="s">
        <v>8</v>
      </c>
      <c r="B23" s="9" t="s">
        <v>7</v>
      </c>
      <c r="C23" s="8">
        <f>D3*0.004</f>
        <v>694.00800000000004</v>
      </c>
      <c r="F23" s="9" t="s">
        <v>13</v>
      </c>
      <c r="G23" s="16">
        <v>0.35</v>
      </c>
      <c r="H23" s="17">
        <f>-(F24*0.35)</f>
        <v>-13066.508964705883</v>
      </c>
    </row>
    <row r="24" spans="1:8" x14ac:dyDescent="0.25">
      <c r="F24" s="21">
        <f>H19</f>
        <v>37332.882756302526</v>
      </c>
    </row>
    <row r="25" spans="1:8" x14ac:dyDescent="0.25">
      <c r="A25" t="s">
        <v>9</v>
      </c>
      <c r="B25" s="9" t="s">
        <v>7</v>
      </c>
      <c r="G25" s="13" t="s">
        <v>14</v>
      </c>
      <c r="H25" s="6">
        <f>H19+H21+H23</f>
        <v>23143.713791596638</v>
      </c>
    </row>
    <row r="26" spans="1:8" ht="15.75" thickBot="1" x14ac:dyDescent="0.3">
      <c r="A26" s="38" t="s">
        <v>638</v>
      </c>
      <c r="B26" s="14"/>
      <c r="C26" s="7"/>
    </row>
    <row r="27" spans="1:8" x14ac:dyDescent="0.25">
      <c r="E27" t="s">
        <v>100</v>
      </c>
      <c r="H27" s="20">
        <f>H25*0.4</f>
        <v>9257.4855166386551</v>
      </c>
    </row>
    <row r="28" spans="1:8" ht="15.75" x14ac:dyDescent="0.25">
      <c r="A28" t="s">
        <v>10</v>
      </c>
      <c r="C28" s="10">
        <f>C19-C21-C23-C25</f>
        <v>37332.882756302526</v>
      </c>
      <c r="H28" s="18"/>
    </row>
    <row r="29" spans="1:8" x14ac:dyDescent="0.25">
      <c r="H29" s="3"/>
    </row>
    <row r="30" spans="1:8" x14ac:dyDescent="0.25">
      <c r="H30" s="18"/>
    </row>
  </sheetData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C0EA4-DB6C-4D9D-85B5-03755B641AE9}">
  <dimension ref="A1:H30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677</v>
      </c>
    </row>
    <row r="3" spans="1:8" ht="21" x14ac:dyDescent="0.35">
      <c r="A3" s="2" t="s">
        <v>1</v>
      </c>
      <c r="D3" s="11">
        <v>383180</v>
      </c>
      <c r="F3" s="12" t="s">
        <v>3</v>
      </c>
      <c r="H3" s="11">
        <f>(D3/1.19)*0.19</f>
        <v>61180</v>
      </c>
    </row>
    <row r="4" spans="1:8" x14ac:dyDescent="0.25">
      <c r="A4" s="13" t="s">
        <v>29</v>
      </c>
      <c r="C4" s="28">
        <v>979</v>
      </c>
    </row>
    <row r="5" spans="1:8" ht="21" x14ac:dyDescent="0.35">
      <c r="A5" s="2" t="s">
        <v>2</v>
      </c>
    </row>
    <row r="7" spans="1:8" ht="18.75" x14ac:dyDescent="0.3">
      <c r="A7" s="5"/>
      <c r="D7" s="4"/>
      <c r="H7" s="4"/>
    </row>
    <row r="8" spans="1:8" ht="18.75" x14ac:dyDescent="0.3">
      <c r="A8" s="5"/>
      <c r="D8" s="4"/>
      <c r="H8" s="4"/>
    </row>
    <row r="9" spans="1:8" ht="18.75" x14ac:dyDescent="0.3">
      <c r="A9" s="5"/>
      <c r="B9" s="5"/>
      <c r="C9" s="5"/>
      <c r="D9" s="4"/>
      <c r="H9" s="4"/>
    </row>
    <row r="10" spans="1:8" ht="18.75" x14ac:dyDescent="0.3">
      <c r="A10" s="5"/>
      <c r="B10" s="5"/>
      <c r="C10" s="5"/>
      <c r="D10" s="4"/>
      <c r="H10" s="4">
        <f>(D10/1.19)*0.19</f>
        <v>0</v>
      </c>
    </row>
    <row r="11" spans="1:8" ht="18.75" x14ac:dyDescent="0.3">
      <c r="A11" s="5" t="s">
        <v>209</v>
      </c>
      <c r="B11" s="5"/>
      <c r="C11" s="5"/>
      <c r="D11" s="4">
        <v>175360</v>
      </c>
      <c r="H11" s="4">
        <f t="shared" ref="H11:H12" si="0">(D11/1.19)*0.19</f>
        <v>27998.655462184877</v>
      </c>
    </row>
    <row r="12" spans="1:8" ht="18.75" x14ac:dyDescent="0.3">
      <c r="A12" s="5" t="s">
        <v>678</v>
      </c>
      <c r="B12" s="5"/>
      <c r="C12" s="5"/>
      <c r="D12" s="4">
        <v>38080</v>
      </c>
      <c r="H12" s="4">
        <f t="shared" si="0"/>
        <v>6080</v>
      </c>
    </row>
    <row r="13" spans="1:8" ht="19.5" thickBot="1" x14ac:dyDescent="0.35">
      <c r="A13" s="5"/>
      <c r="B13" s="5"/>
      <c r="C13" s="5"/>
      <c r="D13" s="35"/>
      <c r="E13" s="27"/>
      <c r="H13" s="35"/>
    </row>
    <row r="14" spans="1:8" ht="19.5" thickTop="1" x14ac:dyDescent="0.3">
      <c r="D14" s="4">
        <f>SUM(D7:D13)</f>
        <v>213440</v>
      </c>
      <c r="H14" s="33">
        <f>SUM(H7:H13)</f>
        <v>34078.655462184877</v>
      </c>
    </row>
    <row r="16" spans="1:8" ht="18.75" x14ac:dyDescent="0.3">
      <c r="C16" t="s">
        <v>4</v>
      </c>
      <c r="D16" s="4">
        <f>D3-D14</f>
        <v>169740</v>
      </c>
      <c r="G16" t="s">
        <v>5</v>
      </c>
      <c r="H16" s="4">
        <f>H3-H14</f>
        <v>27101.344537815123</v>
      </c>
    </row>
    <row r="18" spans="1:8" x14ac:dyDescent="0.25">
      <c r="G18" t="s">
        <v>454</v>
      </c>
    </row>
    <row r="19" spans="1:8" ht="15.75" x14ac:dyDescent="0.25">
      <c r="A19" t="s">
        <v>6</v>
      </c>
      <c r="C19" s="8">
        <f>D16</f>
        <v>169740</v>
      </c>
      <c r="E19" t="s">
        <v>10</v>
      </c>
      <c r="H19" s="6">
        <f>C28</f>
        <v>141105.93546218486</v>
      </c>
    </row>
    <row r="21" spans="1:8" ht="15.75" x14ac:dyDescent="0.25">
      <c r="A21" t="s">
        <v>5</v>
      </c>
      <c r="B21" s="9" t="s">
        <v>7</v>
      </c>
      <c r="C21" s="8">
        <f>H16</f>
        <v>27101.344537815123</v>
      </c>
      <c r="E21" s="13" t="s">
        <v>11</v>
      </c>
      <c r="F21" s="9" t="s">
        <v>12</v>
      </c>
      <c r="G21" s="15" t="s">
        <v>17</v>
      </c>
      <c r="H21" s="3">
        <f>-(F22*0.0077)</f>
        <v>-2479.4</v>
      </c>
    </row>
    <row r="22" spans="1:8" x14ac:dyDescent="0.25">
      <c r="F22" s="21">
        <f>D3-H3</f>
        <v>322000</v>
      </c>
    </row>
    <row r="23" spans="1:8" ht="16.5" thickBot="1" x14ac:dyDescent="0.3">
      <c r="A23" t="s">
        <v>8</v>
      </c>
      <c r="B23" s="9" t="s">
        <v>7</v>
      </c>
      <c r="C23" s="8">
        <f>D3*0.004</f>
        <v>1532.72</v>
      </c>
      <c r="F23" s="9" t="s">
        <v>13</v>
      </c>
      <c r="G23" s="16">
        <v>0.35</v>
      </c>
      <c r="H23" s="17">
        <f>-(F24*0.35)</f>
        <v>-49387.077411764702</v>
      </c>
    </row>
    <row r="24" spans="1:8" x14ac:dyDescent="0.25">
      <c r="F24" s="21">
        <f>H19</f>
        <v>141105.93546218486</v>
      </c>
    </row>
    <row r="25" spans="1:8" x14ac:dyDescent="0.25">
      <c r="A25" t="s">
        <v>9</v>
      </c>
      <c r="B25" s="9" t="s">
        <v>7</v>
      </c>
      <c r="G25" s="13" t="s">
        <v>14</v>
      </c>
      <c r="H25" s="6">
        <f>H19+H21+H23</f>
        <v>89239.458050420159</v>
      </c>
    </row>
    <row r="26" spans="1:8" ht="15.75" thickBot="1" x14ac:dyDescent="0.3">
      <c r="A26" s="38" t="s">
        <v>638</v>
      </c>
      <c r="B26" s="14"/>
      <c r="C26" s="7"/>
    </row>
    <row r="27" spans="1:8" x14ac:dyDescent="0.25">
      <c r="E27" t="s">
        <v>100</v>
      </c>
      <c r="H27" s="20">
        <f>H25*0.4</f>
        <v>35695.783220168065</v>
      </c>
    </row>
    <row r="28" spans="1:8" ht="15.75" x14ac:dyDescent="0.25">
      <c r="A28" t="s">
        <v>10</v>
      </c>
      <c r="C28" s="10">
        <f>C19-C21-C23-C25</f>
        <v>141105.93546218486</v>
      </c>
      <c r="H28" s="18"/>
    </row>
    <row r="29" spans="1:8" x14ac:dyDescent="0.25">
      <c r="H29" s="3"/>
    </row>
    <row r="30" spans="1:8" x14ac:dyDescent="0.25">
      <c r="H30" s="18"/>
    </row>
  </sheetData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C9C41-D686-4DED-95CC-8B7408ACF137}">
  <dimension ref="A1:H30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681</v>
      </c>
    </row>
    <row r="3" spans="1:8" ht="21" x14ac:dyDescent="0.35">
      <c r="A3" s="2" t="s">
        <v>1</v>
      </c>
      <c r="D3" s="11">
        <v>985320</v>
      </c>
      <c r="F3" s="12" t="s">
        <v>3</v>
      </c>
      <c r="H3" s="11">
        <f>(D3/1.19)*0.19</f>
        <v>157320</v>
      </c>
    </row>
    <row r="4" spans="1:8" x14ac:dyDescent="0.25">
      <c r="A4" s="13" t="s">
        <v>29</v>
      </c>
      <c r="C4" s="28">
        <v>980</v>
      </c>
    </row>
    <row r="5" spans="1:8" ht="21" x14ac:dyDescent="0.35">
      <c r="A5" s="2" t="s">
        <v>2</v>
      </c>
    </row>
    <row r="7" spans="1:8" ht="18.75" x14ac:dyDescent="0.3">
      <c r="A7" s="5"/>
      <c r="D7" s="4"/>
      <c r="H7" s="4"/>
    </row>
    <row r="8" spans="1:8" ht="18.75" x14ac:dyDescent="0.3">
      <c r="A8" s="5"/>
      <c r="D8" s="4"/>
      <c r="H8" s="4"/>
    </row>
    <row r="9" spans="1:8" ht="18.75" x14ac:dyDescent="0.3">
      <c r="A9" s="5"/>
      <c r="B9" s="5"/>
      <c r="C9" s="5"/>
      <c r="D9" s="4"/>
      <c r="H9" s="4"/>
    </row>
    <row r="10" spans="1:8" ht="18.75" x14ac:dyDescent="0.3">
      <c r="A10" s="5"/>
      <c r="B10" s="5"/>
      <c r="C10" s="5"/>
      <c r="D10" s="4"/>
      <c r="H10" s="4">
        <f>(D10/1.19)*0.19</f>
        <v>0</v>
      </c>
    </row>
    <row r="11" spans="1:8" ht="18.75" x14ac:dyDescent="0.3">
      <c r="A11" s="5" t="s">
        <v>62</v>
      </c>
      <c r="B11" s="5"/>
      <c r="C11" s="5"/>
      <c r="D11" s="4">
        <v>756840</v>
      </c>
      <c r="H11" s="4">
        <f t="shared" ref="H11:H12" si="0">(D11/1.19)*0.19</f>
        <v>120840</v>
      </c>
    </row>
    <row r="12" spans="1:8" ht="18.75" x14ac:dyDescent="0.3">
      <c r="A12" s="5"/>
      <c r="B12" s="5"/>
      <c r="C12" s="5"/>
      <c r="D12" s="4"/>
      <c r="H12" s="4">
        <f t="shared" si="0"/>
        <v>0</v>
      </c>
    </row>
    <row r="13" spans="1:8" ht="19.5" thickBot="1" x14ac:dyDescent="0.35">
      <c r="A13" s="5"/>
      <c r="B13" s="5"/>
      <c r="C13" s="5"/>
      <c r="D13" s="35"/>
      <c r="E13" s="27"/>
      <c r="H13" s="35"/>
    </row>
    <row r="14" spans="1:8" ht="19.5" thickTop="1" x14ac:dyDescent="0.3">
      <c r="D14" s="4">
        <f>SUM(D7:D13)</f>
        <v>756840</v>
      </c>
      <c r="H14" s="33">
        <f>SUM(H7:H13)</f>
        <v>120840</v>
      </c>
    </row>
    <row r="16" spans="1:8" ht="18.75" x14ac:dyDescent="0.3">
      <c r="C16" t="s">
        <v>4</v>
      </c>
      <c r="D16" s="4">
        <f>D3-D14</f>
        <v>228480</v>
      </c>
      <c r="G16" t="s">
        <v>5</v>
      </c>
      <c r="H16" s="4">
        <f>H3-H14</f>
        <v>36480</v>
      </c>
    </row>
    <row r="18" spans="1:8" x14ac:dyDescent="0.25">
      <c r="G18" t="s">
        <v>454</v>
      </c>
    </row>
    <row r="19" spans="1:8" ht="15.75" x14ac:dyDescent="0.25">
      <c r="A19" t="s">
        <v>6</v>
      </c>
      <c r="C19" s="8">
        <f>D16</f>
        <v>228480</v>
      </c>
      <c r="E19" t="s">
        <v>10</v>
      </c>
      <c r="H19" s="6">
        <f>C28</f>
        <v>188058.72</v>
      </c>
    </row>
    <row r="21" spans="1:8" ht="15.75" x14ac:dyDescent="0.25">
      <c r="A21" t="s">
        <v>5</v>
      </c>
      <c r="B21" s="9" t="s">
        <v>7</v>
      </c>
      <c r="C21" s="8">
        <f>H16</f>
        <v>36480</v>
      </c>
      <c r="E21" s="13" t="s">
        <v>11</v>
      </c>
      <c r="F21" s="9" t="s">
        <v>12</v>
      </c>
      <c r="G21" s="15" t="s">
        <v>17</v>
      </c>
      <c r="H21" s="3">
        <f>-(F22*0.0077)</f>
        <v>-6375.6</v>
      </c>
    </row>
    <row r="22" spans="1:8" x14ac:dyDescent="0.25">
      <c r="F22" s="21">
        <f>D3-H3</f>
        <v>828000</v>
      </c>
    </row>
    <row r="23" spans="1:8" ht="16.5" thickBot="1" x14ac:dyDescent="0.3">
      <c r="A23" t="s">
        <v>8</v>
      </c>
      <c r="B23" s="9" t="s">
        <v>7</v>
      </c>
      <c r="C23" s="8">
        <f>D3*0.004</f>
        <v>3941.28</v>
      </c>
      <c r="F23" s="9" t="s">
        <v>13</v>
      </c>
      <c r="G23" s="16">
        <v>0.35</v>
      </c>
      <c r="H23" s="17">
        <f>-(F24*0.35)</f>
        <v>-65820.551999999996</v>
      </c>
    </row>
    <row r="24" spans="1:8" x14ac:dyDescent="0.25">
      <c r="F24" s="21">
        <f>H19</f>
        <v>188058.72</v>
      </c>
    </row>
    <row r="25" spans="1:8" x14ac:dyDescent="0.25">
      <c r="A25" t="s">
        <v>9</v>
      </c>
      <c r="B25" s="9" t="s">
        <v>7</v>
      </c>
      <c r="G25" s="13" t="s">
        <v>14</v>
      </c>
      <c r="H25" s="6">
        <f>H19+H21+H23</f>
        <v>115862.568</v>
      </c>
    </row>
    <row r="26" spans="1:8" ht="15.75" thickBot="1" x14ac:dyDescent="0.3">
      <c r="A26" s="38" t="s">
        <v>638</v>
      </c>
      <c r="B26" s="14"/>
      <c r="C26" s="7"/>
    </row>
    <row r="27" spans="1:8" x14ac:dyDescent="0.25">
      <c r="E27" t="s">
        <v>100</v>
      </c>
      <c r="H27" s="20">
        <f>H25*0.4</f>
        <v>46345.027200000004</v>
      </c>
    </row>
    <row r="28" spans="1:8" ht="15.75" x14ac:dyDescent="0.25">
      <c r="A28" t="s">
        <v>10</v>
      </c>
      <c r="C28" s="10">
        <f>C19-C21-C23-C25</f>
        <v>188058.72</v>
      </c>
      <c r="H28" s="18"/>
    </row>
    <row r="29" spans="1:8" x14ac:dyDescent="0.25">
      <c r="H29" s="3"/>
    </row>
    <row r="30" spans="1:8" x14ac:dyDescent="0.25">
      <c r="H30" s="18"/>
    </row>
  </sheetData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3C529-E6C0-4068-AE8D-E20DBB1012E1}">
  <dimension ref="A1:H30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682</v>
      </c>
    </row>
    <row r="3" spans="1:8" ht="21" x14ac:dyDescent="0.35">
      <c r="A3" s="2" t="s">
        <v>1</v>
      </c>
      <c r="D3" s="11">
        <v>1227485</v>
      </c>
      <c r="F3" s="12" t="s">
        <v>3</v>
      </c>
      <c r="H3" s="11">
        <f>(D3/1.19)*0.19</f>
        <v>195985</v>
      </c>
    </row>
    <row r="4" spans="1:8" x14ac:dyDescent="0.25">
      <c r="A4" s="13" t="s">
        <v>29</v>
      </c>
      <c r="C4" s="28">
        <v>981</v>
      </c>
    </row>
    <row r="5" spans="1:8" ht="21" x14ac:dyDescent="0.35">
      <c r="A5" s="2" t="s">
        <v>2</v>
      </c>
    </row>
    <row r="7" spans="1:8" ht="18.75" x14ac:dyDescent="0.3">
      <c r="A7" s="5"/>
      <c r="D7" s="4"/>
      <c r="H7" s="4"/>
    </row>
    <row r="8" spans="1:8" ht="18.75" x14ac:dyDescent="0.3">
      <c r="A8" s="5"/>
      <c r="D8" s="4"/>
      <c r="H8" s="4"/>
    </row>
    <row r="9" spans="1:8" ht="18.75" x14ac:dyDescent="0.3">
      <c r="A9" s="5"/>
      <c r="B9" s="5"/>
      <c r="C9" s="5"/>
      <c r="D9" s="4"/>
      <c r="H9" s="4"/>
    </row>
    <row r="10" spans="1:8" ht="18.75" x14ac:dyDescent="0.3">
      <c r="A10" s="5" t="s">
        <v>310</v>
      </c>
      <c r="B10" s="5"/>
      <c r="C10" s="5"/>
      <c r="D10" s="4">
        <v>130000</v>
      </c>
      <c r="H10" s="4">
        <f>(D10/1.19)*0.19</f>
        <v>20756.302521008405</v>
      </c>
    </row>
    <row r="11" spans="1:8" ht="18.75" x14ac:dyDescent="0.3">
      <c r="A11" s="5" t="s">
        <v>488</v>
      </c>
      <c r="B11" s="5"/>
      <c r="C11" s="5"/>
      <c r="D11" s="4">
        <v>528888</v>
      </c>
      <c r="H11" s="4">
        <f t="shared" ref="H11:H12" si="0">(D11/1.19)*0.19</f>
        <v>84444.302521008416</v>
      </c>
    </row>
    <row r="12" spans="1:8" ht="18.75" x14ac:dyDescent="0.3">
      <c r="A12" s="5" t="s">
        <v>519</v>
      </c>
      <c r="B12" s="5"/>
      <c r="C12" s="5"/>
      <c r="D12" s="4">
        <v>178500</v>
      </c>
      <c r="H12" s="4">
        <f t="shared" si="0"/>
        <v>28500</v>
      </c>
    </row>
    <row r="13" spans="1:8" ht="19.5" thickBot="1" x14ac:dyDescent="0.35">
      <c r="A13" s="5"/>
      <c r="B13" s="5"/>
      <c r="C13" s="5"/>
      <c r="D13" s="35"/>
      <c r="E13" s="27"/>
      <c r="H13" s="35"/>
    </row>
    <row r="14" spans="1:8" ht="19.5" thickTop="1" x14ac:dyDescent="0.3">
      <c r="D14" s="4">
        <f>SUM(D7:D13)</f>
        <v>837388</v>
      </c>
      <c r="H14" s="33">
        <f>SUM(H7:H13)</f>
        <v>133700.60504201683</v>
      </c>
    </row>
    <row r="16" spans="1:8" ht="18.75" x14ac:dyDescent="0.3">
      <c r="C16" t="s">
        <v>4</v>
      </c>
      <c r="D16" s="4">
        <f>D3-D14</f>
        <v>390097</v>
      </c>
      <c r="G16" t="s">
        <v>5</v>
      </c>
      <c r="H16" s="4">
        <f>H3-H14</f>
        <v>62284.394957983168</v>
      </c>
    </row>
    <row r="18" spans="1:8" x14ac:dyDescent="0.25">
      <c r="G18" t="s">
        <v>454</v>
      </c>
    </row>
    <row r="19" spans="1:8" ht="15.75" x14ac:dyDescent="0.25">
      <c r="A19" t="s">
        <v>6</v>
      </c>
      <c r="C19" s="8">
        <f>D16</f>
        <v>390097</v>
      </c>
      <c r="E19" t="s">
        <v>10</v>
      </c>
      <c r="H19" s="6">
        <f>C28</f>
        <v>322902.66504201683</v>
      </c>
    </row>
    <row r="21" spans="1:8" ht="15.75" x14ac:dyDescent="0.25">
      <c r="A21" t="s">
        <v>5</v>
      </c>
      <c r="B21" s="9" t="s">
        <v>7</v>
      </c>
      <c r="C21" s="8">
        <f>H16</f>
        <v>62284.394957983168</v>
      </c>
      <c r="E21" s="13" t="s">
        <v>11</v>
      </c>
      <c r="F21" s="9" t="s">
        <v>12</v>
      </c>
      <c r="G21" s="15" t="s">
        <v>17</v>
      </c>
      <c r="H21" s="3">
        <f>-(F22*0.0077)</f>
        <v>-7942.55</v>
      </c>
    </row>
    <row r="22" spans="1:8" x14ac:dyDescent="0.25">
      <c r="F22" s="21">
        <f>D3-H3</f>
        <v>1031500</v>
      </c>
    </row>
    <row r="23" spans="1:8" ht="16.5" thickBot="1" x14ac:dyDescent="0.3">
      <c r="A23" t="s">
        <v>8</v>
      </c>
      <c r="B23" s="9" t="s">
        <v>7</v>
      </c>
      <c r="C23" s="8">
        <f>D3*0.004</f>
        <v>4909.9400000000005</v>
      </c>
      <c r="F23" s="9" t="s">
        <v>13</v>
      </c>
      <c r="G23" s="16">
        <v>0.35</v>
      </c>
      <c r="H23" s="17">
        <f>-(F24*0.35)</f>
        <v>-113015.93276470588</v>
      </c>
    </row>
    <row r="24" spans="1:8" x14ac:dyDescent="0.25">
      <c r="F24" s="21">
        <f>H19</f>
        <v>322902.66504201683</v>
      </c>
    </row>
    <row r="25" spans="1:8" x14ac:dyDescent="0.25">
      <c r="A25" t="s">
        <v>9</v>
      </c>
      <c r="B25" s="9" t="s">
        <v>7</v>
      </c>
      <c r="G25" s="13" t="s">
        <v>14</v>
      </c>
      <c r="H25" s="6">
        <f>H19+H21+H23</f>
        <v>201944.18227731096</v>
      </c>
    </row>
    <row r="26" spans="1:8" ht="15.75" thickBot="1" x14ac:dyDescent="0.3">
      <c r="A26" s="38" t="s">
        <v>638</v>
      </c>
      <c r="B26" s="14"/>
      <c r="C26" s="7"/>
    </row>
    <row r="27" spans="1:8" x14ac:dyDescent="0.25">
      <c r="E27" t="s">
        <v>100</v>
      </c>
      <c r="H27" s="20">
        <f>H25*0.4</f>
        <v>80777.67291092439</v>
      </c>
    </row>
    <row r="28" spans="1:8" ht="15.75" x14ac:dyDescent="0.25">
      <c r="A28" t="s">
        <v>10</v>
      </c>
      <c r="C28" s="10">
        <f>C19-C21-C23-C25</f>
        <v>322902.66504201683</v>
      </c>
      <c r="H28" s="18"/>
    </row>
    <row r="29" spans="1:8" x14ac:dyDescent="0.25">
      <c r="H29" s="3"/>
    </row>
    <row r="30" spans="1:8" x14ac:dyDescent="0.25">
      <c r="H30" s="18"/>
    </row>
  </sheetData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030DE-7F3B-44E8-B8AB-2992C4C82244}">
  <dimension ref="A1:H30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683</v>
      </c>
    </row>
    <row r="3" spans="1:8" ht="21" x14ac:dyDescent="0.35">
      <c r="A3" s="2" t="s">
        <v>1</v>
      </c>
      <c r="D3" s="11">
        <v>338079</v>
      </c>
      <c r="F3" s="12" t="s">
        <v>3</v>
      </c>
      <c r="H3" s="11">
        <f>(D3/1.19)*0.19</f>
        <v>53979</v>
      </c>
    </row>
    <row r="4" spans="1:8" x14ac:dyDescent="0.25">
      <c r="A4" s="13" t="s">
        <v>29</v>
      </c>
      <c r="C4" s="28">
        <v>983</v>
      </c>
    </row>
    <row r="5" spans="1:8" ht="21" x14ac:dyDescent="0.35">
      <c r="A5" s="2" t="s">
        <v>2</v>
      </c>
    </row>
    <row r="7" spans="1:8" ht="18.75" x14ac:dyDescent="0.3">
      <c r="A7" s="5"/>
      <c r="D7" s="4"/>
      <c r="H7" s="4"/>
    </row>
    <row r="8" spans="1:8" ht="18.75" x14ac:dyDescent="0.3">
      <c r="A8" s="5"/>
      <c r="D8" s="4"/>
      <c r="H8" s="4"/>
    </row>
    <row r="9" spans="1:8" ht="18.75" x14ac:dyDescent="0.3">
      <c r="A9" s="5"/>
      <c r="B9" s="5"/>
      <c r="C9" s="5"/>
      <c r="D9" s="4"/>
      <c r="H9" s="4"/>
    </row>
    <row r="10" spans="1:8" ht="18.75" x14ac:dyDescent="0.3">
      <c r="A10" s="5" t="s">
        <v>167</v>
      </c>
      <c r="B10" s="5"/>
      <c r="C10" s="5"/>
      <c r="D10" s="4">
        <v>185820</v>
      </c>
      <c r="H10" s="4">
        <f>(D10/1.19)*0.19</f>
        <v>29668.739495798323</v>
      </c>
    </row>
    <row r="11" spans="1:8" ht="18.75" x14ac:dyDescent="0.3">
      <c r="A11" s="5" t="s">
        <v>167</v>
      </c>
      <c r="B11" s="5"/>
      <c r="C11" s="5"/>
      <c r="D11" s="4">
        <v>74598</v>
      </c>
      <c r="H11" s="4">
        <f t="shared" ref="H11:H12" si="0">(D11/1.19)*0.19</f>
        <v>11910.605042016807</v>
      </c>
    </row>
    <row r="12" spans="1:8" ht="18.75" x14ac:dyDescent="0.3">
      <c r="A12" s="5"/>
      <c r="B12" s="5"/>
      <c r="C12" s="5"/>
      <c r="D12" s="4"/>
      <c r="H12" s="4">
        <f t="shared" si="0"/>
        <v>0</v>
      </c>
    </row>
    <row r="13" spans="1:8" ht="19.5" thickBot="1" x14ac:dyDescent="0.35">
      <c r="A13" s="5"/>
      <c r="B13" s="5"/>
      <c r="C13" s="5"/>
      <c r="D13" s="35"/>
      <c r="E13" s="27"/>
      <c r="H13" s="35"/>
    </row>
    <row r="14" spans="1:8" ht="19.5" thickTop="1" x14ac:dyDescent="0.3">
      <c r="D14" s="4">
        <f>SUM(D7:D13)</f>
        <v>260418</v>
      </c>
      <c r="H14" s="33">
        <f>SUM(H7:H13)</f>
        <v>41579.34453781513</v>
      </c>
    </row>
    <row r="16" spans="1:8" ht="18.75" x14ac:dyDescent="0.3">
      <c r="C16" t="s">
        <v>4</v>
      </c>
      <c r="D16" s="4">
        <f>D3-D14</f>
        <v>77661</v>
      </c>
      <c r="G16" t="s">
        <v>5</v>
      </c>
      <c r="H16" s="4">
        <f>H3-H14</f>
        <v>12399.65546218487</v>
      </c>
    </row>
    <row r="18" spans="1:8" x14ac:dyDescent="0.25">
      <c r="G18" t="s">
        <v>454</v>
      </c>
    </row>
    <row r="19" spans="1:8" ht="15.75" x14ac:dyDescent="0.25">
      <c r="A19" t="s">
        <v>6</v>
      </c>
      <c r="C19" s="8">
        <f>D16</f>
        <v>77661</v>
      </c>
      <c r="E19" t="s">
        <v>10</v>
      </c>
      <c r="H19" s="6">
        <f>C28</f>
        <v>63909.028537815131</v>
      </c>
    </row>
    <row r="21" spans="1:8" ht="15.75" x14ac:dyDescent="0.25">
      <c r="A21" t="s">
        <v>5</v>
      </c>
      <c r="B21" s="9" t="s">
        <v>7</v>
      </c>
      <c r="C21" s="8">
        <f>H16</f>
        <v>12399.65546218487</v>
      </c>
      <c r="E21" s="13" t="s">
        <v>11</v>
      </c>
      <c r="F21" s="9" t="s">
        <v>12</v>
      </c>
      <c r="G21" s="15" t="s">
        <v>17</v>
      </c>
      <c r="H21" s="3">
        <f>-(F22*0.0077)</f>
        <v>-2187.5700000000002</v>
      </c>
    </row>
    <row r="22" spans="1:8" x14ac:dyDescent="0.25">
      <c r="F22" s="21">
        <f>D3-H3</f>
        <v>284100</v>
      </c>
    </row>
    <row r="23" spans="1:8" ht="16.5" thickBot="1" x14ac:dyDescent="0.3">
      <c r="A23" t="s">
        <v>8</v>
      </c>
      <c r="B23" s="9" t="s">
        <v>7</v>
      </c>
      <c r="C23" s="8">
        <f>D3*0.004</f>
        <v>1352.316</v>
      </c>
      <c r="F23" s="9" t="s">
        <v>13</v>
      </c>
      <c r="G23" s="16">
        <v>0.35</v>
      </c>
      <c r="H23" s="17">
        <f>-(F24*0.35)</f>
        <v>-22368.159988235293</v>
      </c>
    </row>
    <row r="24" spans="1:8" x14ac:dyDescent="0.25">
      <c r="F24" s="21">
        <f>H19</f>
        <v>63909.028537815131</v>
      </c>
    </row>
    <row r="25" spans="1:8" x14ac:dyDescent="0.25">
      <c r="A25" t="s">
        <v>9</v>
      </c>
      <c r="B25" s="9" t="s">
        <v>7</v>
      </c>
      <c r="G25" s="13" t="s">
        <v>14</v>
      </c>
      <c r="H25" s="6">
        <f>H19+H21+H23</f>
        <v>39353.298549579835</v>
      </c>
    </row>
    <row r="26" spans="1:8" ht="15.75" thickBot="1" x14ac:dyDescent="0.3">
      <c r="A26" s="38" t="s">
        <v>638</v>
      </c>
      <c r="B26" s="14"/>
      <c r="C26" s="7"/>
    </row>
    <row r="27" spans="1:8" x14ac:dyDescent="0.25">
      <c r="E27" t="s">
        <v>100</v>
      </c>
      <c r="H27" s="20">
        <f>H25*0.4</f>
        <v>15741.319419831934</v>
      </c>
    </row>
    <row r="28" spans="1:8" ht="15.75" x14ac:dyDescent="0.25">
      <c r="A28" t="s">
        <v>10</v>
      </c>
      <c r="C28" s="10">
        <f>C19-C21-C23-C25</f>
        <v>63909.028537815131</v>
      </c>
      <c r="H28" s="18"/>
    </row>
    <row r="29" spans="1:8" x14ac:dyDescent="0.25">
      <c r="H29" s="3"/>
    </row>
    <row r="30" spans="1:8" x14ac:dyDescent="0.25">
      <c r="H30" s="18"/>
    </row>
  </sheetData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632E5-E869-4EC8-81BA-618461630347}">
  <dimension ref="A1:H30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684</v>
      </c>
    </row>
    <row r="3" spans="1:8" ht="21" x14ac:dyDescent="0.35">
      <c r="A3" s="2" t="s">
        <v>1</v>
      </c>
      <c r="D3" s="11">
        <v>109778</v>
      </c>
      <c r="F3" s="12" t="s">
        <v>3</v>
      </c>
      <c r="H3" s="11">
        <f>(D3/1.19)*0.19</f>
        <v>17527.579831932773</v>
      </c>
    </row>
    <row r="4" spans="1:8" x14ac:dyDescent="0.25">
      <c r="A4" s="13" t="s">
        <v>29</v>
      </c>
      <c r="C4" s="28">
        <v>985</v>
      </c>
    </row>
    <row r="5" spans="1:8" ht="21" x14ac:dyDescent="0.35">
      <c r="A5" s="2" t="s">
        <v>2</v>
      </c>
    </row>
    <row r="7" spans="1:8" ht="18.75" x14ac:dyDescent="0.3">
      <c r="A7" s="5"/>
      <c r="D7" s="4"/>
      <c r="H7" s="4"/>
    </row>
    <row r="8" spans="1:8" ht="18.75" x14ac:dyDescent="0.3">
      <c r="A8" s="5"/>
      <c r="D8" s="4"/>
      <c r="H8" s="4"/>
    </row>
    <row r="9" spans="1:8" ht="18.75" x14ac:dyDescent="0.3">
      <c r="A9" s="5"/>
      <c r="B9" s="5"/>
      <c r="C9" s="5"/>
      <c r="D9" s="4"/>
      <c r="H9" s="4"/>
    </row>
    <row r="10" spans="1:8" ht="18.75" x14ac:dyDescent="0.3">
      <c r="A10" s="5" t="s">
        <v>167</v>
      </c>
      <c r="B10" s="5"/>
      <c r="C10" s="5"/>
      <c r="D10" s="4">
        <v>60000</v>
      </c>
      <c r="H10" s="4">
        <f>(D10/1.19)*0.19</f>
        <v>9579.8319327731097</v>
      </c>
    </row>
    <row r="11" spans="1:8" ht="18.75" x14ac:dyDescent="0.3">
      <c r="A11" s="5"/>
      <c r="B11" s="5"/>
      <c r="C11" s="5"/>
      <c r="D11" s="4"/>
      <c r="H11" s="4">
        <f t="shared" ref="H11:H12" si="0">(D11/1.19)*0.19</f>
        <v>0</v>
      </c>
    </row>
    <row r="12" spans="1:8" ht="18.75" x14ac:dyDescent="0.3">
      <c r="A12" s="5"/>
      <c r="B12" s="5"/>
      <c r="C12" s="5"/>
      <c r="D12" s="4"/>
      <c r="H12" s="4">
        <f t="shared" si="0"/>
        <v>0</v>
      </c>
    </row>
    <row r="13" spans="1:8" ht="19.5" thickBot="1" x14ac:dyDescent="0.35">
      <c r="A13" s="5"/>
      <c r="B13" s="5"/>
      <c r="C13" s="5"/>
      <c r="D13" s="35"/>
      <c r="E13" s="27"/>
      <c r="H13" s="35"/>
    </row>
    <row r="14" spans="1:8" ht="19.5" thickTop="1" x14ac:dyDescent="0.3">
      <c r="D14" s="4">
        <f>SUM(D7:D13)</f>
        <v>60000</v>
      </c>
      <c r="H14" s="33">
        <f>SUM(H7:H13)</f>
        <v>9579.8319327731097</v>
      </c>
    </row>
    <row r="16" spans="1:8" ht="18.75" x14ac:dyDescent="0.3">
      <c r="C16" t="s">
        <v>4</v>
      </c>
      <c r="D16" s="4">
        <f>D3-D14</f>
        <v>49778</v>
      </c>
      <c r="G16" t="s">
        <v>5</v>
      </c>
      <c r="H16" s="4">
        <f>H3-H14</f>
        <v>7947.7478991596636</v>
      </c>
    </row>
    <row r="18" spans="1:8" x14ac:dyDescent="0.25">
      <c r="G18" t="s">
        <v>454</v>
      </c>
    </row>
    <row r="19" spans="1:8" ht="15.75" x14ac:dyDescent="0.25">
      <c r="A19" t="s">
        <v>6</v>
      </c>
      <c r="C19" s="8">
        <f>D16</f>
        <v>49778</v>
      </c>
      <c r="E19" t="s">
        <v>10</v>
      </c>
      <c r="H19" s="6">
        <f>C28</f>
        <v>41391.140100840334</v>
      </c>
    </row>
    <row r="21" spans="1:8" ht="15.75" x14ac:dyDescent="0.25">
      <c r="A21" t="s">
        <v>5</v>
      </c>
      <c r="B21" s="9" t="s">
        <v>7</v>
      </c>
      <c r="C21" s="8">
        <f>H16</f>
        <v>7947.7478991596636</v>
      </c>
      <c r="E21" s="13" t="s">
        <v>11</v>
      </c>
      <c r="F21" s="9" t="s">
        <v>12</v>
      </c>
      <c r="G21" s="15" t="s">
        <v>17</v>
      </c>
      <c r="H21" s="3">
        <f>-(F22*0.0077)</f>
        <v>-710.32823529411769</v>
      </c>
    </row>
    <row r="22" spans="1:8" x14ac:dyDescent="0.25">
      <c r="F22" s="21">
        <f>D3-H3</f>
        <v>92250.420168067227</v>
      </c>
    </row>
    <row r="23" spans="1:8" ht="16.5" thickBot="1" x14ac:dyDescent="0.3">
      <c r="A23" t="s">
        <v>8</v>
      </c>
      <c r="B23" s="9" t="s">
        <v>7</v>
      </c>
      <c r="C23" s="8">
        <f>D3*0.004</f>
        <v>439.11200000000002</v>
      </c>
      <c r="F23" s="9" t="s">
        <v>13</v>
      </c>
      <c r="G23" s="16">
        <v>0.35</v>
      </c>
      <c r="H23" s="17">
        <f>-(F24*0.35)</f>
        <v>-14486.899035294116</v>
      </c>
    </row>
    <row r="24" spans="1:8" x14ac:dyDescent="0.25">
      <c r="F24" s="21">
        <f>H19</f>
        <v>41391.140100840334</v>
      </c>
    </row>
    <row r="25" spans="1:8" x14ac:dyDescent="0.25">
      <c r="A25" t="s">
        <v>9</v>
      </c>
      <c r="B25" s="9" t="s">
        <v>7</v>
      </c>
      <c r="G25" s="13" t="s">
        <v>14</v>
      </c>
      <c r="H25" s="6">
        <f>H19+H21+H23</f>
        <v>26193.912830252099</v>
      </c>
    </row>
    <row r="26" spans="1:8" ht="15.75" thickBot="1" x14ac:dyDescent="0.3">
      <c r="A26" s="38" t="s">
        <v>638</v>
      </c>
      <c r="B26" s="14"/>
      <c r="C26" s="7"/>
    </row>
    <row r="27" spans="1:8" x14ac:dyDescent="0.25">
      <c r="E27" t="s">
        <v>100</v>
      </c>
      <c r="H27" s="20">
        <f>H25*0.4</f>
        <v>10477.565132100841</v>
      </c>
    </row>
    <row r="28" spans="1:8" ht="15.75" x14ac:dyDescent="0.25">
      <c r="A28" t="s">
        <v>10</v>
      </c>
      <c r="C28" s="10">
        <f>C19-C21-C23-C25</f>
        <v>41391.140100840334</v>
      </c>
      <c r="H28" s="18"/>
    </row>
    <row r="29" spans="1:8" x14ac:dyDescent="0.25">
      <c r="H29" s="3"/>
    </row>
    <row r="30" spans="1:8" x14ac:dyDescent="0.25">
      <c r="H30" s="18"/>
    </row>
  </sheetData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AD3A0-96DA-4561-B2E7-B7F9090DAB38}">
  <dimension ref="A1:H30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685</v>
      </c>
    </row>
    <row r="3" spans="1:8" ht="21" x14ac:dyDescent="0.35">
      <c r="A3" s="2" t="s">
        <v>1</v>
      </c>
      <c r="D3" s="11">
        <v>2054118.5</v>
      </c>
      <c r="F3" s="12" t="s">
        <v>3</v>
      </c>
      <c r="H3" s="11">
        <f>(D3/1.19)*0.19</f>
        <v>327968.5</v>
      </c>
    </row>
    <row r="4" spans="1:8" x14ac:dyDescent="0.25">
      <c r="A4" s="13" t="s">
        <v>29</v>
      </c>
      <c r="C4" s="28">
        <v>986</v>
      </c>
    </row>
    <row r="5" spans="1:8" ht="21" x14ac:dyDescent="0.35">
      <c r="A5" s="2" t="s">
        <v>2</v>
      </c>
    </row>
    <row r="7" spans="1:8" ht="18.75" x14ac:dyDescent="0.3">
      <c r="A7" s="5"/>
      <c r="D7" s="4"/>
      <c r="H7" s="4"/>
    </row>
    <row r="8" spans="1:8" ht="18.75" x14ac:dyDescent="0.3">
      <c r="A8" s="5"/>
      <c r="D8" s="4"/>
      <c r="H8" s="4"/>
    </row>
    <row r="9" spans="1:8" ht="18.75" x14ac:dyDescent="0.3">
      <c r="A9" s="5"/>
      <c r="B9" s="5"/>
      <c r="C9" s="5"/>
      <c r="D9" s="4"/>
      <c r="H9" s="4"/>
    </row>
    <row r="10" spans="1:8" ht="18.75" x14ac:dyDescent="0.3">
      <c r="A10" s="5" t="s">
        <v>167</v>
      </c>
      <c r="B10" s="5"/>
      <c r="C10" s="5"/>
      <c r="D10" s="4">
        <v>1136142</v>
      </c>
      <c r="H10" s="4">
        <f>(D10/1.19)*0.19</f>
        <v>181400.82352941178</v>
      </c>
    </row>
    <row r="11" spans="1:8" ht="18.75" x14ac:dyDescent="0.3">
      <c r="A11" s="5"/>
      <c r="B11" s="5"/>
      <c r="C11" s="5"/>
      <c r="D11" s="4"/>
      <c r="H11" s="4">
        <f t="shared" ref="H11:H12" si="0">(D11/1.19)*0.19</f>
        <v>0</v>
      </c>
    </row>
    <row r="12" spans="1:8" ht="18.75" x14ac:dyDescent="0.3">
      <c r="A12" s="5"/>
      <c r="B12" s="5"/>
      <c r="C12" s="5"/>
      <c r="D12" s="4"/>
      <c r="H12" s="4">
        <f t="shared" si="0"/>
        <v>0</v>
      </c>
    </row>
    <row r="13" spans="1:8" ht="19.5" thickBot="1" x14ac:dyDescent="0.35">
      <c r="A13" s="5"/>
      <c r="B13" s="5"/>
      <c r="C13" s="5"/>
      <c r="D13" s="35"/>
      <c r="E13" s="27"/>
      <c r="H13" s="35"/>
    </row>
    <row r="14" spans="1:8" ht="19.5" thickTop="1" x14ac:dyDescent="0.3">
      <c r="D14" s="4">
        <f>SUM(D7:D13)</f>
        <v>1136142</v>
      </c>
      <c r="H14" s="33">
        <f>SUM(H7:H13)</f>
        <v>181400.82352941178</v>
      </c>
    </row>
    <row r="16" spans="1:8" ht="18.75" x14ac:dyDescent="0.3">
      <c r="C16" t="s">
        <v>4</v>
      </c>
      <c r="D16" s="4">
        <f>D3-D14</f>
        <v>917976.5</v>
      </c>
      <c r="G16" t="s">
        <v>5</v>
      </c>
      <c r="H16" s="4">
        <f>H3-H14</f>
        <v>146567.67647058822</v>
      </c>
    </row>
    <row r="18" spans="1:8" x14ac:dyDescent="0.25">
      <c r="G18" t="s">
        <v>454</v>
      </c>
    </row>
    <row r="19" spans="1:8" ht="15.75" x14ac:dyDescent="0.25">
      <c r="A19" t="s">
        <v>6</v>
      </c>
      <c r="C19" s="8">
        <f>D16</f>
        <v>917976.5</v>
      </c>
      <c r="E19" t="s">
        <v>10</v>
      </c>
      <c r="H19" s="6">
        <f>C28</f>
        <v>763192.34952941176</v>
      </c>
    </row>
    <row r="21" spans="1:8" ht="15.75" x14ac:dyDescent="0.25">
      <c r="A21" t="s">
        <v>5</v>
      </c>
      <c r="B21" s="9" t="s">
        <v>7</v>
      </c>
      <c r="C21" s="8">
        <f>H16</f>
        <v>146567.67647058822</v>
      </c>
      <c r="E21" s="13" t="s">
        <v>11</v>
      </c>
      <c r="F21" s="9" t="s">
        <v>12</v>
      </c>
      <c r="G21" s="15" t="s">
        <v>17</v>
      </c>
      <c r="H21" s="3">
        <f>-(F22*0.0077)</f>
        <v>-13291.355</v>
      </c>
    </row>
    <row r="22" spans="1:8" x14ac:dyDescent="0.25">
      <c r="F22" s="21">
        <f>D3-H3</f>
        <v>1726150</v>
      </c>
    </row>
    <row r="23" spans="1:8" ht="16.5" thickBot="1" x14ac:dyDescent="0.3">
      <c r="A23" t="s">
        <v>8</v>
      </c>
      <c r="B23" s="9" t="s">
        <v>7</v>
      </c>
      <c r="C23" s="8">
        <f>D3*0.004</f>
        <v>8216.4740000000002</v>
      </c>
      <c r="F23" s="9" t="s">
        <v>13</v>
      </c>
      <c r="G23" s="16">
        <v>0.35</v>
      </c>
      <c r="H23" s="17">
        <f>-(F24*0.35)</f>
        <v>-267117.3223352941</v>
      </c>
    </row>
    <row r="24" spans="1:8" x14ac:dyDescent="0.25">
      <c r="F24" s="21">
        <f>H19</f>
        <v>763192.34952941176</v>
      </c>
    </row>
    <row r="25" spans="1:8" x14ac:dyDescent="0.25">
      <c r="A25" t="s">
        <v>9</v>
      </c>
      <c r="B25" s="9" t="s">
        <v>7</v>
      </c>
      <c r="G25" s="13" t="s">
        <v>14</v>
      </c>
      <c r="H25" s="6">
        <f>H19+H21+H23</f>
        <v>482783.67219411768</v>
      </c>
    </row>
    <row r="26" spans="1:8" ht="15.75" thickBot="1" x14ac:dyDescent="0.3">
      <c r="A26" s="38" t="s">
        <v>638</v>
      </c>
      <c r="B26" s="14"/>
      <c r="C26" s="7"/>
    </row>
    <row r="27" spans="1:8" x14ac:dyDescent="0.25">
      <c r="E27" t="s">
        <v>100</v>
      </c>
      <c r="H27" s="20">
        <f>H25*0.4</f>
        <v>193113.46887764707</v>
      </c>
    </row>
    <row r="28" spans="1:8" ht="15.75" x14ac:dyDescent="0.25">
      <c r="A28" t="s">
        <v>10</v>
      </c>
      <c r="C28" s="10">
        <f>C19-C21-C23-C25</f>
        <v>763192.34952941176</v>
      </c>
      <c r="H28" s="18"/>
    </row>
    <row r="29" spans="1:8" x14ac:dyDescent="0.25">
      <c r="H29" s="3"/>
    </row>
    <row r="30" spans="1:8" x14ac:dyDescent="0.25">
      <c r="H30" s="18"/>
    </row>
  </sheetData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05212-7787-429E-8F71-4AD29BB6C039}">
  <dimension ref="A1:H30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686</v>
      </c>
    </row>
    <row r="3" spans="1:8" ht="21" x14ac:dyDescent="0.35">
      <c r="A3" s="2" t="s">
        <v>1</v>
      </c>
      <c r="D3" s="11">
        <v>1342558</v>
      </c>
      <c r="F3" s="12" t="s">
        <v>3</v>
      </c>
      <c r="H3" s="11">
        <f>(D3/1.19)*0.19</f>
        <v>214358</v>
      </c>
    </row>
    <row r="4" spans="1:8" x14ac:dyDescent="0.25">
      <c r="A4" s="13" t="s">
        <v>29</v>
      </c>
      <c r="C4" s="28">
        <v>988</v>
      </c>
    </row>
    <row r="5" spans="1:8" ht="21" x14ac:dyDescent="0.35">
      <c r="A5" s="2" t="s">
        <v>2</v>
      </c>
    </row>
    <row r="7" spans="1:8" ht="18.75" x14ac:dyDescent="0.3">
      <c r="A7" s="5"/>
      <c r="D7" s="4"/>
      <c r="H7" s="4"/>
    </row>
    <row r="8" spans="1:8" ht="18.75" x14ac:dyDescent="0.3">
      <c r="A8" s="5"/>
      <c r="D8" s="4"/>
      <c r="H8" s="4"/>
    </row>
    <row r="9" spans="1:8" ht="18.75" x14ac:dyDescent="0.3">
      <c r="A9" s="5"/>
      <c r="B9" s="5"/>
      <c r="C9" s="5"/>
      <c r="D9" s="4"/>
      <c r="H9" s="4"/>
    </row>
    <row r="10" spans="1:8" ht="18.75" x14ac:dyDescent="0.3">
      <c r="A10" s="5" t="s">
        <v>167</v>
      </c>
      <c r="B10" s="5"/>
      <c r="C10" s="5"/>
      <c r="D10" s="4">
        <v>800492</v>
      </c>
      <c r="H10" s="4">
        <f>(D10/1.19)*0.19</f>
        <v>127809.64705882354</v>
      </c>
    </row>
    <row r="11" spans="1:8" ht="18.75" x14ac:dyDescent="0.3">
      <c r="A11" s="5"/>
      <c r="B11" s="5"/>
      <c r="C11" s="5"/>
      <c r="D11" s="4"/>
      <c r="H11" s="4">
        <f t="shared" ref="H11:H12" si="0">(D11/1.19)*0.19</f>
        <v>0</v>
      </c>
    </row>
    <row r="12" spans="1:8" ht="18.75" x14ac:dyDescent="0.3">
      <c r="A12" s="5"/>
      <c r="B12" s="5"/>
      <c r="C12" s="5"/>
      <c r="D12" s="4"/>
      <c r="H12" s="4">
        <f t="shared" si="0"/>
        <v>0</v>
      </c>
    </row>
    <row r="13" spans="1:8" ht="19.5" thickBot="1" x14ac:dyDescent="0.35">
      <c r="A13" s="5"/>
      <c r="B13" s="5"/>
      <c r="C13" s="5"/>
      <c r="D13" s="35"/>
      <c r="E13" s="27"/>
      <c r="H13" s="35"/>
    </row>
    <row r="14" spans="1:8" ht="19.5" thickTop="1" x14ac:dyDescent="0.3">
      <c r="D14" s="4">
        <f>SUM(D7:D13)</f>
        <v>800492</v>
      </c>
      <c r="H14" s="33">
        <f>SUM(H7:H13)</f>
        <v>127809.64705882354</v>
      </c>
    </row>
    <row r="16" spans="1:8" ht="18.75" x14ac:dyDescent="0.3">
      <c r="C16" t="s">
        <v>4</v>
      </c>
      <c r="D16" s="4">
        <f>D3-D14</f>
        <v>542066</v>
      </c>
      <c r="G16" t="s">
        <v>5</v>
      </c>
      <c r="H16" s="4">
        <f>H3-H14</f>
        <v>86548.352941176461</v>
      </c>
    </row>
    <row r="18" spans="1:8" x14ac:dyDescent="0.25">
      <c r="G18" t="s">
        <v>454</v>
      </c>
    </row>
    <row r="19" spans="1:8" ht="15.75" x14ac:dyDescent="0.25">
      <c r="A19" t="s">
        <v>6</v>
      </c>
      <c r="C19" s="8">
        <f>D16</f>
        <v>542066</v>
      </c>
      <c r="E19" t="s">
        <v>10</v>
      </c>
      <c r="H19" s="6">
        <f>C28</f>
        <v>450147.41505882354</v>
      </c>
    </row>
    <row r="21" spans="1:8" ht="15.75" x14ac:dyDescent="0.25">
      <c r="A21" t="s">
        <v>5</v>
      </c>
      <c r="B21" s="9" t="s">
        <v>7</v>
      </c>
      <c r="C21" s="8">
        <f>H16</f>
        <v>86548.352941176461</v>
      </c>
      <c r="E21" s="13" t="s">
        <v>11</v>
      </c>
      <c r="F21" s="9" t="s">
        <v>12</v>
      </c>
      <c r="G21" s="15" t="s">
        <v>17</v>
      </c>
      <c r="H21" s="3">
        <f>-(F22*0.0077)</f>
        <v>-8687.14</v>
      </c>
    </row>
    <row r="22" spans="1:8" x14ac:dyDescent="0.25">
      <c r="F22" s="21">
        <f>D3-H3</f>
        <v>1128200</v>
      </c>
    </row>
    <row r="23" spans="1:8" ht="16.5" thickBot="1" x14ac:dyDescent="0.3">
      <c r="A23" t="s">
        <v>8</v>
      </c>
      <c r="B23" s="9" t="s">
        <v>7</v>
      </c>
      <c r="C23" s="8">
        <f>D3*0.004</f>
        <v>5370.232</v>
      </c>
      <c r="F23" s="9" t="s">
        <v>13</v>
      </c>
      <c r="G23" s="16">
        <v>0.35</v>
      </c>
      <c r="H23" s="17">
        <f>-(F24*0.35)</f>
        <v>-157551.59527058824</v>
      </c>
    </row>
    <row r="24" spans="1:8" x14ac:dyDescent="0.25">
      <c r="F24" s="21">
        <f>H19</f>
        <v>450147.41505882354</v>
      </c>
    </row>
    <row r="25" spans="1:8" x14ac:dyDescent="0.25">
      <c r="A25" t="s">
        <v>9</v>
      </c>
      <c r="B25" s="9" t="s">
        <v>7</v>
      </c>
      <c r="G25" s="13" t="s">
        <v>14</v>
      </c>
      <c r="H25" s="6">
        <f>H19+H21+H23</f>
        <v>283908.67978823528</v>
      </c>
    </row>
    <row r="26" spans="1:8" ht="15.75" thickBot="1" x14ac:dyDescent="0.3">
      <c r="A26" s="38" t="s">
        <v>638</v>
      </c>
      <c r="B26" s="14"/>
      <c r="C26" s="7"/>
    </row>
    <row r="27" spans="1:8" x14ac:dyDescent="0.25">
      <c r="E27" t="s">
        <v>100</v>
      </c>
      <c r="H27" s="20">
        <f>H25*0.4</f>
        <v>113563.47191529413</v>
      </c>
    </row>
    <row r="28" spans="1:8" ht="15.75" x14ac:dyDescent="0.25">
      <c r="A28" t="s">
        <v>10</v>
      </c>
      <c r="C28" s="10">
        <f>C19-C21-C23-C25</f>
        <v>450147.41505882354</v>
      </c>
      <c r="H28" s="18"/>
    </row>
    <row r="29" spans="1:8" x14ac:dyDescent="0.25">
      <c r="H29" s="3"/>
    </row>
    <row r="30" spans="1:8" x14ac:dyDescent="0.25">
      <c r="H30" s="18"/>
    </row>
  </sheetData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EB7E0-67EA-40C0-B65E-975258DE8090}">
  <dimension ref="A1:H30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686</v>
      </c>
    </row>
    <row r="3" spans="1:8" ht="21" x14ac:dyDescent="0.35">
      <c r="A3" s="2" t="s">
        <v>1</v>
      </c>
      <c r="D3" s="11">
        <v>124950</v>
      </c>
      <c r="F3" s="12" t="s">
        <v>3</v>
      </c>
      <c r="H3" s="11">
        <f>(D3/1.19)*0.19</f>
        <v>19950</v>
      </c>
    </row>
    <row r="4" spans="1:8" x14ac:dyDescent="0.25">
      <c r="A4" s="13" t="s">
        <v>29</v>
      </c>
      <c r="C4" s="28">
        <v>989</v>
      </c>
    </row>
    <row r="5" spans="1:8" ht="21" x14ac:dyDescent="0.35">
      <c r="A5" s="2" t="s">
        <v>2</v>
      </c>
    </row>
    <row r="7" spans="1:8" ht="18.75" x14ac:dyDescent="0.3">
      <c r="A7" s="5"/>
      <c r="D7" s="4"/>
      <c r="H7" s="4"/>
    </row>
    <row r="8" spans="1:8" ht="18.75" x14ac:dyDescent="0.3">
      <c r="A8" s="5"/>
      <c r="D8" s="4"/>
      <c r="H8" s="4"/>
    </row>
    <row r="9" spans="1:8" ht="18.75" x14ac:dyDescent="0.3">
      <c r="A9" s="5"/>
      <c r="B9" s="5"/>
      <c r="C9" s="5"/>
      <c r="D9" s="4"/>
      <c r="H9" s="4"/>
    </row>
    <row r="10" spans="1:8" ht="18.75" x14ac:dyDescent="0.3">
      <c r="A10" s="5" t="s">
        <v>167</v>
      </c>
      <c r="B10" s="5"/>
      <c r="C10" s="5"/>
      <c r="D10" s="4">
        <v>85000</v>
      </c>
      <c r="H10" s="4">
        <f>(D10/1.19)*0.19</f>
        <v>13571.428571428572</v>
      </c>
    </row>
    <row r="11" spans="1:8" ht="18.75" x14ac:dyDescent="0.3">
      <c r="A11" s="5"/>
      <c r="B11" s="5"/>
      <c r="C11" s="5"/>
      <c r="D11" s="4"/>
      <c r="H11" s="4">
        <f t="shared" ref="H11:H12" si="0">(D11/1.19)*0.19</f>
        <v>0</v>
      </c>
    </row>
    <row r="12" spans="1:8" ht="18.75" x14ac:dyDescent="0.3">
      <c r="A12" s="5"/>
      <c r="B12" s="5"/>
      <c r="C12" s="5"/>
      <c r="D12" s="4"/>
      <c r="H12" s="4">
        <f t="shared" si="0"/>
        <v>0</v>
      </c>
    </row>
    <row r="13" spans="1:8" ht="19.5" thickBot="1" x14ac:dyDescent="0.35">
      <c r="A13" s="5"/>
      <c r="B13" s="5"/>
      <c r="C13" s="5"/>
      <c r="D13" s="35"/>
      <c r="E13" s="27"/>
      <c r="H13" s="35"/>
    </row>
    <row r="14" spans="1:8" ht="19.5" thickTop="1" x14ac:dyDescent="0.3">
      <c r="D14" s="4">
        <f>SUM(D7:D13)</f>
        <v>85000</v>
      </c>
      <c r="H14" s="33">
        <f>SUM(H7:H13)</f>
        <v>13571.428571428572</v>
      </c>
    </row>
    <row r="16" spans="1:8" ht="18.75" x14ac:dyDescent="0.3">
      <c r="C16" t="s">
        <v>4</v>
      </c>
      <c r="D16" s="4">
        <f>D3-D14</f>
        <v>39950</v>
      </c>
      <c r="G16" t="s">
        <v>5</v>
      </c>
      <c r="H16" s="4">
        <f>H3-H14</f>
        <v>6378.5714285714275</v>
      </c>
    </row>
    <row r="18" spans="1:8" x14ac:dyDescent="0.25">
      <c r="G18" t="s">
        <v>454</v>
      </c>
    </row>
    <row r="19" spans="1:8" ht="15.75" x14ac:dyDescent="0.25">
      <c r="A19" t="s">
        <v>6</v>
      </c>
      <c r="C19" s="8">
        <f>D16</f>
        <v>39950</v>
      </c>
      <c r="E19" t="s">
        <v>10</v>
      </c>
      <c r="H19" s="6">
        <f>C28</f>
        <v>33071.62857142857</v>
      </c>
    </row>
    <row r="21" spans="1:8" ht="15.75" x14ac:dyDescent="0.25">
      <c r="A21" t="s">
        <v>5</v>
      </c>
      <c r="B21" s="9" t="s">
        <v>7</v>
      </c>
      <c r="C21" s="8">
        <f>H16</f>
        <v>6378.5714285714275</v>
      </c>
      <c r="E21" s="13" t="s">
        <v>11</v>
      </c>
      <c r="F21" s="9" t="s">
        <v>12</v>
      </c>
      <c r="G21" s="15" t="s">
        <v>17</v>
      </c>
      <c r="H21" s="3">
        <f>-(F22*0.0077)</f>
        <v>-808.5</v>
      </c>
    </row>
    <row r="22" spans="1:8" x14ac:dyDescent="0.25">
      <c r="F22" s="21">
        <f>D3-H3</f>
        <v>105000</v>
      </c>
    </row>
    <row r="23" spans="1:8" ht="16.5" thickBot="1" x14ac:dyDescent="0.3">
      <c r="A23" t="s">
        <v>8</v>
      </c>
      <c r="B23" s="9" t="s">
        <v>7</v>
      </c>
      <c r="C23" s="8">
        <f>D3*0.004</f>
        <v>499.8</v>
      </c>
      <c r="F23" s="9" t="s">
        <v>13</v>
      </c>
      <c r="G23" s="16">
        <v>0.35</v>
      </c>
      <c r="H23" s="17">
        <f>-(F24*0.35)</f>
        <v>-11575.069999999998</v>
      </c>
    </row>
    <row r="24" spans="1:8" x14ac:dyDescent="0.25">
      <c r="F24" s="21">
        <f>H19</f>
        <v>33071.62857142857</v>
      </c>
    </row>
    <row r="25" spans="1:8" x14ac:dyDescent="0.25">
      <c r="A25" t="s">
        <v>9</v>
      </c>
      <c r="B25" s="9" t="s">
        <v>7</v>
      </c>
      <c r="G25" s="13" t="s">
        <v>14</v>
      </c>
      <c r="H25" s="6">
        <f>H19+H21+H23</f>
        <v>20688.05857142857</v>
      </c>
    </row>
    <row r="26" spans="1:8" ht="15.75" thickBot="1" x14ac:dyDescent="0.3">
      <c r="A26" s="38" t="s">
        <v>638</v>
      </c>
      <c r="B26" s="14"/>
      <c r="C26" s="7"/>
    </row>
    <row r="27" spans="1:8" x14ac:dyDescent="0.25">
      <c r="E27" t="s">
        <v>100</v>
      </c>
      <c r="H27" s="20">
        <f>H25*0.4</f>
        <v>8275.2234285714276</v>
      </c>
    </row>
    <row r="28" spans="1:8" ht="15.75" x14ac:dyDescent="0.25">
      <c r="A28" t="s">
        <v>10</v>
      </c>
      <c r="C28" s="10">
        <f>C19-C21-C23-C25</f>
        <v>33071.62857142857</v>
      </c>
      <c r="H28" s="18"/>
    </row>
    <row r="29" spans="1:8" x14ac:dyDescent="0.25">
      <c r="H29" s="3"/>
    </row>
    <row r="30" spans="1:8" x14ac:dyDescent="0.25">
      <c r="H30" s="18"/>
    </row>
  </sheetData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6AB80-C7B5-4D95-8E7D-83D995EF23B2}">
  <dimension ref="A1:H30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434</v>
      </c>
    </row>
    <row r="3" spans="1:8" ht="21" x14ac:dyDescent="0.35">
      <c r="A3" s="2" t="s">
        <v>1</v>
      </c>
      <c r="D3" s="11">
        <v>29750</v>
      </c>
      <c r="F3" s="12" t="s">
        <v>3</v>
      </c>
      <c r="H3" s="11">
        <f>(D3/1.19)*0.19</f>
        <v>4750</v>
      </c>
    </row>
    <row r="4" spans="1:8" x14ac:dyDescent="0.25">
      <c r="A4" s="13" t="s">
        <v>29</v>
      </c>
      <c r="C4" s="28">
        <v>992</v>
      </c>
    </row>
    <row r="5" spans="1:8" ht="21" x14ac:dyDescent="0.35">
      <c r="A5" s="2" t="s">
        <v>2</v>
      </c>
    </row>
    <row r="7" spans="1:8" ht="18.75" x14ac:dyDescent="0.3">
      <c r="A7" s="5"/>
      <c r="D7" s="4"/>
      <c r="H7" s="4"/>
    </row>
    <row r="8" spans="1:8" ht="18.75" x14ac:dyDescent="0.3">
      <c r="A8" s="5"/>
      <c r="D8" s="4"/>
      <c r="H8" s="4"/>
    </row>
    <row r="9" spans="1:8" ht="18.75" x14ac:dyDescent="0.3">
      <c r="A9" s="5"/>
      <c r="B9" s="5"/>
      <c r="C9" s="5"/>
      <c r="D9" s="4"/>
      <c r="H9" s="4"/>
    </row>
    <row r="10" spans="1:8" ht="18.75" x14ac:dyDescent="0.3">
      <c r="A10" s="5" t="s">
        <v>167</v>
      </c>
      <c r="B10" s="5"/>
      <c r="C10" s="5"/>
      <c r="D10" s="4">
        <v>14280</v>
      </c>
      <c r="H10" s="4">
        <f>(D10/1.19)*0.19</f>
        <v>2280</v>
      </c>
    </row>
    <row r="11" spans="1:8" ht="18.75" x14ac:dyDescent="0.3">
      <c r="A11" s="5"/>
      <c r="B11" s="5"/>
      <c r="C11" s="5"/>
      <c r="D11" s="4"/>
      <c r="H11" s="4">
        <f t="shared" ref="H11:H12" si="0">(D11/1.19)*0.19</f>
        <v>0</v>
      </c>
    </row>
    <row r="12" spans="1:8" ht="18.75" x14ac:dyDescent="0.3">
      <c r="A12" s="5"/>
      <c r="B12" s="5"/>
      <c r="C12" s="5"/>
      <c r="D12" s="4"/>
      <c r="H12" s="4">
        <f t="shared" si="0"/>
        <v>0</v>
      </c>
    </row>
    <row r="13" spans="1:8" ht="19.5" thickBot="1" x14ac:dyDescent="0.35">
      <c r="A13" s="5"/>
      <c r="B13" s="5"/>
      <c r="C13" s="5"/>
      <c r="D13" s="35"/>
      <c r="E13" s="27"/>
      <c r="H13" s="35"/>
    </row>
    <row r="14" spans="1:8" ht="19.5" thickTop="1" x14ac:dyDescent="0.3">
      <c r="D14" s="4">
        <f>SUM(D7:D13)</f>
        <v>14280</v>
      </c>
      <c r="H14" s="33">
        <f>SUM(H7:H13)</f>
        <v>2280</v>
      </c>
    </row>
    <row r="16" spans="1:8" ht="18.75" x14ac:dyDescent="0.3">
      <c r="C16" t="s">
        <v>4</v>
      </c>
      <c r="D16" s="4">
        <f>D3-D14</f>
        <v>15470</v>
      </c>
      <c r="G16" t="s">
        <v>5</v>
      </c>
      <c r="H16" s="4">
        <f>H3-H14</f>
        <v>2470</v>
      </c>
    </row>
    <row r="18" spans="1:8" x14ac:dyDescent="0.25">
      <c r="G18" t="s">
        <v>454</v>
      </c>
    </row>
    <row r="19" spans="1:8" ht="15.75" x14ac:dyDescent="0.25">
      <c r="A19" t="s">
        <v>6</v>
      </c>
      <c r="C19" s="8">
        <f>D16</f>
        <v>15470</v>
      </c>
      <c r="E19" t="s">
        <v>10</v>
      </c>
      <c r="H19" s="6">
        <f>C28</f>
        <v>12881</v>
      </c>
    </row>
    <row r="21" spans="1:8" ht="15.75" x14ac:dyDescent="0.25">
      <c r="A21" t="s">
        <v>5</v>
      </c>
      <c r="B21" s="9" t="s">
        <v>7</v>
      </c>
      <c r="C21" s="8">
        <f>H16</f>
        <v>2470</v>
      </c>
      <c r="E21" s="13" t="s">
        <v>11</v>
      </c>
      <c r="F21" s="9" t="s">
        <v>12</v>
      </c>
      <c r="G21" s="15" t="s">
        <v>17</v>
      </c>
      <c r="H21" s="3">
        <f>-(F22*0.0077)</f>
        <v>-192.5</v>
      </c>
    </row>
    <row r="22" spans="1:8" x14ac:dyDescent="0.25">
      <c r="F22" s="21">
        <f>D3-H3</f>
        <v>25000</v>
      </c>
    </row>
    <row r="23" spans="1:8" ht="16.5" thickBot="1" x14ac:dyDescent="0.3">
      <c r="A23" t="s">
        <v>8</v>
      </c>
      <c r="B23" s="9" t="s">
        <v>7</v>
      </c>
      <c r="C23" s="8">
        <f>D3*0.004</f>
        <v>119</v>
      </c>
      <c r="F23" s="9" t="s">
        <v>13</v>
      </c>
      <c r="G23" s="16">
        <v>0.35</v>
      </c>
      <c r="H23" s="17">
        <f>-(F24*0.35)</f>
        <v>-4508.3499999999995</v>
      </c>
    </row>
    <row r="24" spans="1:8" x14ac:dyDescent="0.25">
      <c r="F24" s="21">
        <f>H19</f>
        <v>12881</v>
      </c>
    </row>
    <row r="25" spans="1:8" x14ac:dyDescent="0.25">
      <c r="A25" t="s">
        <v>9</v>
      </c>
      <c r="B25" s="9" t="s">
        <v>7</v>
      </c>
      <c r="G25" s="13" t="s">
        <v>14</v>
      </c>
      <c r="H25" s="6">
        <f>H19+H21+H23</f>
        <v>8180.1500000000005</v>
      </c>
    </row>
    <row r="26" spans="1:8" ht="15.75" thickBot="1" x14ac:dyDescent="0.3">
      <c r="A26" s="38" t="s">
        <v>638</v>
      </c>
      <c r="B26" s="14"/>
      <c r="C26" s="7"/>
    </row>
    <row r="27" spans="1:8" x14ac:dyDescent="0.25">
      <c r="E27" t="s">
        <v>100</v>
      </c>
      <c r="H27" s="20">
        <f>H25*0.4</f>
        <v>3272.0600000000004</v>
      </c>
    </row>
    <row r="28" spans="1:8" ht="15.75" x14ac:dyDescent="0.25">
      <c r="A28" t="s">
        <v>10</v>
      </c>
      <c r="C28" s="10">
        <f>C19-C21-C23-C25</f>
        <v>12881</v>
      </c>
      <c r="H28" s="18"/>
    </row>
    <row r="29" spans="1:8" x14ac:dyDescent="0.25">
      <c r="H29" s="3"/>
    </row>
    <row r="30" spans="1:8" x14ac:dyDescent="0.25">
      <c r="H30" s="18"/>
    </row>
  </sheetData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49294-37AB-4D11-A529-FFE68CDBCD92}">
  <dimension ref="A1:H30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434</v>
      </c>
    </row>
    <row r="3" spans="1:8" ht="21" x14ac:dyDescent="0.35">
      <c r="A3" s="2" t="s">
        <v>1</v>
      </c>
      <c r="D3" s="11">
        <v>160650</v>
      </c>
      <c r="F3" s="12" t="s">
        <v>3</v>
      </c>
      <c r="H3" s="11">
        <f>(D3/1.19)*0.19</f>
        <v>25650</v>
      </c>
    </row>
    <row r="4" spans="1:8" x14ac:dyDescent="0.25">
      <c r="A4" s="13" t="s">
        <v>29</v>
      </c>
      <c r="C4" s="28">
        <v>994</v>
      </c>
    </row>
    <row r="5" spans="1:8" ht="21" x14ac:dyDescent="0.35">
      <c r="A5" s="2" t="s">
        <v>2</v>
      </c>
    </row>
    <row r="7" spans="1:8" ht="18.75" x14ac:dyDescent="0.3">
      <c r="A7" s="5"/>
      <c r="D7" s="4"/>
      <c r="H7" s="4"/>
    </row>
    <row r="8" spans="1:8" ht="18.75" x14ac:dyDescent="0.3">
      <c r="A8" s="5"/>
      <c r="D8" s="4"/>
      <c r="H8" s="4"/>
    </row>
    <row r="9" spans="1:8" ht="18.75" x14ac:dyDescent="0.3">
      <c r="A9" s="5"/>
      <c r="B9" s="5"/>
      <c r="C9" s="5"/>
      <c r="D9" s="4"/>
      <c r="H9" s="4"/>
    </row>
    <row r="10" spans="1:8" ht="18.75" x14ac:dyDescent="0.3">
      <c r="A10" s="5"/>
      <c r="B10" s="5"/>
      <c r="C10" s="5"/>
      <c r="D10" s="4"/>
      <c r="H10" s="4">
        <f>(D10/1.19)*0.19</f>
        <v>0</v>
      </c>
    </row>
    <row r="11" spans="1:8" ht="18.75" x14ac:dyDescent="0.3">
      <c r="A11" s="5" t="s">
        <v>167</v>
      </c>
      <c r="B11" s="5"/>
      <c r="C11" s="5"/>
      <c r="D11" s="4">
        <v>78000</v>
      </c>
      <c r="H11" s="4">
        <f t="shared" ref="H11:H12" si="0">(D11/1.19)*0.19</f>
        <v>12453.781512605043</v>
      </c>
    </row>
    <row r="12" spans="1:8" ht="18.75" x14ac:dyDescent="0.3">
      <c r="A12" s="5"/>
      <c r="B12" s="5"/>
      <c r="C12" s="5"/>
      <c r="D12" s="4"/>
      <c r="H12" s="4">
        <f t="shared" si="0"/>
        <v>0</v>
      </c>
    </row>
    <row r="13" spans="1:8" ht="19.5" thickBot="1" x14ac:dyDescent="0.35">
      <c r="A13" s="5"/>
      <c r="B13" s="5"/>
      <c r="C13" s="5"/>
      <c r="D13" s="35"/>
      <c r="E13" s="27"/>
      <c r="H13" s="35"/>
    </row>
    <row r="14" spans="1:8" ht="19.5" thickTop="1" x14ac:dyDescent="0.3">
      <c r="D14" s="4">
        <f>SUM(D7:D13)</f>
        <v>78000</v>
      </c>
      <c r="H14" s="33">
        <f>SUM(H7:H13)</f>
        <v>12453.781512605043</v>
      </c>
    </row>
    <row r="16" spans="1:8" ht="18.75" x14ac:dyDescent="0.3">
      <c r="C16" t="s">
        <v>4</v>
      </c>
      <c r="D16" s="4">
        <f>D3-D14</f>
        <v>82650</v>
      </c>
      <c r="G16" t="s">
        <v>5</v>
      </c>
      <c r="H16" s="4">
        <f>H3-H14</f>
        <v>13196.218487394957</v>
      </c>
    </row>
    <row r="18" spans="1:8" x14ac:dyDescent="0.25">
      <c r="G18" t="s">
        <v>454</v>
      </c>
    </row>
    <row r="19" spans="1:8" ht="15.75" x14ac:dyDescent="0.25">
      <c r="A19" t="s">
        <v>6</v>
      </c>
      <c r="C19" s="8">
        <f>D16</f>
        <v>82650</v>
      </c>
      <c r="E19" t="s">
        <v>10</v>
      </c>
      <c r="H19" s="6">
        <f>C28</f>
        <v>68811.181512605035</v>
      </c>
    </row>
    <row r="21" spans="1:8" ht="15.75" x14ac:dyDescent="0.25">
      <c r="A21" t="s">
        <v>5</v>
      </c>
      <c r="B21" s="9" t="s">
        <v>7</v>
      </c>
      <c r="C21" s="8">
        <f>H16</f>
        <v>13196.218487394957</v>
      </c>
      <c r="E21" s="13" t="s">
        <v>11</v>
      </c>
      <c r="F21" s="9" t="s">
        <v>12</v>
      </c>
      <c r="G21" s="15" t="s">
        <v>17</v>
      </c>
      <c r="H21" s="3">
        <f>-(F22*0.0077)</f>
        <v>-1039.5</v>
      </c>
    </row>
    <row r="22" spans="1:8" x14ac:dyDescent="0.25">
      <c r="F22" s="21">
        <f>D3-H3</f>
        <v>135000</v>
      </c>
    </row>
    <row r="23" spans="1:8" ht="16.5" thickBot="1" x14ac:dyDescent="0.3">
      <c r="A23" t="s">
        <v>8</v>
      </c>
      <c r="B23" s="9" t="s">
        <v>7</v>
      </c>
      <c r="C23" s="8">
        <f>D3*0.004</f>
        <v>642.6</v>
      </c>
      <c r="F23" s="9" t="s">
        <v>13</v>
      </c>
      <c r="G23" s="16">
        <v>0.35</v>
      </c>
      <c r="H23" s="17">
        <f>-(F24*0.35)</f>
        <v>-24083.913529411762</v>
      </c>
    </row>
    <row r="24" spans="1:8" x14ac:dyDescent="0.25">
      <c r="F24" s="21">
        <f>H19</f>
        <v>68811.181512605035</v>
      </c>
    </row>
    <row r="25" spans="1:8" x14ac:dyDescent="0.25">
      <c r="A25" t="s">
        <v>9</v>
      </c>
      <c r="B25" s="9" t="s">
        <v>7</v>
      </c>
      <c r="G25" s="13" t="s">
        <v>14</v>
      </c>
      <c r="H25" s="6">
        <f>H19+H21+H23</f>
        <v>43687.767983193276</v>
      </c>
    </row>
    <row r="26" spans="1:8" ht="15.75" thickBot="1" x14ac:dyDescent="0.3">
      <c r="A26" s="38" t="s">
        <v>638</v>
      </c>
      <c r="B26" s="14"/>
      <c r="C26" s="7"/>
    </row>
    <row r="27" spans="1:8" x14ac:dyDescent="0.25">
      <c r="E27" t="s">
        <v>100</v>
      </c>
      <c r="H27" s="20">
        <f>H25*0.4</f>
        <v>17475.107193277312</v>
      </c>
    </row>
    <row r="28" spans="1:8" ht="15.75" x14ac:dyDescent="0.25">
      <c r="A28" t="s">
        <v>10</v>
      </c>
      <c r="C28" s="10">
        <f>C19-C21-C23-C25</f>
        <v>68811.181512605035</v>
      </c>
      <c r="H28" s="18"/>
    </row>
    <row r="29" spans="1:8" x14ac:dyDescent="0.25">
      <c r="H29" s="3"/>
    </row>
    <row r="30" spans="1:8" x14ac:dyDescent="0.25">
      <c r="H30" s="18"/>
    </row>
  </sheetData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70388-4FB8-43DE-B994-C311E5EC39BD}">
  <dimension ref="A1:H30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687</v>
      </c>
    </row>
    <row r="3" spans="1:8" ht="21" x14ac:dyDescent="0.35">
      <c r="A3" s="2" t="s">
        <v>1</v>
      </c>
      <c r="D3" s="11">
        <v>283220</v>
      </c>
      <c r="F3" s="12" t="s">
        <v>3</v>
      </c>
      <c r="H3" s="11">
        <f>(D3/1.19)*0.19</f>
        <v>45220</v>
      </c>
    </row>
    <row r="4" spans="1:8" x14ac:dyDescent="0.25">
      <c r="A4" s="13" t="s">
        <v>29</v>
      </c>
      <c r="C4" s="28">
        <v>995</v>
      </c>
    </row>
    <row r="5" spans="1:8" ht="21" x14ac:dyDescent="0.35">
      <c r="A5" s="2" t="s">
        <v>2</v>
      </c>
    </row>
    <row r="7" spans="1:8" ht="18.75" x14ac:dyDescent="0.3">
      <c r="A7" s="5"/>
      <c r="D7" s="4"/>
      <c r="H7" s="4"/>
    </row>
    <row r="8" spans="1:8" ht="18.75" x14ac:dyDescent="0.3">
      <c r="A8" s="5"/>
      <c r="D8" s="4"/>
      <c r="H8" s="4"/>
    </row>
    <row r="9" spans="1:8" ht="18.75" x14ac:dyDescent="0.3">
      <c r="A9" s="5"/>
      <c r="B9" s="5"/>
      <c r="C9" s="5"/>
      <c r="D9" s="4"/>
      <c r="H9" s="4"/>
    </row>
    <row r="10" spans="1:8" ht="18.75" x14ac:dyDescent="0.3">
      <c r="A10" s="5" t="s">
        <v>466</v>
      </c>
      <c r="B10" s="5"/>
      <c r="C10" s="5"/>
      <c r="D10" s="4">
        <v>102000</v>
      </c>
      <c r="H10" s="4">
        <f>(D10/1.19)*0.19</f>
        <v>16285.714285714288</v>
      </c>
    </row>
    <row r="11" spans="1:8" ht="18.75" x14ac:dyDescent="0.3">
      <c r="A11" s="5" t="s">
        <v>167</v>
      </c>
      <c r="B11" s="5"/>
      <c r="C11" s="5"/>
      <c r="D11" s="4">
        <v>50000</v>
      </c>
      <c r="H11" s="4">
        <f t="shared" ref="H11:H12" si="0">(D11/1.19)*0.19</f>
        <v>7983.1932773109247</v>
      </c>
    </row>
    <row r="12" spans="1:8" ht="18.75" x14ac:dyDescent="0.3">
      <c r="A12" s="5"/>
      <c r="B12" s="5"/>
      <c r="C12" s="5"/>
      <c r="D12" s="4"/>
      <c r="H12" s="4">
        <f t="shared" si="0"/>
        <v>0</v>
      </c>
    </row>
    <row r="13" spans="1:8" ht="19.5" thickBot="1" x14ac:dyDescent="0.35">
      <c r="A13" s="5"/>
      <c r="B13" s="5"/>
      <c r="C13" s="5"/>
      <c r="D13" s="35"/>
      <c r="E13" s="27"/>
      <c r="H13" s="35"/>
    </row>
    <row r="14" spans="1:8" ht="19.5" thickTop="1" x14ac:dyDescent="0.3">
      <c r="D14" s="4">
        <f>SUM(D7:D13)</f>
        <v>152000</v>
      </c>
      <c r="H14" s="33">
        <f>SUM(H7:H13)</f>
        <v>24268.907563025212</v>
      </c>
    </row>
    <row r="16" spans="1:8" ht="18.75" x14ac:dyDescent="0.3">
      <c r="C16" t="s">
        <v>4</v>
      </c>
      <c r="D16" s="4">
        <f>D3-D14</f>
        <v>131220</v>
      </c>
      <c r="G16" t="s">
        <v>5</v>
      </c>
      <c r="H16" s="4">
        <f>H3-H14</f>
        <v>20951.092436974788</v>
      </c>
    </row>
    <row r="18" spans="1:8" x14ac:dyDescent="0.25">
      <c r="G18" t="s">
        <v>454</v>
      </c>
    </row>
    <row r="19" spans="1:8" ht="15.75" x14ac:dyDescent="0.25">
      <c r="A19" t="s">
        <v>6</v>
      </c>
      <c r="C19" s="8">
        <f>D16</f>
        <v>131220</v>
      </c>
      <c r="E19" t="s">
        <v>10</v>
      </c>
      <c r="H19" s="6">
        <f>C28</f>
        <v>109136.02756302521</v>
      </c>
    </row>
    <row r="21" spans="1:8" ht="15.75" x14ac:dyDescent="0.25">
      <c r="A21" t="s">
        <v>5</v>
      </c>
      <c r="B21" s="9" t="s">
        <v>7</v>
      </c>
      <c r="C21" s="8">
        <f>H16</f>
        <v>20951.092436974788</v>
      </c>
      <c r="E21" s="13" t="s">
        <v>11</v>
      </c>
      <c r="F21" s="9" t="s">
        <v>12</v>
      </c>
      <c r="G21" s="15" t="s">
        <v>17</v>
      </c>
      <c r="H21" s="3">
        <f>-(F22*0.0077)</f>
        <v>-1832.6000000000001</v>
      </c>
    </row>
    <row r="22" spans="1:8" x14ac:dyDescent="0.25">
      <c r="F22" s="21">
        <f>D3-H3</f>
        <v>238000</v>
      </c>
    </row>
    <row r="23" spans="1:8" ht="16.5" thickBot="1" x14ac:dyDescent="0.3">
      <c r="A23" t="s">
        <v>8</v>
      </c>
      <c r="B23" s="9" t="s">
        <v>7</v>
      </c>
      <c r="C23" s="8">
        <f>D3*0.004</f>
        <v>1132.8800000000001</v>
      </c>
      <c r="F23" s="9" t="s">
        <v>13</v>
      </c>
      <c r="G23" s="16">
        <v>0.35</v>
      </c>
      <c r="H23" s="17">
        <f>-(F24*0.35)</f>
        <v>-38197.609647058824</v>
      </c>
    </row>
    <row r="24" spans="1:8" x14ac:dyDescent="0.25">
      <c r="F24" s="21">
        <f>H19</f>
        <v>109136.02756302521</v>
      </c>
    </row>
    <row r="25" spans="1:8" x14ac:dyDescent="0.25">
      <c r="A25" t="s">
        <v>9</v>
      </c>
      <c r="B25" s="9" t="s">
        <v>7</v>
      </c>
      <c r="G25" s="13" t="s">
        <v>14</v>
      </c>
      <c r="H25" s="6">
        <f>H19+H21+H23</f>
        <v>69105.817915966385</v>
      </c>
    </row>
    <row r="26" spans="1:8" ht="15.75" thickBot="1" x14ac:dyDescent="0.3">
      <c r="A26" s="38" t="s">
        <v>638</v>
      </c>
      <c r="B26" s="14"/>
      <c r="C26" s="7"/>
    </row>
    <row r="27" spans="1:8" x14ac:dyDescent="0.25">
      <c r="E27" t="s">
        <v>100</v>
      </c>
      <c r="H27" s="20">
        <f>H25*0.4</f>
        <v>27642.327166386556</v>
      </c>
    </row>
    <row r="28" spans="1:8" ht="15.75" x14ac:dyDescent="0.25">
      <c r="A28" t="s">
        <v>10</v>
      </c>
      <c r="C28" s="10">
        <f>C19-C21-C23-C25</f>
        <v>109136.02756302521</v>
      </c>
      <c r="H28" s="18"/>
    </row>
    <row r="29" spans="1:8" x14ac:dyDescent="0.25">
      <c r="H29" s="3"/>
    </row>
    <row r="30" spans="1:8" x14ac:dyDescent="0.25">
      <c r="H30" s="18"/>
    </row>
  </sheetData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8FBF6-4891-4652-8DA0-DB80C265F96D}">
  <dimension ref="A1:H30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688</v>
      </c>
    </row>
    <row r="3" spans="1:8" ht="21" x14ac:dyDescent="0.35">
      <c r="A3" s="2" t="s">
        <v>1</v>
      </c>
      <c r="D3" s="11">
        <v>255136</v>
      </c>
      <c r="F3" s="12" t="s">
        <v>3</v>
      </c>
      <c r="H3" s="11">
        <f>(D3/1.19)*0.19</f>
        <v>40736</v>
      </c>
    </row>
    <row r="4" spans="1:8" x14ac:dyDescent="0.25">
      <c r="A4" s="13" t="s">
        <v>29</v>
      </c>
      <c r="C4" s="28">
        <v>1002</v>
      </c>
    </row>
    <row r="5" spans="1:8" ht="21" x14ac:dyDescent="0.35">
      <c r="A5" s="2" t="s">
        <v>2</v>
      </c>
    </row>
    <row r="7" spans="1:8" ht="18.75" x14ac:dyDescent="0.3">
      <c r="A7" s="5"/>
      <c r="D7" s="4"/>
      <c r="H7" s="4"/>
    </row>
    <row r="8" spans="1:8" ht="18.75" x14ac:dyDescent="0.3">
      <c r="A8" s="5"/>
      <c r="D8" s="4"/>
      <c r="H8" s="4"/>
    </row>
    <row r="9" spans="1:8" ht="18.75" x14ac:dyDescent="0.3">
      <c r="A9" s="5"/>
      <c r="B9" s="5"/>
      <c r="C9" s="5"/>
      <c r="D9" s="4"/>
      <c r="H9" s="4"/>
    </row>
    <row r="10" spans="1:8" ht="18.75" x14ac:dyDescent="0.3">
      <c r="A10" s="5"/>
      <c r="B10" s="5"/>
      <c r="C10" s="5"/>
      <c r="D10" s="4"/>
      <c r="H10" s="4">
        <f>(D10/1.19)*0.19</f>
        <v>0</v>
      </c>
    </row>
    <row r="11" spans="1:8" ht="18.75" x14ac:dyDescent="0.3">
      <c r="A11" s="5" t="s">
        <v>167</v>
      </c>
      <c r="B11" s="5"/>
      <c r="C11" s="5"/>
      <c r="D11" s="4">
        <v>192521</v>
      </c>
      <c r="H11" s="4">
        <f t="shared" ref="H11:H12" si="0">(D11/1.19)*0.19</f>
        <v>30738.647058823532</v>
      </c>
    </row>
    <row r="12" spans="1:8" ht="18.75" x14ac:dyDescent="0.3">
      <c r="A12" s="5"/>
      <c r="B12" s="5"/>
      <c r="C12" s="5"/>
      <c r="D12" s="4"/>
      <c r="H12" s="4">
        <f t="shared" si="0"/>
        <v>0</v>
      </c>
    </row>
    <row r="13" spans="1:8" ht="19.5" thickBot="1" x14ac:dyDescent="0.35">
      <c r="A13" s="5"/>
      <c r="B13" s="5"/>
      <c r="C13" s="5"/>
      <c r="D13" s="35"/>
      <c r="E13" s="27"/>
      <c r="H13" s="35"/>
    </row>
    <row r="14" spans="1:8" ht="19.5" thickTop="1" x14ac:dyDescent="0.3">
      <c r="D14" s="4">
        <f>SUM(D7:D13)</f>
        <v>192521</v>
      </c>
      <c r="H14" s="33">
        <f>SUM(H7:H13)</f>
        <v>30738.647058823532</v>
      </c>
    </row>
    <row r="16" spans="1:8" ht="18.75" x14ac:dyDescent="0.3">
      <c r="C16" t="s">
        <v>4</v>
      </c>
      <c r="D16" s="4">
        <f>D3-D14</f>
        <v>62615</v>
      </c>
      <c r="G16" t="s">
        <v>5</v>
      </c>
      <c r="H16" s="4">
        <f>H3-H14</f>
        <v>9997.3529411764684</v>
      </c>
    </row>
    <row r="18" spans="1:8" x14ac:dyDescent="0.25">
      <c r="G18" t="s">
        <v>454</v>
      </c>
    </row>
    <row r="19" spans="1:8" ht="15.75" x14ac:dyDescent="0.25">
      <c r="A19" t="s">
        <v>6</v>
      </c>
      <c r="C19" s="8">
        <f>D16</f>
        <v>62615</v>
      </c>
      <c r="E19" t="s">
        <v>10</v>
      </c>
      <c r="H19" s="6">
        <f>C28</f>
        <v>51597.10305882353</v>
      </c>
    </row>
    <row r="21" spans="1:8" ht="15.75" x14ac:dyDescent="0.25">
      <c r="A21" t="s">
        <v>5</v>
      </c>
      <c r="B21" s="9" t="s">
        <v>7</v>
      </c>
      <c r="C21" s="8">
        <f>H16</f>
        <v>9997.3529411764684</v>
      </c>
      <c r="E21" s="13" t="s">
        <v>11</v>
      </c>
      <c r="F21" s="9" t="s">
        <v>12</v>
      </c>
      <c r="G21" s="15" t="s">
        <v>17</v>
      </c>
      <c r="H21" s="3">
        <f>-(F22*0.0077)</f>
        <v>-1650.88</v>
      </c>
    </row>
    <row r="22" spans="1:8" x14ac:dyDescent="0.25">
      <c r="F22" s="21">
        <f>D3-H3</f>
        <v>214400</v>
      </c>
    </row>
    <row r="23" spans="1:8" ht="16.5" thickBot="1" x14ac:dyDescent="0.3">
      <c r="A23" t="s">
        <v>8</v>
      </c>
      <c r="B23" s="9" t="s">
        <v>7</v>
      </c>
      <c r="C23" s="8">
        <f>D3*0.004</f>
        <v>1020.544</v>
      </c>
      <c r="F23" s="9" t="s">
        <v>13</v>
      </c>
      <c r="G23" s="16">
        <v>0.35</v>
      </c>
      <c r="H23" s="17">
        <f>-(F24*0.35)</f>
        <v>-18058.986070588235</v>
      </c>
    </row>
    <row r="24" spans="1:8" x14ac:dyDescent="0.25">
      <c r="F24" s="21">
        <f>H19</f>
        <v>51597.10305882353</v>
      </c>
    </row>
    <row r="25" spans="1:8" x14ac:dyDescent="0.25">
      <c r="A25" t="s">
        <v>9</v>
      </c>
      <c r="B25" s="9" t="s">
        <v>7</v>
      </c>
      <c r="G25" s="13" t="s">
        <v>14</v>
      </c>
      <c r="H25" s="6">
        <f>H19+H21+H23</f>
        <v>31887.236988235298</v>
      </c>
    </row>
    <row r="26" spans="1:8" ht="15.75" thickBot="1" x14ac:dyDescent="0.3">
      <c r="A26" s="38" t="s">
        <v>638</v>
      </c>
      <c r="B26" s="14"/>
      <c r="C26" s="7"/>
    </row>
    <row r="27" spans="1:8" x14ac:dyDescent="0.25">
      <c r="E27" t="s">
        <v>100</v>
      </c>
      <c r="H27" s="20">
        <f>H25*0.4</f>
        <v>12754.89479529412</v>
      </c>
    </row>
    <row r="28" spans="1:8" ht="15.75" x14ac:dyDescent="0.25">
      <c r="A28" t="s">
        <v>10</v>
      </c>
      <c r="C28" s="10">
        <f>C19-C21-C23-C25</f>
        <v>51597.10305882353</v>
      </c>
      <c r="H28" s="18"/>
    </row>
    <row r="29" spans="1:8" x14ac:dyDescent="0.25">
      <c r="H29" s="3"/>
    </row>
    <row r="30" spans="1:8" x14ac:dyDescent="0.25">
      <c r="H30" s="18"/>
    </row>
  </sheetData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A50B9-B646-47BD-A605-DC69BF7BD44F}">
  <dimension ref="A1:H30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688</v>
      </c>
    </row>
    <row r="3" spans="1:8" ht="21" x14ac:dyDescent="0.35">
      <c r="A3" s="2" t="s">
        <v>1</v>
      </c>
      <c r="D3" s="11">
        <v>687297</v>
      </c>
      <c r="F3" s="12" t="s">
        <v>3</v>
      </c>
      <c r="H3" s="11">
        <f>(D3/1.19)*0.19</f>
        <v>109736.49579831933</v>
      </c>
    </row>
    <row r="4" spans="1:8" x14ac:dyDescent="0.25">
      <c r="A4" s="13" t="s">
        <v>29</v>
      </c>
      <c r="C4" s="28">
        <v>1003</v>
      </c>
    </row>
    <row r="5" spans="1:8" ht="21" x14ac:dyDescent="0.35">
      <c r="A5" s="2" t="s">
        <v>2</v>
      </c>
    </row>
    <row r="7" spans="1:8" ht="18.75" x14ac:dyDescent="0.3">
      <c r="A7" s="5"/>
      <c r="D7" s="4"/>
      <c r="H7" s="4"/>
    </row>
    <row r="8" spans="1:8" ht="18.75" x14ac:dyDescent="0.3">
      <c r="A8" s="5"/>
      <c r="D8" s="4"/>
      <c r="H8" s="4"/>
    </row>
    <row r="9" spans="1:8" ht="18.75" x14ac:dyDescent="0.3">
      <c r="A9" s="5"/>
      <c r="B9" s="5"/>
      <c r="C9" s="5"/>
      <c r="D9" s="4"/>
      <c r="H9" s="4"/>
    </row>
    <row r="10" spans="1:8" ht="18.75" x14ac:dyDescent="0.3">
      <c r="A10" s="5"/>
      <c r="B10" s="5"/>
      <c r="C10" s="5"/>
      <c r="D10" s="4"/>
      <c r="H10" s="4">
        <f>(D10/1.19)*0.19</f>
        <v>0</v>
      </c>
    </row>
    <row r="11" spans="1:8" ht="18.75" x14ac:dyDescent="0.3">
      <c r="A11" s="5" t="s">
        <v>488</v>
      </c>
      <c r="B11" s="5"/>
      <c r="C11" s="5"/>
      <c r="D11" s="4">
        <v>293811</v>
      </c>
      <c r="H11" s="4">
        <f t="shared" ref="H11:H12" si="0">(D11/1.19)*0.19</f>
        <v>46911</v>
      </c>
    </row>
    <row r="12" spans="1:8" ht="18.75" x14ac:dyDescent="0.3">
      <c r="A12" s="5" t="s">
        <v>560</v>
      </c>
      <c r="B12" s="5"/>
      <c r="C12" s="5"/>
      <c r="D12" s="4">
        <v>6665</v>
      </c>
      <c r="H12" s="4">
        <f t="shared" si="0"/>
        <v>1064.1596638655465</v>
      </c>
    </row>
    <row r="13" spans="1:8" ht="19.5" thickBot="1" x14ac:dyDescent="0.35">
      <c r="A13" s="5"/>
      <c r="B13" s="5"/>
      <c r="C13" s="5"/>
      <c r="D13" s="35"/>
      <c r="E13" s="27"/>
      <c r="H13" s="35"/>
    </row>
    <row r="14" spans="1:8" ht="19.5" thickTop="1" x14ac:dyDescent="0.3">
      <c r="D14" s="4">
        <f>SUM(D7:D13)</f>
        <v>300476</v>
      </c>
      <c r="H14" s="33">
        <f>SUM(H7:H13)</f>
        <v>47975.159663865546</v>
      </c>
    </row>
    <row r="16" spans="1:8" ht="18.75" x14ac:dyDescent="0.3">
      <c r="C16" t="s">
        <v>4</v>
      </c>
      <c r="D16" s="4">
        <f>D3-D14</f>
        <v>386821</v>
      </c>
      <c r="G16" t="s">
        <v>5</v>
      </c>
      <c r="H16" s="4">
        <f>H3-H14</f>
        <v>61761.336134453784</v>
      </c>
    </row>
    <row r="18" spans="1:8" x14ac:dyDescent="0.25">
      <c r="G18" t="s">
        <v>454</v>
      </c>
    </row>
    <row r="19" spans="1:8" ht="15.75" x14ac:dyDescent="0.25">
      <c r="A19" t="s">
        <v>6</v>
      </c>
      <c r="C19" s="8">
        <f>D16</f>
        <v>386821</v>
      </c>
      <c r="E19" t="s">
        <v>10</v>
      </c>
      <c r="H19" s="6">
        <f>C28</f>
        <v>322310.47586554621</v>
      </c>
    </row>
    <row r="21" spans="1:8" ht="15.75" x14ac:dyDescent="0.25">
      <c r="A21" t="s">
        <v>5</v>
      </c>
      <c r="B21" s="9" t="s">
        <v>7</v>
      </c>
      <c r="C21" s="8">
        <f>H16</f>
        <v>61761.336134453784</v>
      </c>
      <c r="E21" s="13" t="s">
        <v>11</v>
      </c>
      <c r="F21" s="9" t="s">
        <v>12</v>
      </c>
      <c r="G21" s="15" t="s">
        <v>17</v>
      </c>
      <c r="H21" s="3">
        <f>-(F22*0.0077)</f>
        <v>-4447.2158823529408</v>
      </c>
    </row>
    <row r="22" spans="1:8" x14ac:dyDescent="0.25">
      <c r="F22" s="21">
        <f>D3-H3</f>
        <v>577560.50420168065</v>
      </c>
    </row>
    <row r="23" spans="1:8" ht="16.5" thickBot="1" x14ac:dyDescent="0.3">
      <c r="A23" t="s">
        <v>8</v>
      </c>
      <c r="B23" s="9" t="s">
        <v>7</v>
      </c>
      <c r="C23" s="8">
        <f>D3*0.004</f>
        <v>2749.1880000000001</v>
      </c>
      <c r="F23" s="9" t="s">
        <v>13</v>
      </c>
      <c r="G23" s="16">
        <v>0.35</v>
      </c>
      <c r="H23" s="17">
        <f>-(F24*0.35)</f>
        <v>-112808.66655294117</v>
      </c>
    </row>
    <row r="24" spans="1:8" x14ac:dyDescent="0.25">
      <c r="F24" s="21">
        <f>H19</f>
        <v>322310.47586554621</v>
      </c>
    </row>
    <row r="25" spans="1:8" x14ac:dyDescent="0.25">
      <c r="A25" t="s">
        <v>9</v>
      </c>
      <c r="B25" s="9" t="s">
        <v>7</v>
      </c>
      <c r="G25" s="13" t="s">
        <v>14</v>
      </c>
      <c r="H25" s="6">
        <f>H19+H21+H23</f>
        <v>205054.59343025208</v>
      </c>
    </row>
    <row r="26" spans="1:8" ht="15.75" thickBot="1" x14ac:dyDescent="0.3">
      <c r="A26" s="38" t="s">
        <v>638</v>
      </c>
      <c r="B26" s="14"/>
      <c r="C26" s="7"/>
    </row>
    <row r="27" spans="1:8" x14ac:dyDescent="0.25">
      <c r="E27" t="s">
        <v>100</v>
      </c>
      <c r="H27" s="20">
        <f>H25*0.4</f>
        <v>82021.837372100839</v>
      </c>
    </row>
    <row r="28" spans="1:8" ht="15.75" x14ac:dyDescent="0.25">
      <c r="A28" t="s">
        <v>10</v>
      </c>
      <c r="C28" s="10">
        <f>C19-C21-C23-C25</f>
        <v>322310.47586554621</v>
      </c>
      <c r="H28" s="18"/>
    </row>
    <row r="29" spans="1:8" x14ac:dyDescent="0.25">
      <c r="H29" s="3"/>
    </row>
    <row r="30" spans="1:8" x14ac:dyDescent="0.25">
      <c r="H30" s="18"/>
    </row>
  </sheetData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6E8A3-C8A3-4A45-B5D0-05AEB4EBDF2A}">
  <dimension ref="A1:H30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688</v>
      </c>
    </row>
    <row r="3" spans="1:8" ht="21" x14ac:dyDescent="0.35">
      <c r="A3" s="2" t="s">
        <v>1</v>
      </c>
      <c r="D3" s="11">
        <v>76874</v>
      </c>
      <c r="F3" s="12" t="s">
        <v>3</v>
      </c>
      <c r="H3" s="11">
        <f>(D3/1.19)*0.19</f>
        <v>12274</v>
      </c>
    </row>
    <row r="4" spans="1:8" x14ac:dyDescent="0.25">
      <c r="A4" s="13" t="s">
        <v>29</v>
      </c>
      <c r="C4" s="28">
        <v>1007</v>
      </c>
    </row>
    <row r="5" spans="1:8" ht="21" x14ac:dyDescent="0.35">
      <c r="A5" s="2" t="s">
        <v>2</v>
      </c>
    </row>
    <row r="7" spans="1:8" ht="18.75" x14ac:dyDescent="0.3">
      <c r="A7" s="5"/>
      <c r="D7" s="4"/>
      <c r="H7" s="4"/>
    </row>
    <row r="8" spans="1:8" ht="18.75" x14ac:dyDescent="0.3">
      <c r="A8" s="5"/>
      <c r="D8" s="4"/>
      <c r="H8" s="4"/>
    </row>
    <row r="9" spans="1:8" ht="18.75" x14ac:dyDescent="0.3">
      <c r="A9" s="5"/>
      <c r="B9" s="5"/>
      <c r="C9" s="5"/>
      <c r="D9" s="4"/>
      <c r="H9" s="4"/>
    </row>
    <row r="10" spans="1:8" ht="18.75" x14ac:dyDescent="0.3">
      <c r="A10" s="5"/>
      <c r="B10" s="5"/>
      <c r="C10" s="5"/>
      <c r="D10" s="4"/>
      <c r="H10" s="4">
        <f>(D10/1.19)*0.19</f>
        <v>0</v>
      </c>
    </row>
    <row r="11" spans="1:8" ht="18.75" x14ac:dyDescent="0.3">
      <c r="A11" s="5" t="s">
        <v>489</v>
      </c>
      <c r="B11" s="5"/>
      <c r="C11" s="5"/>
      <c r="D11" s="4">
        <v>50000</v>
      </c>
      <c r="H11" s="4">
        <f t="shared" ref="H11:H12" si="0">(D11/1.19)*0.19</f>
        <v>7983.1932773109247</v>
      </c>
    </row>
    <row r="12" spans="1:8" ht="18.75" x14ac:dyDescent="0.3">
      <c r="A12" s="5"/>
      <c r="B12" s="5"/>
      <c r="C12" s="5"/>
      <c r="D12" s="4"/>
      <c r="H12" s="4">
        <f t="shared" si="0"/>
        <v>0</v>
      </c>
    </row>
    <row r="13" spans="1:8" ht="19.5" thickBot="1" x14ac:dyDescent="0.35">
      <c r="A13" s="5"/>
      <c r="B13" s="5"/>
      <c r="C13" s="5"/>
      <c r="D13" s="35"/>
      <c r="E13" s="27"/>
      <c r="H13" s="35"/>
    </row>
    <row r="14" spans="1:8" ht="19.5" thickTop="1" x14ac:dyDescent="0.3">
      <c r="D14" s="4">
        <f>SUM(D7:D13)</f>
        <v>50000</v>
      </c>
      <c r="H14" s="33">
        <f>SUM(H7:H13)</f>
        <v>7983.1932773109247</v>
      </c>
    </row>
    <row r="16" spans="1:8" ht="18.75" x14ac:dyDescent="0.3">
      <c r="C16" t="s">
        <v>4</v>
      </c>
      <c r="D16" s="4">
        <f>D3-D14</f>
        <v>26874</v>
      </c>
      <c r="G16" t="s">
        <v>5</v>
      </c>
      <c r="H16" s="4">
        <f>H3-H14</f>
        <v>4290.8067226890753</v>
      </c>
    </row>
    <row r="18" spans="1:8" x14ac:dyDescent="0.25">
      <c r="G18" t="s">
        <v>454</v>
      </c>
    </row>
    <row r="19" spans="1:8" ht="15.75" x14ac:dyDescent="0.25">
      <c r="A19" t="s">
        <v>6</v>
      </c>
      <c r="C19" s="8">
        <f>D16</f>
        <v>26874</v>
      </c>
      <c r="E19" t="s">
        <v>10</v>
      </c>
      <c r="H19" s="6">
        <f>C28</f>
        <v>22275.697277310926</v>
      </c>
    </row>
    <row r="21" spans="1:8" ht="15.75" x14ac:dyDescent="0.25">
      <c r="A21" t="s">
        <v>5</v>
      </c>
      <c r="B21" s="9" t="s">
        <v>7</v>
      </c>
      <c r="C21" s="8">
        <f>H16</f>
        <v>4290.8067226890753</v>
      </c>
      <c r="E21" s="13" t="s">
        <v>11</v>
      </c>
      <c r="F21" s="9" t="s">
        <v>12</v>
      </c>
      <c r="G21" s="15" t="s">
        <v>17</v>
      </c>
      <c r="H21" s="3">
        <f>-(F22*0.0077)</f>
        <v>-497.42</v>
      </c>
    </row>
    <row r="22" spans="1:8" x14ac:dyDescent="0.25">
      <c r="F22" s="21">
        <f>D3-H3</f>
        <v>64600</v>
      </c>
    </row>
    <row r="23" spans="1:8" ht="16.5" thickBot="1" x14ac:dyDescent="0.3">
      <c r="A23" t="s">
        <v>8</v>
      </c>
      <c r="B23" s="9" t="s">
        <v>7</v>
      </c>
      <c r="C23" s="8">
        <f>D3*0.004</f>
        <v>307.49599999999998</v>
      </c>
      <c r="F23" s="9" t="s">
        <v>13</v>
      </c>
      <c r="G23" s="16">
        <v>0.35</v>
      </c>
      <c r="H23" s="17">
        <f>-(F24*0.35)</f>
        <v>-7796.4940470588235</v>
      </c>
    </row>
    <row r="24" spans="1:8" x14ac:dyDescent="0.25">
      <c r="F24" s="21">
        <f>H19</f>
        <v>22275.697277310926</v>
      </c>
    </row>
    <row r="25" spans="1:8" x14ac:dyDescent="0.25">
      <c r="A25" t="s">
        <v>9</v>
      </c>
      <c r="B25" s="9" t="s">
        <v>7</v>
      </c>
      <c r="G25" s="13" t="s">
        <v>14</v>
      </c>
      <c r="H25" s="6">
        <f>H19+H21+H23</f>
        <v>13981.783230252106</v>
      </c>
    </row>
    <row r="26" spans="1:8" ht="15.75" thickBot="1" x14ac:dyDescent="0.3">
      <c r="A26" s="38" t="s">
        <v>638</v>
      </c>
      <c r="B26" s="14"/>
      <c r="C26" s="7"/>
    </row>
    <row r="27" spans="1:8" x14ac:dyDescent="0.25">
      <c r="E27" t="s">
        <v>100</v>
      </c>
      <c r="H27" s="20">
        <f>H25*0.4</f>
        <v>5592.7132921008424</v>
      </c>
    </row>
    <row r="28" spans="1:8" ht="15.75" x14ac:dyDescent="0.25">
      <c r="A28" t="s">
        <v>10</v>
      </c>
      <c r="C28" s="10">
        <f>C19-C21-C23-C25</f>
        <v>22275.697277310926</v>
      </c>
      <c r="H28" s="18"/>
    </row>
    <row r="29" spans="1:8" x14ac:dyDescent="0.25">
      <c r="H29" s="3"/>
    </row>
    <row r="30" spans="1:8" x14ac:dyDescent="0.25">
      <c r="H30" s="18"/>
    </row>
  </sheetData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03FE7-A17E-487C-AC63-60DB2410C793}">
  <dimension ref="A1:H30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689</v>
      </c>
    </row>
    <row r="3" spans="1:8" ht="21" x14ac:dyDescent="0.35">
      <c r="A3" s="2" t="s">
        <v>1</v>
      </c>
      <c r="D3" s="11">
        <v>963900</v>
      </c>
      <c r="F3" s="12" t="s">
        <v>3</v>
      </c>
      <c r="H3" s="11">
        <f>(D3/1.19)*0.19</f>
        <v>153900</v>
      </c>
    </row>
    <row r="4" spans="1:8" x14ac:dyDescent="0.25">
      <c r="A4" s="13" t="s">
        <v>29</v>
      </c>
      <c r="C4" s="28">
        <v>1008</v>
      </c>
    </row>
    <row r="5" spans="1:8" ht="21" x14ac:dyDescent="0.35">
      <c r="A5" s="2" t="s">
        <v>2</v>
      </c>
    </row>
    <row r="7" spans="1:8" ht="18.75" x14ac:dyDescent="0.3">
      <c r="A7" s="5"/>
      <c r="D7" s="4"/>
      <c r="H7" s="4"/>
    </row>
    <row r="8" spans="1:8" ht="18.75" x14ac:dyDescent="0.3">
      <c r="A8" s="5"/>
      <c r="D8" s="4"/>
      <c r="H8" s="4"/>
    </row>
    <row r="9" spans="1:8" ht="18.75" x14ac:dyDescent="0.3">
      <c r="A9" s="5"/>
      <c r="B9" s="5"/>
      <c r="C9" s="5"/>
      <c r="D9" s="4"/>
      <c r="H9" s="4"/>
    </row>
    <row r="10" spans="1:8" ht="18.75" x14ac:dyDescent="0.3">
      <c r="A10" s="5"/>
      <c r="B10" s="5"/>
      <c r="C10" s="5"/>
      <c r="D10" s="4"/>
      <c r="H10" s="4">
        <f>(D10/1.19)*0.19</f>
        <v>0</v>
      </c>
    </row>
    <row r="11" spans="1:8" ht="18.75" x14ac:dyDescent="0.3">
      <c r="A11" s="5" t="s">
        <v>514</v>
      </c>
      <c r="B11" s="5"/>
      <c r="C11" s="5"/>
      <c r="D11" s="4">
        <v>545300</v>
      </c>
      <c r="H11" s="4">
        <f t="shared" ref="H11:H12" si="0">(D11/1.19)*0.19</f>
        <v>87064.705882352951</v>
      </c>
    </row>
    <row r="12" spans="1:8" ht="18.75" x14ac:dyDescent="0.3">
      <c r="A12" s="5"/>
      <c r="B12" s="5"/>
      <c r="C12" s="5"/>
      <c r="D12" s="4"/>
      <c r="H12" s="4">
        <f t="shared" si="0"/>
        <v>0</v>
      </c>
    </row>
    <row r="13" spans="1:8" ht="19.5" thickBot="1" x14ac:dyDescent="0.35">
      <c r="A13" s="5"/>
      <c r="B13" s="5"/>
      <c r="C13" s="5"/>
      <c r="D13" s="35"/>
      <c r="E13" s="27"/>
      <c r="H13" s="35"/>
    </row>
    <row r="14" spans="1:8" ht="19.5" thickTop="1" x14ac:dyDescent="0.3">
      <c r="D14" s="4">
        <f>SUM(D7:D13)</f>
        <v>545300</v>
      </c>
      <c r="H14" s="33">
        <f>SUM(H7:H13)</f>
        <v>87064.705882352951</v>
      </c>
    </row>
    <row r="16" spans="1:8" ht="18.75" x14ac:dyDescent="0.3">
      <c r="C16" t="s">
        <v>4</v>
      </c>
      <c r="D16" s="4">
        <f>D3-D14</f>
        <v>418600</v>
      </c>
      <c r="G16" t="s">
        <v>5</v>
      </c>
      <c r="H16" s="4">
        <f>H3-H14</f>
        <v>66835.294117647049</v>
      </c>
    </row>
    <row r="18" spans="1:8" x14ac:dyDescent="0.25">
      <c r="G18" t="s">
        <v>454</v>
      </c>
    </row>
    <row r="19" spans="1:8" ht="15.75" x14ac:dyDescent="0.25">
      <c r="A19" t="s">
        <v>6</v>
      </c>
      <c r="C19" s="8">
        <f>D16</f>
        <v>418600</v>
      </c>
      <c r="E19" t="s">
        <v>10</v>
      </c>
      <c r="H19" s="6">
        <f>C28</f>
        <v>347909.10588235297</v>
      </c>
    </row>
    <row r="21" spans="1:8" ht="15.75" x14ac:dyDescent="0.25">
      <c r="A21" t="s">
        <v>5</v>
      </c>
      <c r="B21" s="9" t="s">
        <v>7</v>
      </c>
      <c r="C21" s="8">
        <f>H16</f>
        <v>66835.294117647049</v>
      </c>
      <c r="E21" s="13" t="s">
        <v>11</v>
      </c>
      <c r="F21" s="9" t="s">
        <v>12</v>
      </c>
      <c r="G21" s="15" t="s">
        <v>17</v>
      </c>
      <c r="H21" s="3">
        <f>-(F22*0.0077)</f>
        <v>-6237</v>
      </c>
    </row>
    <row r="22" spans="1:8" x14ac:dyDescent="0.25">
      <c r="F22" s="21">
        <f>D3-H3</f>
        <v>810000</v>
      </c>
    </row>
    <row r="23" spans="1:8" ht="16.5" thickBot="1" x14ac:dyDescent="0.3">
      <c r="A23" t="s">
        <v>8</v>
      </c>
      <c r="B23" s="9" t="s">
        <v>7</v>
      </c>
      <c r="C23" s="8">
        <f>D3*0.004</f>
        <v>3855.6</v>
      </c>
      <c r="F23" s="9" t="s">
        <v>13</v>
      </c>
      <c r="G23" s="16">
        <v>0.35</v>
      </c>
      <c r="H23" s="17">
        <f>-(F24*0.35)</f>
        <v>-121768.18705882353</v>
      </c>
    </row>
    <row r="24" spans="1:8" x14ac:dyDescent="0.25">
      <c r="F24" s="21">
        <f>H19</f>
        <v>347909.10588235297</v>
      </c>
    </row>
    <row r="25" spans="1:8" x14ac:dyDescent="0.25">
      <c r="A25" t="s">
        <v>9</v>
      </c>
      <c r="B25" s="9" t="s">
        <v>7</v>
      </c>
      <c r="G25" s="13" t="s">
        <v>14</v>
      </c>
      <c r="H25" s="6">
        <f>H19+H21+H23</f>
        <v>219903.91882352944</v>
      </c>
    </row>
    <row r="26" spans="1:8" ht="15.75" thickBot="1" x14ac:dyDescent="0.3">
      <c r="A26" s="38" t="s">
        <v>638</v>
      </c>
      <c r="B26" s="14"/>
      <c r="C26" s="7"/>
    </row>
    <row r="27" spans="1:8" x14ac:dyDescent="0.25">
      <c r="E27" t="s">
        <v>100</v>
      </c>
      <c r="H27" s="20">
        <f>H25*0.4</f>
        <v>87961.567529411783</v>
      </c>
    </row>
    <row r="28" spans="1:8" ht="15.75" x14ac:dyDescent="0.25">
      <c r="A28" t="s">
        <v>10</v>
      </c>
      <c r="C28" s="10">
        <f>C19-C21-C23-C25</f>
        <v>347909.10588235297</v>
      </c>
      <c r="H28" s="18"/>
    </row>
    <row r="29" spans="1:8" x14ac:dyDescent="0.25">
      <c r="H29" s="3"/>
    </row>
    <row r="30" spans="1:8" x14ac:dyDescent="0.25">
      <c r="H30" s="18"/>
    </row>
  </sheetData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CA5C3-C60F-41CE-9A74-E4C63F0700E3}">
  <dimension ref="A1:H30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690</v>
      </c>
    </row>
    <row r="3" spans="1:8" ht="21" x14ac:dyDescent="0.35">
      <c r="A3" s="2" t="s">
        <v>1</v>
      </c>
      <c r="D3" s="11">
        <v>5933340</v>
      </c>
      <c r="F3" s="12" t="s">
        <v>3</v>
      </c>
      <c r="H3" s="11">
        <f>(D3/1.19)*0.19</f>
        <v>947340</v>
      </c>
    </row>
    <row r="4" spans="1:8" x14ac:dyDescent="0.25">
      <c r="A4" s="13" t="s">
        <v>29</v>
      </c>
      <c r="C4" s="28">
        <v>1009</v>
      </c>
    </row>
    <row r="5" spans="1:8" ht="21" x14ac:dyDescent="0.35">
      <c r="A5" s="2" t="s">
        <v>2</v>
      </c>
    </row>
    <row r="7" spans="1:8" ht="18.75" x14ac:dyDescent="0.3">
      <c r="A7" s="5"/>
      <c r="D7" s="4"/>
      <c r="H7" s="4"/>
    </row>
    <row r="8" spans="1:8" ht="18.75" x14ac:dyDescent="0.3">
      <c r="A8" s="5"/>
      <c r="D8" s="4"/>
      <c r="H8" s="4"/>
    </row>
    <row r="9" spans="1:8" ht="18.75" x14ac:dyDescent="0.3">
      <c r="A9" s="5"/>
      <c r="B9" s="5"/>
      <c r="C9" s="5"/>
      <c r="D9" s="4"/>
      <c r="H9" s="4"/>
    </row>
    <row r="10" spans="1:8" ht="18.75" x14ac:dyDescent="0.3">
      <c r="A10" s="5"/>
      <c r="B10" s="5"/>
      <c r="C10" s="5"/>
      <c r="D10" s="4"/>
      <c r="H10" s="4">
        <f>(D10/1.19)*0.19</f>
        <v>0</v>
      </c>
    </row>
    <row r="11" spans="1:8" ht="18.75" x14ac:dyDescent="0.3">
      <c r="A11" s="5" t="s">
        <v>560</v>
      </c>
      <c r="B11" s="5"/>
      <c r="C11" s="5"/>
      <c r="D11" s="4">
        <v>4016786</v>
      </c>
      <c r="H11" s="4">
        <f t="shared" ref="H11:H12" si="0">(D11/1.19)*0.19</f>
        <v>641335.57983193279</v>
      </c>
    </row>
    <row r="12" spans="1:8" ht="18.75" x14ac:dyDescent="0.3">
      <c r="A12" s="5"/>
      <c r="B12" s="5"/>
      <c r="C12" s="5"/>
      <c r="D12" s="4"/>
      <c r="H12" s="4">
        <f t="shared" si="0"/>
        <v>0</v>
      </c>
    </row>
    <row r="13" spans="1:8" ht="19.5" thickBot="1" x14ac:dyDescent="0.35">
      <c r="A13" s="5"/>
      <c r="B13" s="5"/>
      <c r="C13" s="5"/>
      <c r="D13" s="35"/>
      <c r="E13" s="27"/>
      <c r="H13" s="35"/>
    </row>
    <row r="14" spans="1:8" ht="19.5" thickTop="1" x14ac:dyDescent="0.3">
      <c r="D14" s="4">
        <f>SUM(D7:D13)</f>
        <v>4016786</v>
      </c>
      <c r="H14" s="33">
        <f>SUM(H7:H13)</f>
        <v>641335.57983193279</v>
      </c>
    </row>
    <row r="16" spans="1:8" ht="18.75" x14ac:dyDescent="0.3">
      <c r="C16" t="s">
        <v>4</v>
      </c>
      <c r="D16" s="4">
        <f>D3-D14</f>
        <v>1916554</v>
      </c>
      <c r="G16" t="s">
        <v>5</v>
      </c>
      <c r="H16" s="4">
        <f>H3-H14</f>
        <v>306004.42016806721</v>
      </c>
    </row>
    <row r="18" spans="1:8" x14ac:dyDescent="0.25">
      <c r="G18" t="s">
        <v>454</v>
      </c>
    </row>
    <row r="19" spans="1:8" ht="15.75" x14ac:dyDescent="0.25">
      <c r="A19" t="s">
        <v>6</v>
      </c>
      <c r="C19" s="8">
        <f>D16</f>
        <v>1916554</v>
      </c>
      <c r="E19" t="s">
        <v>10</v>
      </c>
      <c r="H19" s="6">
        <f>C28</f>
        <v>1586816.2198319326</v>
      </c>
    </row>
    <row r="21" spans="1:8" ht="15.75" x14ac:dyDescent="0.25">
      <c r="A21" t="s">
        <v>5</v>
      </c>
      <c r="B21" s="9" t="s">
        <v>7</v>
      </c>
      <c r="C21" s="8">
        <f>H16</f>
        <v>306004.42016806721</v>
      </c>
      <c r="E21" s="13" t="s">
        <v>11</v>
      </c>
      <c r="F21" s="9" t="s">
        <v>12</v>
      </c>
      <c r="G21" s="15" t="s">
        <v>17</v>
      </c>
      <c r="H21" s="3">
        <f>-(F22*0.0077)</f>
        <v>-38392.200000000004</v>
      </c>
    </row>
    <row r="22" spans="1:8" x14ac:dyDescent="0.25">
      <c r="F22" s="21">
        <f>D3-H3</f>
        <v>4986000</v>
      </c>
    </row>
    <row r="23" spans="1:8" ht="16.5" thickBot="1" x14ac:dyDescent="0.3">
      <c r="A23" t="s">
        <v>8</v>
      </c>
      <c r="B23" s="9" t="s">
        <v>7</v>
      </c>
      <c r="C23" s="8">
        <f>D3*0.004</f>
        <v>23733.360000000001</v>
      </c>
      <c r="F23" s="9" t="s">
        <v>13</v>
      </c>
      <c r="G23" s="16">
        <v>0.35</v>
      </c>
      <c r="H23" s="17">
        <f>-(F24*0.35)</f>
        <v>-555385.67694117641</v>
      </c>
    </row>
    <row r="24" spans="1:8" x14ac:dyDescent="0.25">
      <c r="F24" s="21">
        <f>H19</f>
        <v>1586816.2198319326</v>
      </c>
    </row>
    <row r="25" spans="1:8" x14ac:dyDescent="0.25">
      <c r="A25" t="s">
        <v>9</v>
      </c>
      <c r="B25" s="9" t="s">
        <v>7</v>
      </c>
      <c r="G25" s="13" t="s">
        <v>14</v>
      </c>
      <c r="H25" s="6">
        <f>H19+H21+H23</f>
        <v>993038.3428907562</v>
      </c>
    </row>
    <row r="26" spans="1:8" ht="15.75" thickBot="1" x14ac:dyDescent="0.3">
      <c r="A26" s="38" t="s">
        <v>638</v>
      </c>
      <c r="B26" s="14"/>
      <c r="C26" s="7"/>
    </row>
    <row r="27" spans="1:8" x14ac:dyDescent="0.25">
      <c r="E27" t="s">
        <v>100</v>
      </c>
      <c r="H27" s="20">
        <f>H25*0.4</f>
        <v>397215.33715630253</v>
      </c>
    </row>
    <row r="28" spans="1:8" ht="15.75" x14ac:dyDescent="0.25">
      <c r="A28" t="s">
        <v>10</v>
      </c>
      <c r="C28" s="10">
        <f>C19-C21-C23-C25</f>
        <v>1586816.2198319326</v>
      </c>
      <c r="H28" s="18"/>
    </row>
    <row r="29" spans="1:8" x14ac:dyDescent="0.25">
      <c r="H29" s="3"/>
    </row>
    <row r="30" spans="1:8" x14ac:dyDescent="0.25">
      <c r="H30" s="18"/>
    </row>
  </sheetData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41485-0493-4849-83CF-ED08CC71852D}">
  <dimension ref="A1:H30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691</v>
      </c>
    </row>
    <row r="3" spans="1:8" ht="21" x14ac:dyDescent="0.35">
      <c r="A3" s="2" t="s">
        <v>1</v>
      </c>
      <c r="D3" s="11">
        <v>794635</v>
      </c>
      <c r="F3" s="12" t="s">
        <v>3</v>
      </c>
      <c r="H3" s="11">
        <f>(D3/1.19)*0.19</f>
        <v>126874.49579831933</v>
      </c>
    </row>
    <row r="4" spans="1:8" x14ac:dyDescent="0.25">
      <c r="A4" s="13" t="s">
        <v>29</v>
      </c>
      <c r="C4" s="28">
        <v>1010</v>
      </c>
    </row>
    <row r="5" spans="1:8" ht="21" x14ac:dyDescent="0.35">
      <c r="A5" s="2" t="s">
        <v>2</v>
      </c>
    </row>
    <row r="7" spans="1:8" ht="18.75" x14ac:dyDescent="0.3">
      <c r="A7" s="5"/>
      <c r="D7" s="4"/>
      <c r="H7" s="4"/>
    </row>
    <row r="8" spans="1:8" ht="18.75" x14ac:dyDescent="0.3">
      <c r="A8" s="5"/>
      <c r="D8" s="4"/>
      <c r="H8" s="4"/>
    </row>
    <row r="9" spans="1:8" ht="18.75" x14ac:dyDescent="0.3">
      <c r="A9" s="5"/>
      <c r="B9" s="5"/>
      <c r="C9" s="5"/>
      <c r="D9" s="4"/>
      <c r="H9" s="4"/>
    </row>
    <row r="10" spans="1:8" ht="18.75" x14ac:dyDescent="0.3">
      <c r="A10" s="5"/>
      <c r="B10" s="5"/>
      <c r="C10" s="5"/>
      <c r="D10" s="4"/>
      <c r="H10" s="4">
        <f>(D10/1.19)*0.19</f>
        <v>0</v>
      </c>
    </row>
    <row r="11" spans="1:8" ht="18.75" x14ac:dyDescent="0.3">
      <c r="A11" s="5" t="s">
        <v>514</v>
      </c>
      <c r="B11" s="5"/>
      <c r="C11" s="5"/>
      <c r="D11" s="4">
        <v>416700</v>
      </c>
      <c r="H11" s="4">
        <f t="shared" ref="H11:H12" si="0">(D11/1.19)*0.19</f>
        <v>66531.932773109249</v>
      </c>
    </row>
    <row r="12" spans="1:8" ht="18.75" x14ac:dyDescent="0.3">
      <c r="A12" s="5"/>
      <c r="B12" s="5"/>
      <c r="C12" s="5"/>
      <c r="D12" s="4"/>
      <c r="H12" s="4">
        <f t="shared" si="0"/>
        <v>0</v>
      </c>
    </row>
    <row r="13" spans="1:8" ht="19.5" thickBot="1" x14ac:dyDescent="0.35">
      <c r="A13" s="5"/>
      <c r="B13" s="5"/>
      <c r="C13" s="5"/>
      <c r="D13" s="35"/>
      <c r="E13" s="27"/>
      <c r="H13" s="35"/>
    </row>
    <row r="14" spans="1:8" ht="19.5" thickTop="1" x14ac:dyDescent="0.3">
      <c r="D14" s="4">
        <f>SUM(D7:D13)</f>
        <v>416700</v>
      </c>
      <c r="H14" s="33">
        <f>SUM(H7:H13)</f>
        <v>66531.932773109249</v>
      </c>
    </row>
    <row r="16" spans="1:8" ht="18.75" x14ac:dyDescent="0.3">
      <c r="C16" t="s">
        <v>4</v>
      </c>
      <c r="D16" s="4">
        <f>D3-D14</f>
        <v>377935</v>
      </c>
      <c r="G16" t="s">
        <v>5</v>
      </c>
      <c r="H16" s="4">
        <f>H3-H14</f>
        <v>60342.563025210082</v>
      </c>
    </row>
    <row r="18" spans="1:8" x14ac:dyDescent="0.25">
      <c r="G18" t="s">
        <v>454</v>
      </c>
    </row>
    <row r="19" spans="1:8" ht="15.75" x14ac:dyDescent="0.25">
      <c r="A19" t="s">
        <v>6</v>
      </c>
      <c r="C19" s="8">
        <f>D16</f>
        <v>377935</v>
      </c>
      <c r="E19" t="s">
        <v>10</v>
      </c>
      <c r="H19" s="6">
        <f>C28</f>
        <v>314413.89697478997</v>
      </c>
    </row>
    <row r="21" spans="1:8" ht="15.75" x14ac:dyDescent="0.25">
      <c r="A21" t="s">
        <v>5</v>
      </c>
      <c r="B21" s="9" t="s">
        <v>7</v>
      </c>
      <c r="C21" s="8">
        <f>H16</f>
        <v>60342.563025210082</v>
      </c>
      <c r="E21" s="13" t="s">
        <v>11</v>
      </c>
      <c r="F21" s="9" t="s">
        <v>12</v>
      </c>
      <c r="G21" s="15" t="s">
        <v>17</v>
      </c>
      <c r="H21" s="3">
        <f>-(F22*0.0077)</f>
        <v>-5141.7558823529416</v>
      </c>
    </row>
    <row r="22" spans="1:8" x14ac:dyDescent="0.25">
      <c r="F22" s="21">
        <f>D3-H3</f>
        <v>667760.50420168065</v>
      </c>
    </row>
    <row r="23" spans="1:8" ht="16.5" thickBot="1" x14ac:dyDescent="0.3">
      <c r="A23" t="s">
        <v>8</v>
      </c>
      <c r="B23" s="9" t="s">
        <v>7</v>
      </c>
      <c r="C23" s="8">
        <f>D3*0.004</f>
        <v>3178.54</v>
      </c>
      <c r="F23" s="9" t="s">
        <v>13</v>
      </c>
      <c r="G23" s="16">
        <v>0.35</v>
      </c>
      <c r="H23" s="17">
        <f>-(F24*0.35)</f>
        <v>-110044.86394117649</v>
      </c>
    </row>
    <row r="24" spans="1:8" x14ac:dyDescent="0.25">
      <c r="F24" s="21">
        <f>H19</f>
        <v>314413.89697478997</v>
      </c>
    </row>
    <row r="25" spans="1:8" x14ac:dyDescent="0.25">
      <c r="A25" t="s">
        <v>9</v>
      </c>
      <c r="B25" s="9" t="s">
        <v>7</v>
      </c>
      <c r="G25" s="13" t="s">
        <v>14</v>
      </c>
      <c r="H25" s="6">
        <f>H19+H21+H23</f>
        <v>199227.27715126052</v>
      </c>
    </row>
    <row r="26" spans="1:8" ht="15.75" thickBot="1" x14ac:dyDescent="0.3">
      <c r="A26" s="38" t="s">
        <v>638</v>
      </c>
      <c r="B26" s="14"/>
      <c r="C26" s="7"/>
    </row>
    <row r="27" spans="1:8" x14ac:dyDescent="0.25">
      <c r="E27" t="s">
        <v>100</v>
      </c>
      <c r="H27" s="20">
        <f>H25*0.4</f>
        <v>79690.910860504213</v>
      </c>
    </row>
    <row r="28" spans="1:8" ht="15.75" x14ac:dyDescent="0.25">
      <c r="A28" t="s">
        <v>10</v>
      </c>
      <c r="C28" s="10">
        <f>C19-C21-C23-C25</f>
        <v>314413.89697478997</v>
      </c>
      <c r="H28" s="18"/>
    </row>
    <row r="29" spans="1:8" x14ac:dyDescent="0.25">
      <c r="H29" s="3"/>
    </row>
    <row r="30" spans="1:8" x14ac:dyDescent="0.25">
      <c r="H30" s="18"/>
    </row>
  </sheetData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97BF6-936C-471E-A6CF-3C01E3348A85}">
  <dimension ref="A1:H30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418</v>
      </c>
    </row>
    <row r="3" spans="1:8" ht="21" x14ac:dyDescent="0.35">
      <c r="A3" s="2" t="s">
        <v>1</v>
      </c>
      <c r="D3" s="11">
        <v>2614549</v>
      </c>
      <c r="F3" s="12" t="s">
        <v>3</v>
      </c>
      <c r="H3" s="11">
        <f>(D3/1.19)*0.19</f>
        <v>417449</v>
      </c>
    </row>
    <row r="4" spans="1:8" x14ac:dyDescent="0.25">
      <c r="A4" s="13" t="s">
        <v>29</v>
      </c>
      <c r="C4" s="28">
        <v>1014</v>
      </c>
    </row>
    <row r="5" spans="1:8" ht="21" x14ac:dyDescent="0.35">
      <c r="A5" s="2" t="s">
        <v>2</v>
      </c>
    </row>
    <row r="7" spans="1:8" ht="18.75" x14ac:dyDescent="0.3">
      <c r="A7" s="5"/>
      <c r="D7" s="4"/>
      <c r="H7" s="4"/>
    </row>
    <row r="8" spans="1:8" ht="18.75" x14ac:dyDescent="0.3">
      <c r="A8" s="5"/>
      <c r="D8" s="4"/>
      <c r="H8" s="4"/>
    </row>
    <row r="9" spans="1:8" ht="18.75" x14ac:dyDescent="0.3">
      <c r="A9" s="5"/>
      <c r="B9" s="5"/>
      <c r="C9" s="5"/>
      <c r="D9" s="4"/>
      <c r="H9" s="4"/>
    </row>
    <row r="10" spans="1:8" ht="18.75" x14ac:dyDescent="0.3">
      <c r="A10" s="5"/>
      <c r="B10" s="5"/>
      <c r="C10" s="5"/>
      <c r="D10" s="4"/>
      <c r="H10" s="4">
        <f>(D10/1.19)*0.19</f>
        <v>0</v>
      </c>
    </row>
    <row r="11" spans="1:8" ht="18.75" x14ac:dyDescent="0.3">
      <c r="A11" s="5" t="s">
        <v>514</v>
      </c>
      <c r="B11" s="5"/>
      <c r="C11" s="5"/>
      <c r="D11" s="4">
        <v>1336000</v>
      </c>
      <c r="H11" s="4">
        <f t="shared" ref="H11" si="0">(D11/1.19)*0.19</f>
        <v>213310.92436974793</v>
      </c>
    </row>
    <row r="12" spans="1:8" ht="18.75" x14ac:dyDescent="0.3">
      <c r="A12" s="5" t="s">
        <v>524</v>
      </c>
      <c r="B12" s="5"/>
      <c r="C12" s="5"/>
      <c r="D12" s="4">
        <v>43942</v>
      </c>
      <c r="H12" s="4"/>
    </row>
    <row r="13" spans="1:8" ht="19.5" thickBot="1" x14ac:dyDescent="0.35">
      <c r="A13" s="5"/>
      <c r="B13" s="5"/>
      <c r="C13" s="5"/>
      <c r="D13" s="35"/>
      <c r="E13" s="27"/>
      <c r="H13" s="35"/>
    </row>
    <row r="14" spans="1:8" ht="19.5" thickTop="1" x14ac:dyDescent="0.3">
      <c r="D14" s="4">
        <f>SUM(D7:D13)</f>
        <v>1379942</v>
      </c>
      <c r="H14" s="33">
        <f>SUM(H7:H13)</f>
        <v>213310.92436974793</v>
      </c>
    </row>
    <row r="16" spans="1:8" ht="18.75" x14ac:dyDescent="0.3">
      <c r="C16" t="s">
        <v>4</v>
      </c>
      <c r="D16" s="4">
        <f>D3-D14</f>
        <v>1234607</v>
      </c>
      <c r="G16" t="s">
        <v>5</v>
      </c>
      <c r="H16" s="4">
        <f>H3-H14</f>
        <v>204138.07563025207</v>
      </c>
    </row>
    <row r="18" spans="1:8" x14ac:dyDescent="0.25">
      <c r="G18" t="s">
        <v>454</v>
      </c>
    </row>
    <row r="19" spans="1:8" ht="15.75" x14ac:dyDescent="0.25">
      <c r="A19" t="s">
        <v>6</v>
      </c>
      <c r="C19" s="8">
        <f>D16</f>
        <v>1234607</v>
      </c>
      <c r="E19" t="s">
        <v>10</v>
      </c>
      <c r="H19" s="6">
        <f>C28</f>
        <v>1020010.728369748</v>
      </c>
    </row>
    <row r="21" spans="1:8" ht="15.75" x14ac:dyDescent="0.25">
      <c r="A21" t="s">
        <v>5</v>
      </c>
      <c r="B21" s="9" t="s">
        <v>7</v>
      </c>
      <c r="C21" s="8">
        <f>H16</f>
        <v>204138.07563025207</v>
      </c>
      <c r="E21" s="13" t="s">
        <v>11</v>
      </c>
      <c r="F21" s="9" t="s">
        <v>12</v>
      </c>
      <c r="G21" s="15" t="s">
        <v>17</v>
      </c>
      <c r="H21" s="3">
        <f>-(F22*0.0077)</f>
        <v>-16917.670000000002</v>
      </c>
    </row>
    <row r="22" spans="1:8" x14ac:dyDescent="0.25">
      <c r="F22" s="21">
        <f>D3-H3</f>
        <v>2197100</v>
      </c>
    </row>
    <row r="23" spans="1:8" ht="16.5" thickBot="1" x14ac:dyDescent="0.3">
      <c r="A23" t="s">
        <v>8</v>
      </c>
      <c r="B23" s="9" t="s">
        <v>7</v>
      </c>
      <c r="C23" s="8">
        <f>D3*0.004</f>
        <v>10458.196</v>
      </c>
      <c r="F23" s="9" t="s">
        <v>13</v>
      </c>
      <c r="G23" s="16">
        <v>0.35</v>
      </c>
      <c r="H23" s="17">
        <f>-(F24*0.35)</f>
        <v>-357003.75492941175</v>
      </c>
    </row>
    <row r="24" spans="1:8" x14ac:dyDescent="0.25">
      <c r="F24" s="21">
        <f>H19</f>
        <v>1020010.728369748</v>
      </c>
    </row>
    <row r="25" spans="1:8" x14ac:dyDescent="0.25">
      <c r="A25" t="s">
        <v>9</v>
      </c>
      <c r="B25" s="9" t="s">
        <v>7</v>
      </c>
      <c r="G25" s="13" t="s">
        <v>14</v>
      </c>
      <c r="H25" s="6">
        <f>H19+H21+H23</f>
        <v>646089.30344033614</v>
      </c>
    </row>
    <row r="26" spans="1:8" ht="15.75" thickBot="1" x14ac:dyDescent="0.3">
      <c r="A26" s="38" t="s">
        <v>638</v>
      </c>
      <c r="B26" s="14"/>
      <c r="C26" s="7"/>
    </row>
    <row r="27" spans="1:8" x14ac:dyDescent="0.25">
      <c r="E27" t="s">
        <v>100</v>
      </c>
      <c r="H27" s="20">
        <f>H25*0.4</f>
        <v>258435.72137613446</v>
      </c>
    </row>
    <row r="28" spans="1:8" ht="15.75" x14ac:dyDescent="0.25">
      <c r="A28" t="s">
        <v>10</v>
      </c>
      <c r="C28" s="10">
        <f>C19-C21-C23-C25</f>
        <v>1020010.728369748</v>
      </c>
      <c r="H28" s="18"/>
    </row>
    <row r="29" spans="1:8" x14ac:dyDescent="0.25">
      <c r="H29" s="3"/>
    </row>
    <row r="30" spans="1:8" x14ac:dyDescent="0.25">
      <c r="H30" s="18"/>
    </row>
  </sheetData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1D799-E7F0-4B22-AF69-9CDC297E526C}">
  <dimension ref="A1:H30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692</v>
      </c>
    </row>
    <row r="3" spans="1:8" ht="21" x14ac:dyDescent="0.35">
      <c r="A3" s="2" t="s">
        <v>1</v>
      </c>
      <c r="D3" s="11">
        <v>136850</v>
      </c>
      <c r="F3" s="12" t="s">
        <v>3</v>
      </c>
      <c r="H3" s="11">
        <f>(D3/1.19)*0.19</f>
        <v>21850</v>
      </c>
    </row>
    <row r="4" spans="1:8" x14ac:dyDescent="0.25">
      <c r="A4" s="13" t="s">
        <v>29</v>
      </c>
      <c r="C4" s="28">
        <v>1015</v>
      </c>
    </row>
    <row r="5" spans="1:8" ht="21" x14ac:dyDescent="0.35">
      <c r="A5" s="2" t="s">
        <v>2</v>
      </c>
    </row>
    <row r="7" spans="1:8" ht="18.75" x14ac:dyDescent="0.3">
      <c r="A7" s="5"/>
      <c r="D7" s="4"/>
      <c r="H7" s="4"/>
    </row>
    <row r="8" spans="1:8" ht="18.75" x14ac:dyDescent="0.3">
      <c r="A8" s="5"/>
      <c r="D8" s="4"/>
      <c r="H8" s="4"/>
    </row>
    <row r="9" spans="1:8" ht="18.75" x14ac:dyDescent="0.3">
      <c r="A9" s="5"/>
      <c r="B9" s="5"/>
      <c r="C9" s="5"/>
      <c r="D9" s="4"/>
      <c r="H9" s="4"/>
    </row>
    <row r="10" spans="1:8" ht="18.75" x14ac:dyDescent="0.3">
      <c r="A10" s="5"/>
      <c r="B10" s="5"/>
      <c r="C10" s="5"/>
      <c r="D10" s="4"/>
      <c r="H10" s="4">
        <f>(D10/1.19)*0.19</f>
        <v>0</v>
      </c>
    </row>
    <row r="11" spans="1:8" ht="18.75" x14ac:dyDescent="0.3">
      <c r="A11" s="5" t="s">
        <v>167</v>
      </c>
      <c r="B11" s="5"/>
      <c r="C11" s="5"/>
      <c r="D11" s="4">
        <v>80132</v>
      </c>
      <c r="H11" s="4">
        <f t="shared" ref="H11" si="0">(D11/1.19)*0.19</f>
        <v>12794.18487394958</v>
      </c>
    </row>
    <row r="12" spans="1:8" ht="18.75" x14ac:dyDescent="0.3">
      <c r="A12" s="5"/>
      <c r="B12" s="5"/>
      <c r="C12" s="5"/>
      <c r="D12" s="4"/>
      <c r="H12" s="4"/>
    </row>
    <row r="13" spans="1:8" ht="19.5" thickBot="1" x14ac:dyDescent="0.35">
      <c r="A13" s="5"/>
      <c r="B13" s="5"/>
      <c r="C13" s="5"/>
      <c r="D13" s="35"/>
      <c r="E13" s="27"/>
      <c r="H13" s="35"/>
    </row>
    <row r="14" spans="1:8" ht="19.5" thickTop="1" x14ac:dyDescent="0.3">
      <c r="D14" s="4">
        <f>SUM(D7:D13)</f>
        <v>80132</v>
      </c>
      <c r="H14" s="33">
        <f>SUM(H7:H13)</f>
        <v>12794.18487394958</v>
      </c>
    </row>
    <row r="16" spans="1:8" ht="18.75" x14ac:dyDescent="0.3">
      <c r="C16" t="s">
        <v>4</v>
      </c>
      <c r="D16" s="4">
        <f>D3-D14</f>
        <v>56718</v>
      </c>
      <c r="G16" t="s">
        <v>5</v>
      </c>
      <c r="H16" s="4">
        <f>H3-H14</f>
        <v>9055.8151260504201</v>
      </c>
    </row>
    <row r="18" spans="1:8" x14ac:dyDescent="0.25">
      <c r="G18" t="s">
        <v>454</v>
      </c>
    </row>
    <row r="19" spans="1:8" ht="15.75" x14ac:dyDescent="0.25">
      <c r="A19" t="s">
        <v>6</v>
      </c>
      <c r="C19" s="8">
        <f>D16</f>
        <v>56718</v>
      </c>
      <c r="E19" t="s">
        <v>10</v>
      </c>
      <c r="H19" s="6">
        <f>C28</f>
        <v>47114.784873949575</v>
      </c>
    </row>
    <row r="21" spans="1:8" ht="15.75" x14ac:dyDescent="0.25">
      <c r="A21" t="s">
        <v>5</v>
      </c>
      <c r="B21" s="9" t="s">
        <v>7</v>
      </c>
      <c r="C21" s="8">
        <f>H16</f>
        <v>9055.8151260504201</v>
      </c>
      <c r="E21" s="13" t="s">
        <v>11</v>
      </c>
      <c r="F21" s="9" t="s">
        <v>12</v>
      </c>
      <c r="G21" s="15" t="s">
        <v>17</v>
      </c>
      <c r="H21" s="3">
        <f>-(F22*0.0077)</f>
        <v>-885.5</v>
      </c>
    </row>
    <row r="22" spans="1:8" x14ac:dyDescent="0.25">
      <c r="F22" s="21">
        <f>D3-H3</f>
        <v>115000</v>
      </c>
    </row>
    <row r="23" spans="1:8" ht="16.5" thickBot="1" x14ac:dyDescent="0.3">
      <c r="A23" t="s">
        <v>8</v>
      </c>
      <c r="B23" s="9" t="s">
        <v>7</v>
      </c>
      <c r="C23" s="8">
        <f>D3*0.004</f>
        <v>547.4</v>
      </c>
      <c r="F23" s="9" t="s">
        <v>13</v>
      </c>
      <c r="G23" s="16">
        <v>0.35</v>
      </c>
      <c r="H23" s="17">
        <f>-(F24*0.35)</f>
        <v>-16490.174705882349</v>
      </c>
    </row>
    <row r="24" spans="1:8" x14ac:dyDescent="0.25">
      <c r="F24" s="21">
        <f>H19</f>
        <v>47114.784873949575</v>
      </c>
    </row>
    <row r="25" spans="1:8" x14ac:dyDescent="0.25">
      <c r="A25" t="s">
        <v>9</v>
      </c>
      <c r="B25" s="9" t="s">
        <v>7</v>
      </c>
      <c r="G25" s="13" t="s">
        <v>14</v>
      </c>
      <c r="H25" s="6">
        <f>H19+H21+H23</f>
        <v>29739.110168067225</v>
      </c>
    </row>
    <row r="26" spans="1:8" ht="15.75" thickBot="1" x14ac:dyDescent="0.3">
      <c r="A26" s="38" t="s">
        <v>638</v>
      </c>
      <c r="B26" s="14"/>
      <c r="C26" s="7"/>
    </row>
    <row r="27" spans="1:8" x14ac:dyDescent="0.25">
      <c r="E27" t="s">
        <v>100</v>
      </c>
      <c r="H27" s="20">
        <f>H25*0.4</f>
        <v>11895.644067226891</v>
      </c>
    </row>
    <row r="28" spans="1:8" ht="15.75" x14ac:dyDescent="0.25">
      <c r="A28" t="s">
        <v>10</v>
      </c>
      <c r="C28" s="10">
        <f>C19-C21-C23-C25</f>
        <v>47114.784873949575</v>
      </c>
      <c r="H28" s="18"/>
    </row>
    <row r="29" spans="1:8" x14ac:dyDescent="0.25">
      <c r="H29" s="3"/>
    </row>
    <row r="30" spans="1:8" x14ac:dyDescent="0.25">
      <c r="H30" s="18"/>
    </row>
  </sheetData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29D6E-6364-4C55-A3A5-D75CA397FBA5}">
  <dimension ref="A1:H30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693</v>
      </c>
    </row>
    <row r="3" spans="1:8" ht="21" x14ac:dyDescent="0.35">
      <c r="A3" s="2" t="s">
        <v>1</v>
      </c>
      <c r="D3" s="11">
        <v>452200</v>
      </c>
      <c r="F3" s="12" t="s">
        <v>3</v>
      </c>
      <c r="H3" s="11">
        <f>(D3/1.19)*0.19</f>
        <v>72200</v>
      </c>
    </row>
    <row r="4" spans="1:8" x14ac:dyDescent="0.25">
      <c r="A4" s="13" t="s">
        <v>29</v>
      </c>
      <c r="C4" s="28">
        <v>1018</v>
      </c>
    </row>
    <row r="5" spans="1:8" ht="21" x14ac:dyDescent="0.35">
      <c r="A5" s="2" t="s">
        <v>2</v>
      </c>
    </row>
    <row r="7" spans="1:8" ht="18.75" x14ac:dyDescent="0.3">
      <c r="A7" s="5"/>
      <c r="D7" s="4"/>
      <c r="H7" s="4"/>
    </row>
    <row r="8" spans="1:8" ht="18.75" x14ac:dyDescent="0.3">
      <c r="A8" s="5"/>
      <c r="D8" s="4"/>
      <c r="H8" s="4"/>
    </row>
    <row r="9" spans="1:8" ht="18.75" x14ac:dyDescent="0.3">
      <c r="A9" s="5"/>
      <c r="B9" s="5"/>
      <c r="C9" s="5"/>
      <c r="D9" s="4"/>
      <c r="H9" s="4"/>
    </row>
    <row r="10" spans="1:8" ht="18.75" x14ac:dyDescent="0.3">
      <c r="A10" s="5"/>
      <c r="B10" s="5"/>
      <c r="C10" s="5"/>
      <c r="D10" s="4"/>
      <c r="H10" s="4">
        <f>(D10/1.19)*0.19</f>
        <v>0</v>
      </c>
    </row>
    <row r="11" spans="1:8" ht="18.75" x14ac:dyDescent="0.3">
      <c r="A11" s="5" t="s">
        <v>514</v>
      </c>
      <c r="B11" s="5"/>
      <c r="C11" s="5"/>
      <c r="D11" s="4">
        <v>251430</v>
      </c>
      <c r="H11" s="4">
        <f t="shared" ref="H11" si="0">(D11/1.19)*0.19</f>
        <v>40144.285714285717</v>
      </c>
    </row>
    <row r="12" spans="1:8" ht="18.75" x14ac:dyDescent="0.3">
      <c r="A12" s="5"/>
      <c r="B12" s="5"/>
      <c r="C12" s="5"/>
      <c r="D12" s="4"/>
      <c r="H12" s="4"/>
    </row>
    <row r="13" spans="1:8" ht="19.5" thickBot="1" x14ac:dyDescent="0.35">
      <c r="A13" s="5"/>
      <c r="B13" s="5"/>
      <c r="C13" s="5"/>
      <c r="D13" s="35"/>
      <c r="E13" s="27"/>
      <c r="H13" s="35"/>
    </row>
    <row r="14" spans="1:8" ht="19.5" thickTop="1" x14ac:dyDescent="0.3">
      <c r="D14" s="4">
        <f>SUM(D7:D13)</f>
        <v>251430</v>
      </c>
      <c r="H14" s="33">
        <f>SUM(H7:H13)</f>
        <v>40144.285714285717</v>
      </c>
    </row>
    <row r="16" spans="1:8" ht="18.75" x14ac:dyDescent="0.3">
      <c r="C16" t="s">
        <v>4</v>
      </c>
      <c r="D16" s="4">
        <f>D3-D14</f>
        <v>200770</v>
      </c>
      <c r="G16" t="s">
        <v>5</v>
      </c>
      <c r="H16" s="4">
        <f>H3-H14</f>
        <v>32055.714285714283</v>
      </c>
    </row>
    <row r="18" spans="1:8" x14ac:dyDescent="0.25">
      <c r="G18" t="s">
        <v>454</v>
      </c>
    </row>
    <row r="19" spans="1:8" ht="15.75" x14ac:dyDescent="0.25">
      <c r="A19" t="s">
        <v>6</v>
      </c>
      <c r="C19" s="8">
        <f>D16</f>
        <v>200770</v>
      </c>
      <c r="E19" t="s">
        <v>10</v>
      </c>
      <c r="H19" s="6">
        <f>C28</f>
        <v>166905.48571428572</v>
      </c>
    </row>
    <row r="21" spans="1:8" ht="15.75" x14ac:dyDescent="0.25">
      <c r="A21" t="s">
        <v>5</v>
      </c>
      <c r="B21" s="9" t="s">
        <v>7</v>
      </c>
      <c r="C21" s="8">
        <f>H16</f>
        <v>32055.714285714283</v>
      </c>
      <c r="E21" s="13" t="s">
        <v>11</v>
      </c>
      <c r="F21" s="9" t="s">
        <v>12</v>
      </c>
      <c r="G21" s="15" t="s">
        <v>17</v>
      </c>
      <c r="H21" s="3">
        <f>-(F22*0.0077)</f>
        <v>-2926</v>
      </c>
    </row>
    <row r="22" spans="1:8" x14ac:dyDescent="0.25">
      <c r="F22" s="21">
        <f>D3-H3</f>
        <v>380000</v>
      </c>
    </row>
    <row r="23" spans="1:8" ht="16.5" thickBot="1" x14ac:dyDescent="0.3">
      <c r="A23" t="s">
        <v>8</v>
      </c>
      <c r="B23" s="9" t="s">
        <v>7</v>
      </c>
      <c r="C23" s="8">
        <f>D3*0.004</f>
        <v>1808.8</v>
      </c>
      <c r="F23" s="9" t="s">
        <v>13</v>
      </c>
      <c r="G23" s="16">
        <v>0.35</v>
      </c>
      <c r="H23" s="17">
        <f>-(F24*0.35)</f>
        <v>-58416.92</v>
      </c>
    </row>
    <row r="24" spans="1:8" x14ac:dyDescent="0.25">
      <c r="F24" s="21">
        <f>H19</f>
        <v>166905.48571428572</v>
      </c>
    </row>
    <row r="25" spans="1:8" x14ac:dyDescent="0.25">
      <c r="A25" t="s">
        <v>9</v>
      </c>
      <c r="B25" s="9" t="s">
        <v>7</v>
      </c>
      <c r="G25" s="13" t="s">
        <v>14</v>
      </c>
      <c r="H25" s="6">
        <f>H19+H21+H23</f>
        <v>105562.56571428572</v>
      </c>
    </row>
    <row r="26" spans="1:8" ht="15.75" thickBot="1" x14ac:dyDescent="0.3">
      <c r="A26" s="38" t="s">
        <v>638</v>
      </c>
      <c r="B26" s="14"/>
      <c r="C26" s="7"/>
    </row>
    <row r="27" spans="1:8" x14ac:dyDescent="0.25">
      <c r="E27" t="s">
        <v>100</v>
      </c>
      <c r="H27" s="20">
        <f>H25*0.4</f>
        <v>42225.026285714295</v>
      </c>
    </row>
    <row r="28" spans="1:8" ht="15.75" x14ac:dyDescent="0.25">
      <c r="A28" t="s">
        <v>10</v>
      </c>
      <c r="C28" s="10">
        <f>C19-C21-C23-C25</f>
        <v>166905.48571428572</v>
      </c>
      <c r="H28" s="18"/>
    </row>
    <row r="29" spans="1:8" x14ac:dyDescent="0.25">
      <c r="H29" s="3"/>
    </row>
    <row r="30" spans="1:8" x14ac:dyDescent="0.25">
      <c r="H30" s="18"/>
    </row>
  </sheetData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047EA-C769-48E4-89CD-944BE75AB7C2}">
  <dimension ref="A1:H30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694</v>
      </c>
    </row>
    <row r="3" spans="1:8" ht="21" x14ac:dyDescent="0.35">
      <c r="A3" s="2" t="s">
        <v>1</v>
      </c>
      <c r="D3" s="11">
        <v>59619</v>
      </c>
      <c r="F3" s="12" t="s">
        <v>3</v>
      </c>
      <c r="H3" s="11">
        <f>(D3/1.19)*0.19</f>
        <v>9519</v>
      </c>
    </row>
    <row r="4" spans="1:8" x14ac:dyDescent="0.25">
      <c r="A4" s="13" t="s">
        <v>29</v>
      </c>
      <c r="C4" s="28">
        <v>1019</v>
      </c>
    </row>
    <row r="5" spans="1:8" ht="21" x14ac:dyDescent="0.35">
      <c r="A5" s="2" t="s">
        <v>2</v>
      </c>
    </row>
    <row r="7" spans="1:8" ht="18.75" x14ac:dyDescent="0.3">
      <c r="A7" s="5"/>
      <c r="D7" s="4"/>
      <c r="H7" s="4"/>
    </row>
    <row r="8" spans="1:8" ht="18.75" x14ac:dyDescent="0.3">
      <c r="A8" s="5"/>
      <c r="D8" s="4"/>
      <c r="H8" s="4"/>
    </row>
    <row r="9" spans="1:8" ht="18.75" x14ac:dyDescent="0.3">
      <c r="A9" s="5"/>
      <c r="B9" s="5"/>
      <c r="C9" s="5"/>
      <c r="D9" s="4"/>
      <c r="H9" s="4"/>
    </row>
    <row r="10" spans="1:8" ht="18.75" x14ac:dyDescent="0.3">
      <c r="A10" s="5" t="s">
        <v>167</v>
      </c>
      <c r="B10" s="5"/>
      <c r="C10" s="5"/>
      <c r="D10" s="4">
        <v>9800</v>
      </c>
      <c r="H10" s="4">
        <f>(D10/1.19)*0.19</f>
        <v>1564.7058823529412</v>
      </c>
    </row>
    <row r="11" spans="1:8" ht="18.75" x14ac:dyDescent="0.3">
      <c r="A11" s="5" t="s">
        <v>62</v>
      </c>
      <c r="B11" s="5"/>
      <c r="C11" s="5"/>
      <c r="D11" s="4">
        <v>33796</v>
      </c>
      <c r="H11" s="4">
        <f t="shared" ref="H11" si="0">(D11/1.19)*0.19</f>
        <v>5396</v>
      </c>
    </row>
    <row r="12" spans="1:8" ht="18.75" x14ac:dyDescent="0.3">
      <c r="A12" s="5"/>
      <c r="B12" s="5"/>
      <c r="C12" s="5"/>
      <c r="D12" s="4"/>
      <c r="H12" s="4"/>
    </row>
    <row r="13" spans="1:8" ht="19.5" thickBot="1" x14ac:dyDescent="0.35">
      <c r="A13" s="5"/>
      <c r="B13" s="5"/>
      <c r="C13" s="5"/>
      <c r="D13" s="35"/>
      <c r="E13" s="27"/>
      <c r="H13" s="35"/>
    </row>
    <row r="14" spans="1:8" ht="19.5" thickTop="1" x14ac:dyDescent="0.3">
      <c r="D14" s="4">
        <f>SUM(D7:D13)</f>
        <v>43596</v>
      </c>
      <c r="H14" s="33">
        <f>SUM(H7:H13)</f>
        <v>6960.7058823529414</v>
      </c>
    </row>
    <row r="16" spans="1:8" ht="18.75" x14ac:dyDescent="0.3">
      <c r="C16" t="s">
        <v>4</v>
      </c>
      <c r="D16" s="4">
        <f>D3-D14</f>
        <v>16023</v>
      </c>
      <c r="G16" t="s">
        <v>5</v>
      </c>
      <c r="H16" s="4">
        <f>H3-H14</f>
        <v>2558.2941176470586</v>
      </c>
    </row>
    <row r="18" spans="1:8" x14ac:dyDescent="0.25">
      <c r="G18" t="s">
        <v>454</v>
      </c>
    </row>
    <row r="19" spans="1:8" ht="15.75" x14ac:dyDescent="0.25">
      <c r="A19" t="s">
        <v>6</v>
      </c>
      <c r="C19" s="8">
        <f>D16</f>
        <v>16023</v>
      </c>
      <c r="E19" t="s">
        <v>10</v>
      </c>
      <c r="H19" s="6">
        <f>C28</f>
        <v>13226.22988235294</v>
      </c>
    </row>
    <row r="21" spans="1:8" ht="15.75" x14ac:dyDescent="0.25">
      <c r="A21" t="s">
        <v>5</v>
      </c>
      <c r="B21" s="9" t="s">
        <v>7</v>
      </c>
      <c r="C21" s="8">
        <f>H16</f>
        <v>2558.2941176470586</v>
      </c>
      <c r="E21" s="13" t="s">
        <v>11</v>
      </c>
      <c r="F21" s="9" t="s">
        <v>12</v>
      </c>
      <c r="G21" s="15" t="s">
        <v>17</v>
      </c>
      <c r="H21" s="3">
        <f>-(F22*0.0077)</f>
        <v>-385.77000000000004</v>
      </c>
    </row>
    <row r="22" spans="1:8" x14ac:dyDescent="0.25">
      <c r="F22" s="21">
        <f>D3-H3</f>
        <v>50100</v>
      </c>
    </row>
    <row r="23" spans="1:8" ht="16.5" thickBot="1" x14ac:dyDescent="0.3">
      <c r="A23" t="s">
        <v>8</v>
      </c>
      <c r="B23" s="9" t="s">
        <v>7</v>
      </c>
      <c r="C23" s="8">
        <f>D3*0.004</f>
        <v>238.476</v>
      </c>
      <c r="F23" s="9" t="s">
        <v>13</v>
      </c>
      <c r="G23" s="16">
        <v>0.35</v>
      </c>
      <c r="H23" s="17">
        <f>-(F24*0.35)</f>
        <v>-4629.1804588235291</v>
      </c>
    </row>
    <row r="24" spans="1:8" x14ac:dyDescent="0.25">
      <c r="F24" s="21">
        <f>H19</f>
        <v>13226.22988235294</v>
      </c>
    </row>
    <row r="25" spans="1:8" x14ac:dyDescent="0.25">
      <c r="A25" t="s">
        <v>9</v>
      </c>
      <c r="B25" s="9" t="s">
        <v>7</v>
      </c>
      <c r="G25" s="13" t="s">
        <v>14</v>
      </c>
      <c r="H25" s="6">
        <f>H19+H21+H23</f>
        <v>8211.2794235294095</v>
      </c>
    </row>
    <row r="26" spans="1:8" ht="15.75" thickBot="1" x14ac:dyDescent="0.3">
      <c r="A26" s="38" t="s">
        <v>638</v>
      </c>
      <c r="B26" s="14"/>
      <c r="C26" s="7"/>
    </row>
    <row r="27" spans="1:8" x14ac:dyDescent="0.25">
      <c r="E27" t="s">
        <v>100</v>
      </c>
      <c r="H27" s="20">
        <f>H25*0.4</f>
        <v>3284.5117694117639</v>
      </c>
    </row>
    <row r="28" spans="1:8" ht="15.75" x14ac:dyDescent="0.25">
      <c r="A28" t="s">
        <v>10</v>
      </c>
      <c r="C28" s="10">
        <f>C19-C21-C23-C25</f>
        <v>13226.22988235294</v>
      </c>
      <c r="H28" s="18"/>
    </row>
    <row r="29" spans="1:8" x14ac:dyDescent="0.25">
      <c r="H29" s="3"/>
    </row>
    <row r="30" spans="1:8" x14ac:dyDescent="0.25">
      <c r="H30" s="18"/>
    </row>
  </sheetData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B8C04-5BA7-4B77-90CB-2FB1B7700D14}">
  <dimension ref="A1:H30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388</v>
      </c>
    </row>
    <row r="3" spans="1:8" ht="21" x14ac:dyDescent="0.35">
      <c r="A3" s="2" t="s">
        <v>1</v>
      </c>
      <c r="D3" s="11">
        <v>530288</v>
      </c>
      <c r="F3" s="12" t="s">
        <v>3</v>
      </c>
      <c r="H3" s="11">
        <f>(D3/1.19)*0.19</f>
        <v>84667.831932773115</v>
      </c>
    </row>
    <row r="4" spans="1:8" x14ac:dyDescent="0.25">
      <c r="A4" s="13" t="s">
        <v>29</v>
      </c>
      <c r="C4" s="28">
        <v>1020</v>
      </c>
    </row>
    <row r="5" spans="1:8" ht="21" x14ac:dyDescent="0.35">
      <c r="A5" s="2" t="s">
        <v>2</v>
      </c>
    </row>
    <row r="7" spans="1:8" ht="18.75" x14ac:dyDescent="0.3">
      <c r="A7" s="5"/>
      <c r="D7" s="4"/>
      <c r="H7" s="4"/>
    </row>
    <row r="8" spans="1:8" ht="18.75" x14ac:dyDescent="0.3">
      <c r="A8" s="5"/>
      <c r="D8" s="4"/>
      <c r="H8" s="4"/>
    </row>
    <row r="9" spans="1:8" ht="18.75" x14ac:dyDescent="0.3">
      <c r="A9" s="5"/>
      <c r="B9" s="5"/>
      <c r="C9" s="5"/>
      <c r="D9" s="4"/>
      <c r="H9" s="4"/>
    </row>
    <row r="10" spans="1:8" ht="18.75" x14ac:dyDescent="0.3">
      <c r="A10" s="5" t="s">
        <v>695</v>
      </c>
      <c r="B10" s="5"/>
      <c r="C10" s="5"/>
      <c r="D10" s="4">
        <v>354038</v>
      </c>
      <c r="H10" s="4">
        <f>(D10/1.19)*0.19</f>
        <v>56527.075630252104</v>
      </c>
    </row>
    <row r="11" spans="1:8" ht="18.75" x14ac:dyDescent="0.3">
      <c r="A11" s="5"/>
      <c r="B11" s="5"/>
      <c r="C11" s="5"/>
      <c r="D11" s="4"/>
      <c r="H11" s="4">
        <f t="shared" ref="H11" si="0">(D11/1.19)*0.19</f>
        <v>0</v>
      </c>
    </row>
    <row r="12" spans="1:8" ht="18.75" x14ac:dyDescent="0.3">
      <c r="A12" s="5"/>
      <c r="B12" s="5"/>
      <c r="C12" s="5"/>
      <c r="D12" s="4"/>
      <c r="H12" s="4"/>
    </row>
    <row r="13" spans="1:8" ht="19.5" thickBot="1" x14ac:dyDescent="0.35">
      <c r="A13" s="5"/>
      <c r="B13" s="5"/>
      <c r="C13" s="5"/>
      <c r="D13" s="35"/>
      <c r="E13" s="27"/>
      <c r="H13" s="35"/>
    </row>
    <row r="14" spans="1:8" ht="19.5" thickTop="1" x14ac:dyDescent="0.3">
      <c r="D14" s="4">
        <f>SUM(D7:D13)</f>
        <v>354038</v>
      </c>
      <c r="H14" s="33">
        <f>SUM(H7:H13)</f>
        <v>56527.075630252104</v>
      </c>
    </row>
    <row r="16" spans="1:8" ht="18.75" x14ac:dyDescent="0.3">
      <c r="C16" t="s">
        <v>4</v>
      </c>
      <c r="D16" s="4">
        <f>D3-D14</f>
        <v>176250</v>
      </c>
      <c r="G16" t="s">
        <v>5</v>
      </c>
      <c r="H16" s="4">
        <f>H3-H14</f>
        <v>28140.756302521011</v>
      </c>
    </row>
    <row r="18" spans="1:8" x14ac:dyDescent="0.25">
      <c r="G18" t="s">
        <v>454</v>
      </c>
    </row>
    <row r="19" spans="1:8" ht="15.75" x14ac:dyDescent="0.25">
      <c r="A19" t="s">
        <v>6</v>
      </c>
      <c r="C19" s="8">
        <f>D16</f>
        <v>176250</v>
      </c>
      <c r="E19" t="s">
        <v>10</v>
      </c>
      <c r="H19" s="6">
        <f>C28</f>
        <v>145988.09169747899</v>
      </c>
    </row>
    <row r="21" spans="1:8" ht="15.75" x14ac:dyDescent="0.25">
      <c r="A21" t="s">
        <v>5</v>
      </c>
      <c r="B21" s="9" t="s">
        <v>7</v>
      </c>
      <c r="C21" s="8">
        <f>H16</f>
        <v>28140.756302521011</v>
      </c>
      <c r="E21" s="13" t="s">
        <v>11</v>
      </c>
      <c r="F21" s="9" t="s">
        <v>12</v>
      </c>
      <c r="G21" s="15" t="s">
        <v>17</v>
      </c>
      <c r="H21" s="3">
        <f>-(F22*0.0077)</f>
        <v>-3431.2752941176473</v>
      </c>
    </row>
    <row r="22" spans="1:8" x14ac:dyDescent="0.25">
      <c r="F22" s="21">
        <f>D3-H3</f>
        <v>445620.16806722688</v>
      </c>
    </row>
    <row r="23" spans="1:8" ht="16.5" thickBot="1" x14ac:dyDescent="0.3">
      <c r="A23" t="s">
        <v>8</v>
      </c>
      <c r="B23" s="9" t="s">
        <v>7</v>
      </c>
      <c r="C23" s="8">
        <f>D3*0.004</f>
        <v>2121.152</v>
      </c>
      <c r="F23" s="9" t="s">
        <v>13</v>
      </c>
      <c r="G23" s="16">
        <v>0.35</v>
      </c>
      <c r="H23" s="17">
        <f>-(F24*0.35)</f>
        <v>-51095.832094117643</v>
      </c>
    </row>
    <row r="24" spans="1:8" x14ac:dyDescent="0.25">
      <c r="F24" s="21">
        <f>H19</f>
        <v>145988.09169747899</v>
      </c>
    </row>
    <row r="25" spans="1:8" x14ac:dyDescent="0.25">
      <c r="A25" t="s">
        <v>9</v>
      </c>
      <c r="B25" s="9" t="s">
        <v>7</v>
      </c>
      <c r="G25" s="13" t="s">
        <v>14</v>
      </c>
      <c r="H25" s="6">
        <f>H19+H21+H23</f>
        <v>91460.984309243679</v>
      </c>
    </row>
    <row r="26" spans="1:8" ht="15.75" thickBot="1" x14ac:dyDescent="0.3">
      <c r="A26" s="38" t="s">
        <v>638</v>
      </c>
      <c r="B26" s="14"/>
      <c r="C26" s="7"/>
    </row>
    <row r="27" spans="1:8" x14ac:dyDescent="0.25">
      <c r="E27" t="s">
        <v>100</v>
      </c>
      <c r="H27" s="20">
        <f>H25*0.4</f>
        <v>36584.393723697474</v>
      </c>
    </row>
    <row r="28" spans="1:8" ht="15.75" x14ac:dyDescent="0.25">
      <c r="A28" t="s">
        <v>10</v>
      </c>
      <c r="C28" s="10">
        <f>C19-C21-C23-C25</f>
        <v>145988.09169747899</v>
      </c>
      <c r="H28" s="18"/>
    </row>
    <row r="29" spans="1:8" x14ac:dyDescent="0.25">
      <c r="H29" s="3"/>
    </row>
    <row r="30" spans="1:8" x14ac:dyDescent="0.25">
      <c r="H30" s="18"/>
    </row>
  </sheetData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07AE3-0226-4DB8-ABE9-DF2BC509497B}">
  <dimension ref="A1:H30"/>
  <sheetViews>
    <sheetView topLeftCell="A7" workbookViewId="0">
      <selection activeCell="J33" sqref="J33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388</v>
      </c>
    </row>
    <row r="3" spans="1:8" ht="21" x14ac:dyDescent="0.35">
      <c r="A3" s="2" t="s">
        <v>1</v>
      </c>
      <c r="D3" s="11">
        <v>2166889</v>
      </c>
      <c r="F3" s="12" t="s">
        <v>3</v>
      </c>
      <c r="H3" s="11">
        <f>(D3/1.19)*0.19</f>
        <v>345973.87394957989</v>
      </c>
    </row>
    <row r="4" spans="1:8" x14ac:dyDescent="0.25">
      <c r="A4" s="13" t="s">
        <v>29</v>
      </c>
      <c r="C4" s="28">
        <v>1021</v>
      </c>
    </row>
    <row r="5" spans="1:8" ht="21" x14ac:dyDescent="0.35">
      <c r="A5" s="2" t="s">
        <v>2</v>
      </c>
    </row>
    <row r="7" spans="1:8" ht="18.75" x14ac:dyDescent="0.3">
      <c r="A7" s="5"/>
      <c r="D7" s="4"/>
      <c r="H7" s="4"/>
    </row>
    <row r="8" spans="1:8" ht="18.75" x14ac:dyDescent="0.3">
      <c r="A8" s="5"/>
      <c r="D8" s="4"/>
      <c r="H8" s="4"/>
    </row>
    <row r="9" spans="1:8" ht="18.75" x14ac:dyDescent="0.3">
      <c r="A9" s="5"/>
      <c r="B9" s="5"/>
      <c r="C9" s="5"/>
      <c r="D9" s="4"/>
      <c r="H9" s="4"/>
    </row>
    <row r="10" spans="1:8" ht="18.75" x14ac:dyDescent="0.3">
      <c r="A10" s="5" t="s">
        <v>695</v>
      </c>
      <c r="B10" s="5"/>
      <c r="C10" s="5"/>
      <c r="D10" s="4">
        <v>1382077</v>
      </c>
      <c r="H10" s="4">
        <f>(D10/1.19)*0.19</f>
        <v>220667.75630252104</v>
      </c>
    </row>
    <row r="11" spans="1:8" ht="18.75" x14ac:dyDescent="0.3">
      <c r="A11" s="5"/>
      <c r="B11" s="5"/>
      <c r="C11" s="5"/>
      <c r="D11" s="4"/>
      <c r="H11" s="4">
        <f t="shared" ref="H11" si="0">(D11/1.19)*0.19</f>
        <v>0</v>
      </c>
    </row>
    <row r="12" spans="1:8" ht="18.75" x14ac:dyDescent="0.3">
      <c r="A12" s="5"/>
      <c r="B12" s="5"/>
      <c r="C12" s="5"/>
      <c r="D12" s="4"/>
      <c r="H12" s="4"/>
    </row>
    <row r="13" spans="1:8" ht="19.5" thickBot="1" x14ac:dyDescent="0.35">
      <c r="A13" s="5"/>
      <c r="B13" s="5"/>
      <c r="C13" s="5"/>
      <c r="D13" s="35"/>
      <c r="E13" s="27"/>
      <c r="H13" s="35"/>
    </row>
    <row r="14" spans="1:8" ht="19.5" thickTop="1" x14ac:dyDescent="0.3">
      <c r="D14" s="4">
        <f>SUM(D7:D13)</f>
        <v>1382077</v>
      </c>
      <c r="H14" s="33">
        <f>SUM(H7:H13)</f>
        <v>220667.75630252104</v>
      </c>
    </row>
    <row r="16" spans="1:8" ht="18.75" x14ac:dyDescent="0.3">
      <c r="C16" t="s">
        <v>4</v>
      </c>
      <c r="D16" s="4">
        <f>D3-D14</f>
        <v>784812</v>
      </c>
      <c r="G16" t="s">
        <v>5</v>
      </c>
      <c r="H16" s="4">
        <f>H3-H14</f>
        <v>125306.11764705885</v>
      </c>
    </row>
    <row r="18" spans="1:8" x14ac:dyDescent="0.25">
      <c r="G18" t="s">
        <v>454</v>
      </c>
    </row>
    <row r="19" spans="1:8" ht="15.75" x14ac:dyDescent="0.25">
      <c r="A19" t="s">
        <v>6</v>
      </c>
      <c r="C19" s="8">
        <f>D16</f>
        <v>784812</v>
      </c>
      <c r="E19" t="s">
        <v>10</v>
      </c>
      <c r="H19" s="6">
        <f>C28</f>
        <v>650838.32635294122</v>
      </c>
    </row>
    <row r="21" spans="1:8" ht="15.75" x14ac:dyDescent="0.25">
      <c r="A21" t="s">
        <v>5</v>
      </c>
      <c r="B21" s="9" t="s">
        <v>7</v>
      </c>
      <c r="C21" s="8">
        <f>H16</f>
        <v>125306.11764705885</v>
      </c>
      <c r="E21" s="13" t="s">
        <v>11</v>
      </c>
      <c r="F21" s="9" t="s">
        <v>12</v>
      </c>
      <c r="G21" s="15" t="s">
        <v>17</v>
      </c>
      <c r="H21" s="3">
        <f>-(F22*0.0077)</f>
        <v>-14021.046470588235</v>
      </c>
    </row>
    <row r="22" spans="1:8" x14ac:dyDescent="0.25">
      <c r="F22" s="21">
        <f>D3-H3</f>
        <v>1820915.1260504201</v>
      </c>
    </row>
    <row r="23" spans="1:8" ht="16.5" thickBot="1" x14ac:dyDescent="0.3">
      <c r="A23" t="s">
        <v>8</v>
      </c>
      <c r="B23" s="9" t="s">
        <v>7</v>
      </c>
      <c r="C23" s="8">
        <f>D3*0.004</f>
        <v>8667.5560000000005</v>
      </c>
      <c r="F23" s="9" t="s">
        <v>13</v>
      </c>
      <c r="G23" s="16">
        <v>0.35</v>
      </c>
      <c r="H23" s="17">
        <f>-(F24*0.35)</f>
        <v>-227793.41422352943</v>
      </c>
    </row>
    <row r="24" spans="1:8" x14ac:dyDescent="0.25">
      <c r="F24" s="21">
        <f>H19</f>
        <v>650838.32635294122</v>
      </c>
    </row>
    <row r="25" spans="1:8" x14ac:dyDescent="0.25">
      <c r="A25" t="s">
        <v>9</v>
      </c>
      <c r="B25" s="9" t="s">
        <v>7</v>
      </c>
      <c r="G25" s="13" t="s">
        <v>14</v>
      </c>
      <c r="H25" s="6">
        <f>H19+H21+H23</f>
        <v>409023.86565882363</v>
      </c>
    </row>
    <row r="26" spans="1:8" ht="15.75" thickBot="1" x14ac:dyDescent="0.3">
      <c r="A26" s="38" t="s">
        <v>638</v>
      </c>
      <c r="B26" s="14"/>
      <c r="C26" s="7"/>
    </row>
    <row r="27" spans="1:8" x14ac:dyDescent="0.25">
      <c r="E27" t="s">
        <v>100</v>
      </c>
      <c r="H27" s="20">
        <f>H25*0.4</f>
        <v>163609.54626352945</v>
      </c>
    </row>
    <row r="28" spans="1:8" ht="15.75" x14ac:dyDescent="0.25">
      <c r="A28" t="s">
        <v>10</v>
      </c>
      <c r="C28" s="10">
        <f>C19-C21-C23-C25</f>
        <v>650838.32635294122</v>
      </c>
      <c r="H28" s="18"/>
    </row>
    <row r="29" spans="1:8" x14ac:dyDescent="0.25">
      <c r="H29" s="3"/>
    </row>
    <row r="30" spans="1:8" x14ac:dyDescent="0.25">
      <c r="H30" s="18"/>
    </row>
  </sheetData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0B30F-98AF-4026-8BD1-834FA35C27E5}">
  <dimension ref="A1:H30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696</v>
      </c>
    </row>
    <row r="3" spans="1:8" ht="21" x14ac:dyDescent="0.35">
      <c r="A3" s="2" t="s">
        <v>1</v>
      </c>
      <c r="D3" s="11">
        <v>11900</v>
      </c>
      <c r="F3" s="12" t="s">
        <v>3</v>
      </c>
      <c r="H3" s="11">
        <f>(D3/1.19)*0.19</f>
        <v>1900</v>
      </c>
    </row>
    <row r="4" spans="1:8" x14ac:dyDescent="0.25">
      <c r="A4" s="13" t="s">
        <v>29</v>
      </c>
      <c r="C4" s="28">
        <v>1025</v>
      </c>
    </row>
    <row r="5" spans="1:8" ht="21" x14ac:dyDescent="0.35">
      <c r="A5" s="2" t="s">
        <v>2</v>
      </c>
    </row>
    <row r="7" spans="1:8" ht="18.75" x14ac:dyDescent="0.3">
      <c r="A7" s="5"/>
      <c r="D7" s="4"/>
      <c r="H7" s="4"/>
    </row>
    <row r="8" spans="1:8" ht="18.75" x14ac:dyDescent="0.3">
      <c r="A8" s="5"/>
      <c r="D8" s="4"/>
      <c r="H8" s="4"/>
    </row>
    <row r="9" spans="1:8" ht="18.75" x14ac:dyDescent="0.3">
      <c r="A9" s="5"/>
      <c r="B9" s="5"/>
      <c r="C9" s="5"/>
      <c r="D9" s="4"/>
      <c r="H9" s="4"/>
    </row>
    <row r="10" spans="1:8" ht="18.75" x14ac:dyDescent="0.3">
      <c r="A10" s="5" t="s">
        <v>697</v>
      </c>
      <c r="B10" s="5"/>
      <c r="C10" s="5"/>
      <c r="D10" s="4">
        <v>6800</v>
      </c>
      <c r="H10" s="4">
        <f>(D10/1.19)*0.19</f>
        <v>1085.7142857142858</v>
      </c>
    </row>
    <row r="11" spans="1:8" ht="18.75" x14ac:dyDescent="0.3">
      <c r="A11" s="5"/>
      <c r="B11" s="5"/>
      <c r="C11" s="5"/>
      <c r="D11" s="4"/>
      <c r="H11" s="4">
        <f t="shared" ref="H11" si="0">(D11/1.19)*0.19</f>
        <v>0</v>
      </c>
    </row>
    <row r="12" spans="1:8" ht="18.75" x14ac:dyDescent="0.3">
      <c r="A12" s="5"/>
      <c r="B12" s="5"/>
      <c r="C12" s="5"/>
      <c r="D12" s="4"/>
      <c r="H12" s="4"/>
    </row>
    <row r="13" spans="1:8" ht="19.5" thickBot="1" x14ac:dyDescent="0.35">
      <c r="A13" s="5"/>
      <c r="B13" s="5"/>
      <c r="C13" s="5"/>
      <c r="D13" s="35"/>
      <c r="E13" s="27"/>
      <c r="H13" s="35"/>
    </row>
    <row r="14" spans="1:8" ht="19.5" thickTop="1" x14ac:dyDescent="0.3">
      <c r="D14" s="4">
        <f>SUM(D7:D13)</f>
        <v>6800</v>
      </c>
      <c r="H14" s="33">
        <f>SUM(H7:H13)</f>
        <v>1085.7142857142858</v>
      </c>
    </row>
    <row r="16" spans="1:8" ht="18.75" x14ac:dyDescent="0.3">
      <c r="C16" t="s">
        <v>4</v>
      </c>
      <c r="D16" s="4">
        <f>D3-D14</f>
        <v>5100</v>
      </c>
      <c r="G16" t="s">
        <v>5</v>
      </c>
      <c r="H16" s="4">
        <f>H3-H14</f>
        <v>814.28571428571422</v>
      </c>
    </row>
    <row r="18" spans="1:8" x14ac:dyDescent="0.25">
      <c r="G18" t="s">
        <v>454</v>
      </c>
    </row>
    <row r="19" spans="1:8" ht="15.75" x14ac:dyDescent="0.25">
      <c r="A19" t="s">
        <v>6</v>
      </c>
      <c r="C19" s="8">
        <f>D16</f>
        <v>5100</v>
      </c>
      <c r="E19" t="s">
        <v>10</v>
      </c>
      <c r="H19" s="6">
        <f>C28</f>
        <v>4238.1142857142859</v>
      </c>
    </row>
    <row r="21" spans="1:8" ht="15.75" x14ac:dyDescent="0.25">
      <c r="A21" t="s">
        <v>5</v>
      </c>
      <c r="B21" s="9" t="s">
        <v>7</v>
      </c>
      <c r="C21" s="8">
        <f>H16</f>
        <v>814.28571428571422</v>
      </c>
      <c r="E21" s="13" t="s">
        <v>11</v>
      </c>
      <c r="F21" s="9" t="s">
        <v>12</v>
      </c>
      <c r="G21" s="15" t="s">
        <v>17</v>
      </c>
      <c r="H21" s="3">
        <f>-(F22*0.0077)</f>
        <v>-77</v>
      </c>
    </row>
    <row r="22" spans="1:8" x14ac:dyDescent="0.25">
      <c r="F22" s="21">
        <f>D3-H3</f>
        <v>10000</v>
      </c>
    </row>
    <row r="23" spans="1:8" ht="16.5" thickBot="1" x14ac:dyDescent="0.3">
      <c r="A23" t="s">
        <v>8</v>
      </c>
      <c r="B23" s="9" t="s">
        <v>7</v>
      </c>
      <c r="C23" s="8">
        <f>D3*0.004</f>
        <v>47.6</v>
      </c>
      <c r="F23" s="9" t="s">
        <v>13</v>
      </c>
      <c r="G23" s="16">
        <v>0.35</v>
      </c>
      <c r="H23" s="17">
        <f>-(F24*0.35)</f>
        <v>-1483.34</v>
      </c>
    </row>
    <row r="24" spans="1:8" x14ac:dyDescent="0.25">
      <c r="F24" s="21">
        <f>H19</f>
        <v>4238.1142857142859</v>
      </c>
    </row>
    <row r="25" spans="1:8" x14ac:dyDescent="0.25">
      <c r="A25" t="s">
        <v>9</v>
      </c>
      <c r="B25" s="9" t="s">
        <v>7</v>
      </c>
      <c r="G25" s="13" t="s">
        <v>14</v>
      </c>
      <c r="H25" s="6">
        <f>H19+H21+H23</f>
        <v>2677.7742857142857</v>
      </c>
    </row>
    <row r="26" spans="1:8" ht="15.75" thickBot="1" x14ac:dyDescent="0.3">
      <c r="A26" s="38" t="s">
        <v>638</v>
      </c>
      <c r="B26" s="14"/>
      <c r="C26" s="7"/>
    </row>
    <row r="27" spans="1:8" x14ac:dyDescent="0.25">
      <c r="E27" t="s">
        <v>100</v>
      </c>
      <c r="H27" s="20">
        <f>H25*0.4</f>
        <v>1071.1097142857143</v>
      </c>
    </row>
    <row r="28" spans="1:8" ht="15.75" x14ac:dyDescent="0.25">
      <c r="A28" t="s">
        <v>10</v>
      </c>
      <c r="C28" s="10">
        <f>C19-C21-C23-C25</f>
        <v>4238.1142857142859</v>
      </c>
      <c r="H28" s="18"/>
    </row>
    <row r="29" spans="1:8" x14ac:dyDescent="0.25">
      <c r="H29" s="3"/>
    </row>
    <row r="30" spans="1:8" x14ac:dyDescent="0.25">
      <c r="H30" s="18"/>
    </row>
  </sheetData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4777E-291F-4770-983D-77D87A9FA8A8}">
  <dimension ref="A1:H30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698</v>
      </c>
    </row>
    <row r="3" spans="1:8" ht="21" x14ac:dyDescent="0.35">
      <c r="A3" s="2" t="s">
        <v>1</v>
      </c>
      <c r="D3" s="11">
        <v>143157</v>
      </c>
      <c r="F3" s="12" t="s">
        <v>3</v>
      </c>
      <c r="H3" s="11">
        <f>(D3/1.19)*0.19</f>
        <v>22857</v>
      </c>
    </row>
    <row r="4" spans="1:8" x14ac:dyDescent="0.25">
      <c r="A4" s="13" t="s">
        <v>29</v>
      </c>
      <c r="C4" s="28">
        <v>1027</v>
      </c>
    </row>
    <row r="5" spans="1:8" ht="21" x14ac:dyDescent="0.35">
      <c r="A5" s="2" t="s">
        <v>2</v>
      </c>
    </row>
    <row r="7" spans="1:8" ht="18.75" x14ac:dyDescent="0.3">
      <c r="A7" s="5"/>
      <c r="D7" s="4"/>
      <c r="H7" s="4"/>
    </row>
    <row r="8" spans="1:8" ht="18.75" x14ac:dyDescent="0.3">
      <c r="A8" s="5"/>
      <c r="D8" s="4"/>
      <c r="H8" s="4"/>
    </row>
    <row r="9" spans="1:8" ht="18.75" x14ac:dyDescent="0.3">
      <c r="A9" s="5"/>
      <c r="B9" s="5"/>
      <c r="C9" s="5"/>
      <c r="D9" s="4"/>
      <c r="H9" s="4"/>
    </row>
    <row r="10" spans="1:8" ht="18.75" x14ac:dyDescent="0.3">
      <c r="A10" s="5" t="s">
        <v>697</v>
      </c>
      <c r="B10" s="5"/>
      <c r="C10" s="5"/>
      <c r="D10" s="4">
        <v>83410</v>
      </c>
      <c r="H10" s="4">
        <f>(D10/1.19)*0.19</f>
        <v>13317.563025210085</v>
      </c>
    </row>
    <row r="11" spans="1:8" ht="18.75" x14ac:dyDescent="0.3">
      <c r="A11" s="5"/>
      <c r="B11" s="5"/>
      <c r="C11" s="5"/>
      <c r="D11" s="4"/>
      <c r="H11" s="4">
        <f t="shared" ref="H11" si="0">(D11/1.19)*0.19</f>
        <v>0</v>
      </c>
    </row>
    <row r="12" spans="1:8" ht="18.75" x14ac:dyDescent="0.3">
      <c r="A12" s="5"/>
      <c r="B12" s="5"/>
      <c r="C12" s="5"/>
      <c r="D12" s="4"/>
      <c r="H12" s="4"/>
    </row>
    <row r="13" spans="1:8" ht="19.5" thickBot="1" x14ac:dyDescent="0.35">
      <c r="A13" s="5"/>
      <c r="B13" s="5"/>
      <c r="C13" s="5"/>
      <c r="D13" s="35"/>
      <c r="E13" s="27"/>
      <c r="H13" s="35"/>
    </row>
    <row r="14" spans="1:8" ht="19.5" thickTop="1" x14ac:dyDescent="0.3">
      <c r="D14" s="4">
        <f>SUM(D7:D13)</f>
        <v>83410</v>
      </c>
      <c r="H14" s="33">
        <f>SUM(H7:H13)</f>
        <v>13317.563025210085</v>
      </c>
    </row>
    <row r="16" spans="1:8" ht="18.75" x14ac:dyDescent="0.3">
      <c r="C16" t="s">
        <v>4</v>
      </c>
      <c r="D16" s="4">
        <f>D3-D14</f>
        <v>59747</v>
      </c>
      <c r="G16" t="s">
        <v>5</v>
      </c>
      <c r="H16" s="4">
        <f>H3-H14</f>
        <v>9539.4369747899145</v>
      </c>
    </row>
    <row r="18" spans="1:8" x14ac:dyDescent="0.25">
      <c r="G18" t="s">
        <v>454</v>
      </c>
    </row>
    <row r="19" spans="1:8" ht="15.75" x14ac:dyDescent="0.25">
      <c r="A19" t="s">
        <v>6</v>
      </c>
      <c r="C19" s="8">
        <f>D16</f>
        <v>59747</v>
      </c>
      <c r="E19" t="s">
        <v>10</v>
      </c>
      <c r="H19" s="6">
        <f>C28</f>
        <v>49634.935025210085</v>
      </c>
    </row>
    <row r="21" spans="1:8" ht="15.75" x14ac:dyDescent="0.25">
      <c r="A21" t="s">
        <v>5</v>
      </c>
      <c r="B21" s="9" t="s">
        <v>7</v>
      </c>
      <c r="C21" s="8">
        <f>H16</f>
        <v>9539.4369747899145</v>
      </c>
      <c r="E21" s="13" t="s">
        <v>11</v>
      </c>
      <c r="F21" s="9" t="s">
        <v>12</v>
      </c>
      <c r="G21" s="15" t="s">
        <v>17</v>
      </c>
      <c r="H21" s="3">
        <f>-(F22*0.0077)</f>
        <v>-926.31000000000006</v>
      </c>
    </row>
    <row r="22" spans="1:8" x14ac:dyDescent="0.25">
      <c r="F22" s="21">
        <f>D3-H3</f>
        <v>120300</v>
      </c>
    </row>
    <row r="23" spans="1:8" ht="16.5" thickBot="1" x14ac:dyDescent="0.3">
      <c r="A23" t="s">
        <v>8</v>
      </c>
      <c r="B23" s="9" t="s">
        <v>7</v>
      </c>
      <c r="C23" s="8">
        <f>D3*0.004</f>
        <v>572.62800000000004</v>
      </c>
      <c r="F23" s="9" t="s">
        <v>13</v>
      </c>
      <c r="G23" s="16">
        <v>0.35</v>
      </c>
      <c r="H23" s="17">
        <f>-(F24*0.35)</f>
        <v>-17372.227258823528</v>
      </c>
    </row>
    <row r="24" spans="1:8" x14ac:dyDescent="0.25">
      <c r="F24" s="21">
        <f>H19</f>
        <v>49634.935025210085</v>
      </c>
    </row>
    <row r="25" spans="1:8" x14ac:dyDescent="0.25">
      <c r="A25" t="s">
        <v>9</v>
      </c>
      <c r="B25" s="9" t="s">
        <v>7</v>
      </c>
      <c r="G25" s="13" t="s">
        <v>14</v>
      </c>
      <c r="H25" s="6">
        <f>H19+H21+H23</f>
        <v>31336.397766386559</v>
      </c>
    </row>
    <row r="26" spans="1:8" ht="15.75" thickBot="1" x14ac:dyDescent="0.3">
      <c r="A26" s="38" t="s">
        <v>638</v>
      </c>
      <c r="B26" s="14"/>
      <c r="C26" s="7"/>
    </row>
    <row r="27" spans="1:8" x14ac:dyDescent="0.25">
      <c r="E27" t="s">
        <v>100</v>
      </c>
      <c r="H27" s="20">
        <f>H25*0.4</f>
        <v>12534.559106554625</v>
      </c>
    </row>
    <row r="28" spans="1:8" ht="15.75" x14ac:dyDescent="0.25">
      <c r="A28" t="s">
        <v>10</v>
      </c>
      <c r="C28" s="10">
        <f>C19-C21-C23-C25</f>
        <v>49634.935025210085</v>
      </c>
      <c r="H28" s="18"/>
    </row>
    <row r="29" spans="1:8" x14ac:dyDescent="0.25">
      <c r="H29" s="3"/>
    </row>
    <row r="30" spans="1:8" x14ac:dyDescent="0.25">
      <c r="H30" s="18"/>
    </row>
  </sheetData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79C00-F661-4542-9CD3-F3BC1F3D70C6}">
  <dimension ref="A1:H30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699</v>
      </c>
    </row>
    <row r="3" spans="1:8" ht="21" x14ac:dyDescent="0.35">
      <c r="A3" s="2" t="s">
        <v>1</v>
      </c>
      <c r="D3" s="11">
        <v>988579</v>
      </c>
      <c r="F3" s="12" t="s">
        <v>3</v>
      </c>
      <c r="H3" s="11">
        <f>(D3/1.19)*0.19</f>
        <v>157840.34453781514</v>
      </c>
    </row>
    <row r="4" spans="1:8" x14ac:dyDescent="0.25">
      <c r="A4" s="13" t="s">
        <v>29</v>
      </c>
      <c r="C4" s="28">
        <v>1028</v>
      </c>
    </row>
    <row r="5" spans="1:8" ht="21" x14ac:dyDescent="0.35">
      <c r="A5" s="2" t="s">
        <v>2</v>
      </c>
    </row>
    <row r="7" spans="1:8" ht="18.75" x14ac:dyDescent="0.3">
      <c r="A7" s="5"/>
      <c r="D7" s="4"/>
      <c r="H7" s="4"/>
    </row>
    <row r="8" spans="1:8" ht="18.75" x14ac:dyDescent="0.3">
      <c r="A8" s="5"/>
      <c r="D8" s="4"/>
      <c r="H8" s="4"/>
    </row>
    <row r="9" spans="1:8" ht="18.75" x14ac:dyDescent="0.3">
      <c r="A9" s="5"/>
      <c r="B9" s="5"/>
      <c r="C9" s="5"/>
      <c r="D9" s="4"/>
      <c r="H9" s="4"/>
    </row>
    <row r="10" spans="1:8" ht="18.75" x14ac:dyDescent="0.3">
      <c r="A10" s="5" t="s">
        <v>514</v>
      </c>
      <c r="B10" s="5"/>
      <c r="C10" s="5"/>
      <c r="D10" s="4">
        <v>730000</v>
      </c>
      <c r="H10" s="4">
        <f>(D10/1.19)*0.19</f>
        <v>116554.62184873951</v>
      </c>
    </row>
    <row r="11" spans="1:8" ht="18.75" x14ac:dyDescent="0.3">
      <c r="A11" s="5"/>
      <c r="B11" s="5"/>
      <c r="C11" s="5"/>
      <c r="D11" s="4"/>
      <c r="H11" s="4">
        <f t="shared" ref="H11" si="0">(D11/1.19)*0.19</f>
        <v>0</v>
      </c>
    </row>
    <row r="12" spans="1:8" ht="18.75" x14ac:dyDescent="0.3">
      <c r="A12" s="5"/>
      <c r="B12" s="5"/>
      <c r="C12" s="5"/>
      <c r="D12" s="4"/>
      <c r="H12" s="4"/>
    </row>
    <row r="13" spans="1:8" ht="19.5" thickBot="1" x14ac:dyDescent="0.35">
      <c r="A13" s="5"/>
      <c r="B13" s="5"/>
      <c r="C13" s="5"/>
      <c r="D13" s="35"/>
      <c r="E13" s="27"/>
      <c r="H13" s="35"/>
    </row>
    <row r="14" spans="1:8" ht="19.5" thickTop="1" x14ac:dyDescent="0.3">
      <c r="D14" s="4">
        <f>SUM(D7:D13)</f>
        <v>730000</v>
      </c>
      <c r="H14" s="33">
        <f>SUM(H7:H13)</f>
        <v>116554.62184873951</v>
      </c>
    </row>
    <row r="16" spans="1:8" ht="18.75" x14ac:dyDescent="0.3">
      <c r="C16" t="s">
        <v>4</v>
      </c>
      <c r="D16" s="4">
        <f>D3-D14</f>
        <v>258579</v>
      </c>
      <c r="G16" t="s">
        <v>5</v>
      </c>
      <c r="H16" s="4">
        <f>H3-H14</f>
        <v>41285.722689075628</v>
      </c>
    </row>
    <row r="18" spans="1:8" x14ac:dyDescent="0.25">
      <c r="G18" t="s">
        <v>454</v>
      </c>
    </row>
    <row r="19" spans="1:8" ht="15.75" x14ac:dyDescent="0.25">
      <c r="A19" t="s">
        <v>6</v>
      </c>
      <c r="C19" s="8">
        <f>D16</f>
        <v>258579</v>
      </c>
      <c r="E19" t="s">
        <v>10</v>
      </c>
      <c r="H19" s="6">
        <f>C28</f>
        <v>213338.96131092438</v>
      </c>
    </row>
    <row r="21" spans="1:8" ht="15.75" x14ac:dyDescent="0.25">
      <c r="A21" t="s">
        <v>5</v>
      </c>
      <c r="B21" s="9" t="s">
        <v>7</v>
      </c>
      <c r="C21" s="8">
        <f>H16</f>
        <v>41285.722689075628</v>
      </c>
      <c r="E21" s="13" t="s">
        <v>11</v>
      </c>
      <c r="F21" s="9" t="s">
        <v>12</v>
      </c>
      <c r="G21" s="15" t="s">
        <v>17</v>
      </c>
      <c r="H21" s="3">
        <f>-(F22*0.0077)</f>
        <v>-6396.687647058824</v>
      </c>
    </row>
    <row r="22" spans="1:8" x14ac:dyDescent="0.25">
      <c r="F22" s="21">
        <f>D3-H3</f>
        <v>830738.65546218492</v>
      </c>
    </row>
    <row r="23" spans="1:8" ht="16.5" thickBot="1" x14ac:dyDescent="0.3">
      <c r="A23" t="s">
        <v>8</v>
      </c>
      <c r="B23" s="9" t="s">
        <v>7</v>
      </c>
      <c r="C23" s="8">
        <f>D3*0.004</f>
        <v>3954.3160000000003</v>
      </c>
      <c r="F23" s="9" t="s">
        <v>13</v>
      </c>
      <c r="G23" s="16">
        <v>0.35</v>
      </c>
      <c r="H23" s="17">
        <f>-(F24*0.35)</f>
        <v>-74668.63645882353</v>
      </c>
    </row>
    <row r="24" spans="1:8" x14ac:dyDescent="0.25">
      <c r="F24" s="21">
        <f>H19</f>
        <v>213338.96131092438</v>
      </c>
    </row>
    <row r="25" spans="1:8" x14ac:dyDescent="0.25">
      <c r="A25" t="s">
        <v>9</v>
      </c>
      <c r="B25" s="9" t="s">
        <v>7</v>
      </c>
      <c r="G25" s="13" t="s">
        <v>14</v>
      </c>
      <c r="H25" s="6">
        <f>H19+H21+H23</f>
        <v>132273.637205042</v>
      </c>
    </row>
    <row r="26" spans="1:8" ht="15.75" thickBot="1" x14ac:dyDescent="0.3">
      <c r="A26" s="38" t="s">
        <v>638</v>
      </c>
      <c r="B26" s="14"/>
      <c r="C26" s="7"/>
    </row>
    <row r="27" spans="1:8" x14ac:dyDescent="0.25">
      <c r="E27" t="s">
        <v>100</v>
      </c>
      <c r="H27" s="20">
        <f>H25*0.4</f>
        <v>52909.454882016806</v>
      </c>
    </row>
    <row r="28" spans="1:8" ht="15.75" x14ac:dyDescent="0.25">
      <c r="A28" t="s">
        <v>10</v>
      </c>
      <c r="C28" s="10">
        <f>C19-C21-C23-C25</f>
        <v>213338.96131092438</v>
      </c>
      <c r="H28" s="18"/>
    </row>
    <row r="29" spans="1:8" x14ac:dyDescent="0.25">
      <c r="H29" s="3"/>
    </row>
    <row r="30" spans="1:8" x14ac:dyDescent="0.25">
      <c r="H30" s="18"/>
    </row>
  </sheetData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26146-37EC-4FB7-A9BF-4F468287DF2E}">
  <dimension ref="A1:H30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700</v>
      </c>
    </row>
    <row r="3" spans="1:8" ht="21" x14ac:dyDescent="0.35">
      <c r="A3" s="2" t="s">
        <v>1</v>
      </c>
      <c r="D3" s="11">
        <v>491110</v>
      </c>
      <c r="F3" s="12" t="s">
        <v>3</v>
      </c>
      <c r="H3" s="11">
        <f>(D3/1.19)*0.19</f>
        <v>78412.521008403375</v>
      </c>
    </row>
    <row r="4" spans="1:8" x14ac:dyDescent="0.25">
      <c r="A4" s="13" t="s">
        <v>29</v>
      </c>
      <c r="C4" s="28">
        <v>1030</v>
      </c>
    </row>
    <row r="5" spans="1:8" ht="21" x14ac:dyDescent="0.35">
      <c r="A5" s="2" t="s">
        <v>2</v>
      </c>
    </row>
    <row r="7" spans="1:8" ht="18.75" x14ac:dyDescent="0.3">
      <c r="A7" s="5"/>
      <c r="D7" s="4"/>
      <c r="H7" s="4"/>
    </row>
    <row r="8" spans="1:8" ht="18.75" x14ac:dyDescent="0.3">
      <c r="A8" s="5"/>
      <c r="D8" s="4"/>
      <c r="H8" s="4"/>
    </row>
    <row r="9" spans="1:8" ht="18.75" x14ac:dyDescent="0.3">
      <c r="A9" s="5"/>
      <c r="B9" s="5"/>
      <c r="C9" s="5"/>
      <c r="D9" s="4"/>
      <c r="H9" s="4"/>
    </row>
    <row r="10" spans="1:8" ht="18.75" x14ac:dyDescent="0.3">
      <c r="A10" s="5" t="s">
        <v>701</v>
      </c>
      <c r="B10" s="5"/>
      <c r="C10" s="5"/>
      <c r="D10" s="4">
        <v>350745</v>
      </c>
      <c r="H10" s="4">
        <f>(D10/1.19)*0.19</f>
        <v>56001.302521008402</v>
      </c>
    </row>
    <row r="11" spans="1:8" ht="18.75" x14ac:dyDescent="0.3">
      <c r="A11" s="5"/>
      <c r="B11" s="5"/>
      <c r="C11" s="5"/>
      <c r="D11" s="4"/>
      <c r="H11" s="4">
        <f t="shared" ref="H11" si="0">(D11/1.19)*0.19</f>
        <v>0</v>
      </c>
    </row>
    <row r="12" spans="1:8" ht="18.75" x14ac:dyDescent="0.3">
      <c r="A12" s="5"/>
      <c r="B12" s="5"/>
      <c r="C12" s="5"/>
      <c r="D12" s="4"/>
      <c r="H12" s="4"/>
    </row>
    <row r="13" spans="1:8" ht="19.5" thickBot="1" x14ac:dyDescent="0.35">
      <c r="A13" s="5"/>
      <c r="B13" s="5"/>
      <c r="C13" s="5"/>
      <c r="D13" s="35"/>
      <c r="E13" s="27"/>
      <c r="H13" s="35"/>
    </row>
    <row r="14" spans="1:8" ht="19.5" thickTop="1" x14ac:dyDescent="0.3">
      <c r="D14" s="4">
        <f>SUM(D7:D13)</f>
        <v>350745</v>
      </c>
      <c r="H14" s="33">
        <f>SUM(H7:H13)</f>
        <v>56001.302521008402</v>
      </c>
    </row>
    <row r="16" spans="1:8" ht="18.75" x14ac:dyDescent="0.3">
      <c r="C16" t="s">
        <v>4</v>
      </c>
      <c r="D16" s="4">
        <f>D3-D14</f>
        <v>140365</v>
      </c>
      <c r="G16" t="s">
        <v>5</v>
      </c>
      <c r="H16" s="4">
        <f>H3-H14</f>
        <v>22411.218487394974</v>
      </c>
    </row>
    <row r="18" spans="1:8" x14ac:dyDescent="0.25">
      <c r="G18" t="s">
        <v>454</v>
      </c>
    </row>
    <row r="19" spans="1:8" ht="15.75" x14ac:dyDescent="0.25">
      <c r="A19" t="s">
        <v>6</v>
      </c>
      <c r="C19" s="8">
        <f>D16</f>
        <v>140365</v>
      </c>
      <c r="E19" t="s">
        <v>10</v>
      </c>
      <c r="H19" s="6">
        <f>C28</f>
        <v>115989.34151260502</v>
      </c>
    </row>
    <row r="21" spans="1:8" ht="15.75" x14ac:dyDescent="0.25">
      <c r="A21" t="s">
        <v>5</v>
      </c>
      <c r="B21" s="9" t="s">
        <v>7</v>
      </c>
      <c r="C21" s="8">
        <f>H16</f>
        <v>22411.218487394974</v>
      </c>
      <c r="E21" s="13" t="s">
        <v>11</v>
      </c>
      <c r="F21" s="9" t="s">
        <v>12</v>
      </c>
      <c r="G21" s="15" t="s">
        <v>17</v>
      </c>
      <c r="H21" s="3">
        <f>-(F22*0.0077)</f>
        <v>-3177.7705882352939</v>
      </c>
    </row>
    <row r="22" spans="1:8" x14ac:dyDescent="0.25">
      <c r="F22" s="21">
        <f>D3-H3</f>
        <v>412697.47899159661</v>
      </c>
    </row>
    <row r="23" spans="1:8" ht="16.5" thickBot="1" x14ac:dyDescent="0.3">
      <c r="A23" t="s">
        <v>8</v>
      </c>
      <c r="B23" s="9" t="s">
        <v>7</v>
      </c>
      <c r="C23" s="8">
        <f>D3*0.004</f>
        <v>1964.44</v>
      </c>
      <c r="F23" s="9" t="s">
        <v>13</v>
      </c>
      <c r="G23" s="16">
        <v>0.35</v>
      </c>
      <c r="H23" s="17">
        <f>-(F24*0.35)</f>
        <v>-40596.269529411758</v>
      </c>
    </row>
    <row r="24" spans="1:8" x14ac:dyDescent="0.25">
      <c r="F24" s="21">
        <f>H19</f>
        <v>115989.34151260502</v>
      </c>
    </row>
    <row r="25" spans="1:8" x14ac:dyDescent="0.25">
      <c r="A25" t="s">
        <v>9</v>
      </c>
      <c r="B25" s="9" t="s">
        <v>7</v>
      </c>
      <c r="G25" s="13" t="s">
        <v>14</v>
      </c>
      <c r="H25" s="6">
        <f>H19+H21+H23</f>
        <v>72215.301394957976</v>
      </c>
    </row>
    <row r="26" spans="1:8" ht="15.75" thickBot="1" x14ac:dyDescent="0.3">
      <c r="A26" s="38" t="s">
        <v>638</v>
      </c>
      <c r="B26" s="14"/>
      <c r="C26" s="7"/>
    </row>
    <row r="27" spans="1:8" x14ac:dyDescent="0.25">
      <c r="E27" t="s">
        <v>100</v>
      </c>
      <c r="H27" s="20">
        <f>H25*0.4</f>
        <v>28886.120557983191</v>
      </c>
    </row>
    <row r="28" spans="1:8" ht="15.75" x14ac:dyDescent="0.25">
      <c r="A28" t="s">
        <v>10</v>
      </c>
      <c r="C28" s="10">
        <f>C19-C21-C23-C25</f>
        <v>115989.34151260502</v>
      </c>
      <c r="H28" s="18"/>
    </row>
    <row r="29" spans="1:8" x14ac:dyDescent="0.25">
      <c r="H29" s="3"/>
    </row>
    <row r="30" spans="1:8" x14ac:dyDescent="0.25">
      <c r="H30" s="18"/>
    </row>
  </sheetData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E042E-979B-4AC3-BF4B-18E487984DA3}">
  <dimension ref="A1:H30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702</v>
      </c>
    </row>
    <row r="3" spans="1:8" ht="21" x14ac:dyDescent="0.35">
      <c r="A3" s="2" t="s">
        <v>1</v>
      </c>
      <c r="D3" s="11">
        <v>307615</v>
      </c>
      <c r="F3" s="12" t="s">
        <v>3</v>
      </c>
      <c r="H3" s="11">
        <f>(D3/1.19)*0.19</f>
        <v>49115</v>
      </c>
    </row>
    <row r="4" spans="1:8" x14ac:dyDescent="0.25">
      <c r="A4" s="13" t="s">
        <v>29</v>
      </c>
      <c r="C4" s="28">
        <v>1035</v>
      </c>
    </row>
    <row r="5" spans="1:8" ht="21" x14ac:dyDescent="0.35">
      <c r="A5" s="2" t="s">
        <v>2</v>
      </c>
    </row>
    <row r="7" spans="1:8" ht="18.75" x14ac:dyDescent="0.3">
      <c r="A7" s="5"/>
      <c r="D7" s="4"/>
      <c r="H7" s="4"/>
    </row>
    <row r="8" spans="1:8" ht="18.75" x14ac:dyDescent="0.3">
      <c r="A8" s="5"/>
      <c r="D8" s="4"/>
      <c r="H8" s="4"/>
    </row>
    <row r="9" spans="1:8" ht="18.75" x14ac:dyDescent="0.3">
      <c r="A9" s="5"/>
      <c r="B9" s="5"/>
      <c r="C9" s="5"/>
      <c r="D9" s="4"/>
      <c r="H9" s="4"/>
    </row>
    <row r="10" spans="1:8" ht="18.75" x14ac:dyDescent="0.3">
      <c r="A10" s="5" t="s">
        <v>167</v>
      </c>
      <c r="B10" s="5"/>
      <c r="C10" s="5"/>
      <c r="D10" s="4">
        <v>215190</v>
      </c>
      <c r="H10" s="4">
        <f>(D10/1.19)*0.19</f>
        <v>34358.067226890758</v>
      </c>
    </row>
    <row r="11" spans="1:8" ht="18.75" x14ac:dyDescent="0.3">
      <c r="A11" s="5"/>
      <c r="B11" s="5"/>
      <c r="C11" s="5"/>
      <c r="D11" s="4"/>
      <c r="H11" s="4">
        <f t="shared" ref="H11" si="0">(D11/1.19)*0.19</f>
        <v>0</v>
      </c>
    </row>
    <row r="12" spans="1:8" ht="18.75" x14ac:dyDescent="0.3">
      <c r="A12" s="5"/>
      <c r="B12" s="5"/>
      <c r="C12" s="5"/>
      <c r="D12" s="4"/>
      <c r="H12" s="4"/>
    </row>
    <row r="13" spans="1:8" ht="19.5" thickBot="1" x14ac:dyDescent="0.35">
      <c r="A13" s="5"/>
      <c r="B13" s="5"/>
      <c r="C13" s="5"/>
      <c r="D13" s="35"/>
      <c r="E13" s="27"/>
      <c r="H13" s="35"/>
    </row>
    <row r="14" spans="1:8" ht="19.5" thickTop="1" x14ac:dyDescent="0.3">
      <c r="D14" s="4">
        <f>SUM(D7:D13)</f>
        <v>215190</v>
      </c>
      <c r="H14" s="33">
        <f>SUM(H7:H13)</f>
        <v>34358.067226890758</v>
      </c>
    </row>
    <row r="16" spans="1:8" ht="18.75" x14ac:dyDescent="0.3">
      <c r="C16" t="s">
        <v>4</v>
      </c>
      <c r="D16" s="4">
        <f>D3-D14</f>
        <v>92425</v>
      </c>
      <c r="G16" t="s">
        <v>5</v>
      </c>
      <c r="H16" s="4">
        <f>H3-H14</f>
        <v>14756.932773109242</v>
      </c>
    </row>
    <row r="18" spans="1:8" x14ac:dyDescent="0.25">
      <c r="G18" t="s">
        <v>454</v>
      </c>
    </row>
    <row r="19" spans="1:8" ht="15.75" x14ac:dyDescent="0.25">
      <c r="A19" t="s">
        <v>6</v>
      </c>
      <c r="C19" s="8">
        <f>D16</f>
        <v>92425</v>
      </c>
      <c r="E19" t="s">
        <v>10</v>
      </c>
      <c r="H19" s="6">
        <f>C28</f>
        <v>76437.607226890759</v>
      </c>
    </row>
    <row r="21" spans="1:8" ht="15.75" x14ac:dyDescent="0.25">
      <c r="A21" t="s">
        <v>5</v>
      </c>
      <c r="B21" s="9" t="s">
        <v>7</v>
      </c>
      <c r="C21" s="8">
        <f>H16</f>
        <v>14756.932773109242</v>
      </c>
      <c r="E21" s="13" t="s">
        <v>11</v>
      </c>
      <c r="F21" s="9" t="s">
        <v>12</v>
      </c>
      <c r="G21" s="15" t="s">
        <v>17</v>
      </c>
      <c r="H21" s="3">
        <f>-(F22*0.0077)</f>
        <v>-1990.45</v>
      </c>
    </row>
    <row r="22" spans="1:8" x14ac:dyDescent="0.25">
      <c r="F22" s="21">
        <f>D3-H3</f>
        <v>258500</v>
      </c>
    </row>
    <row r="23" spans="1:8" ht="16.5" thickBot="1" x14ac:dyDescent="0.3">
      <c r="A23" t="s">
        <v>8</v>
      </c>
      <c r="B23" s="9" t="s">
        <v>7</v>
      </c>
      <c r="C23" s="8">
        <f>D3*0.004</f>
        <v>1230.46</v>
      </c>
      <c r="F23" s="9" t="s">
        <v>13</v>
      </c>
      <c r="G23" s="16">
        <v>0.35</v>
      </c>
      <c r="H23" s="17">
        <f>-(F24*0.35)</f>
        <v>-26753.162529411766</v>
      </c>
    </row>
    <row r="24" spans="1:8" x14ac:dyDescent="0.25">
      <c r="F24" s="21">
        <f>H19</f>
        <v>76437.607226890759</v>
      </c>
    </row>
    <row r="25" spans="1:8" x14ac:dyDescent="0.25">
      <c r="A25" t="s">
        <v>9</v>
      </c>
      <c r="B25" s="9" t="s">
        <v>7</v>
      </c>
      <c r="G25" s="13" t="s">
        <v>14</v>
      </c>
      <c r="H25" s="6">
        <f>H19+H21+H23</f>
        <v>47693.994697478993</v>
      </c>
    </row>
    <row r="26" spans="1:8" ht="15.75" thickBot="1" x14ac:dyDescent="0.3">
      <c r="A26" s="38" t="s">
        <v>638</v>
      </c>
      <c r="B26" s="14"/>
      <c r="C26" s="7"/>
    </row>
    <row r="27" spans="1:8" x14ac:dyDescent="0.25">
      <c r="E27" t="s">
        <v>100</v>
      </c>
      <c r="H27" s="20">
        <f>H25*0.4</f>
        <v>19077.597878991597</v>
      </c>
    </row>
    <row r="28" spans="1:8" ht="15.75" x14ac:dyDescent="0.25">
      <c r="A28" t="s">
        <v>10</v>
      </c>
      <c r="C28" s="10">
        <f>C19-C21-C23-C25</f>
        <v>76437.607226890759</v>
      </c>
      <c r="H28" s="18"/>
    </row>
    <row r="29" spans="1:8" x14ac:dyDescent="0.25">
      <c r="H29" s="3"/>
    </row>
    <row r="30" spans="1:8" x14ac:dyDescent="0.25">
      <c r="H30" s="18"/>
    </row>
  </sheetData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CC4C2-BB5C-422E-9E1A-D3C8EBEEE56B}">
  <dimension ref="A1:H30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703</v>
      </c>
    </row>
    <row r="3" spans="1:8" ht="21" x14ac:dyDescent="0.35">
      <c r="A3" s="2" t="s">
        <v>1</v>
      </c>
      <c r="D3" s="11">
        <v>193970</v>
      </c>
      <c r="F3" s="12" t="s">
        <v>3</v>
      </c>
      <c r="H3" s="11">
        <f>(D3/1.19)*0.19</f>
        <v>30970</v>
      </c>
    </row>
    <row r="4" spans="1:8" x14ac:dyDescent="0.25">
      <c r="A4" s="13" t="s">
        <v>29</v>
      </c>
      <c r="C4" s="28">
        <v>1038</v>
      </c>
    </row>
    <row r="5" spans="1:8" ht="21" x14ac:dyDescent="0.35">
      <c r="A5" s="2" t="s">
        <v>2</v>
      </c>
    </row>
    <row r="7" spans="1:8" ht="18.75" x14ac:dyDescent="0.3">
      <c r="A7" s="5"/>
      <c r="D7" s="4"/>
      <c r="H7" s="4"/>
    </row>
    <row r="8" spans="1:8" ht="18.75" x14ac:dyDescent="0.3">
      <c r="A8" s="5"/>
      <c r="D8" s="4"/>
      <c r="H8" s="4"/>
    </row>
    <row r="9" spans="1:8" ht="18.75" x14ac:dyDescent="0.3">
      <c r="A9" s="5"/>
      <c r="B9" s="5"/>
      <c r="C9" s="5"/>
      <c r="D9" s="4"/>
      <c r="H9" s="4"/>
    </row>
    <row r="10" spans="1:8" ht="18.75" x14ac:dyDescent="0.3">
      <c r="A10" s="5" t="s">
        <v>167</v>
      </c>
      <c r="B10" s="5"/>
      <c r="C10" s="5"/>
      <c r="D10" s="4">
        <v>110685</v>
      </c>
      <c r="H10" s="4">
        <f>(D10/1.19)*0.19</f>
        <v>17672.394957983197</v>
      </c>
    </row>
    <row r="11" spans="1:8" ht="18.75" x14ac:dyDescent="0.3">
      <c r="A11" s="5"/>
      <c r="B11" s="5"/>
      <c r="C11" s="5"/>
      <c r="D11" s="4"/>
      <c r="H11" s="4">
        <f t="shared" ref="H11" si="0">(D11/1.19)*0.19</f>
        <v>0</v>
      </c>
    </row>
    <row r="12" spans="1:8" ht="18.75" x14ac:dyDescent="0.3">
      <c r="A12" s="5"/>
      <c r="B12" s="5"/>
      <c r="C12" s="5"/>
      <c r="D12" s="4"/>
      <c r="H12" s="4"/>
    </row>
    <row r="13" spans="1:8" ht="19.5" thickBot="1" x14ac:dyDescent="0.35">
      <c r="A13" s="5"/>
      <c r="B13" s="5"/>
      <c r="C13" s="5"/>
      <c r="D13" s="35"/>
      <c r="E13" s="27"/>
      <c r="H13" s="35"/>
    </row>
    <row r="14" spans="1:8" ht="19.5" thickTop="1" x14ac:dyDescent="0.3">
      <c r="D14" s="4">
        <f>SUM(D7:D13)</f>
        <v>110685</v>
      </c>
      <c r="H14" s="33">
        <f>SUM(H7:H13)</f>
        <v>17672.394957983197</v>
      </c>
    </row>
    <row r="16" spans="1:8" ht="18.75" x14ac:dyDescent="0.3">
      <c r="C16" t="s">
        <v>4</v>
      </c>
      <c r="D16" s="4">
        <f>D3-D14</f>
        <v>83285</v>
      </c>
      <c r="G16" t="s">
        <v>5</v>
      </c>
      <c r="H16" s="4">
        <f>H3-H14</f>
        <v>13297.605042016803</v>
      </c>
    </row>
    <row r="18" spans="1:8" x14ac:dyDescent="0.25">
      <c r="G18" t="s">
        <v>454</v>
      </c>
    </row>
    <row r="19" spans="1:8" ht="15.75" x14ac:dyDescent="0.25">
      <c r="A19" t="s">
        <v>6</v>
      </c>
      <c r="C19" s="8">
        <f>D16</f>
        <v>83285</v>
      </c>
      <c r="E19" t="s">
        <v>10</v>
      </c>
      <c r="H19" s="6">
        <f>C28</f>
        <v>69211.514957983192</v>
      </c>
    </row>
    <row r="21" spans="1:8" ht="15.75" x14ac:dyDescent="0.25">
      <c r="A21" t="s">
        <v>5</v>
      </c>
      <c r="B21" s="9" t="s">
        <v>7</v>
      </c>
      <c r="C21" s="8">
        <f>H16</f>
        <v>13297.605042016803</v>
      </c>
      <c r="E21" s="13" t="s">
        <v>11</v>
      </c>
      <c r="F21" s="9" t="s">
        <v>12</v>
      </c>
      <c r="G21" s="15" t="s">
        <v>17</v>
      </c>
      <c r="H21" s="3">
        <f>-(F22*0.0077)</f>
        <v>-1255.1000000000001</v>
      </c>
    </row>
    <row r="22" spans="1:8" x14ac:dyDescent="0.25">
      <c r="F22" s="21">
        <f>D3-H3</f>
        <v>163000</v>
      </c>
    </row>
    <row r="23" spans="1:8" ht="16.5" thickBot="1" x14ac:dyDescent="0.3">
      <c r="A23" t="s">
        <v>8</v>
      </c>
      <c r="B23" s="9" t="s">
        <v>7</v>
      </c>
      <c r="C23" s="8">
        <f>D3*0.004</f>
        <v>775.88</v>
      </c>
      <c r="F23" s="9" t="s">
        <v>13</v>
      </c>
      <c r="G23" s="16">
        <v>0.35</v>
      </c>
      <c r="H23" s="17">
        <f>-(F24*0.35)</f>
        <v>-24224.030235294114</v>
      </c>
    </row>
    <row r="24" spans="1:8" x14ac:dyDescent="0.25">
      <c r="F24" s="21">
        <f>H19</f>
        <v>69211.514957983192</v>
      </c>
    </row>
    <row r="25" spans="1:8" x14ac:dyDescent="0.25">
      <c r="A25" t="s">
        <v>9</v>
      </c>
      <c r="B25" s="9" t="s">
        <v>7</v>
      </c>
      <c r="G25" s="13" t="s">
        <v>14</v>
      </c>
      <c r="H25" s="6">
        <f>H19+H21+H23</f>
        <v>43732.384722689072</v>
      </c>
    </row>
    <row r="26" spans="1:8" ht="15.75" thickBot="1" x14ac:dyDescent="0.3">
      <c r="A26" s="38" t="s">
        <v>638</v>
      </c>
      <c r="B26" s="14"/>
      <c r="C26" s="7"/>
    </row>
    <row r="27" spans="1:8" x14ac:dyDescent="0.25">
      <c r="E27" t="s">
        <v>100</v>
      </c>
      <c r="H27" s="20">
        <f>H25*0.4</f>
        <v>17492.95388907563</v>
      </c>
    </row>
    <row r="28" spans="1:8" ht="15.75" x14ac:dyDescent="0.25">
      <c r="A28" t="s">
        <v>10</v>
      </c>
      <c r="C28" s="10">
        <f>C19-C21-C23-C25</f>
        <v>69211.514957983192</v>
      </c>
      <c r="H28" s="18"/>
    </row>
    <row r="29" spans="1:8" x14ac:dyDescent="0.25">
      <c r="H29" s="3"/>
    </row>
    <row r="30" spans="1:8" x14ac:dyDescent="0.25">
      <c r="H30" s="18"/>
    </row>
  </sheetData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C60A7-0580-4B04-851E-8D9D1CDB4416}">
  <dimension ref="A1:H30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704</v>
      </c>
    </row>
    <row r="3" spans="1:8" ht="21" x14ac:dyDescent="0.35">
      <c r="A3" s="2" t="s">
        <v>1</v>
      </c>
      <c r="D3" s="11">
        <v>160650</v>
      </c>
      <c r="F3" s="12" t="s">
        <v>3</v>
      </c>
      <c r="H3" s="11">
        <f>(D3/1.19)*0.19</f>
        <v>25650</v>
      </c>
    </row>
    <row r="4" spans="1:8" x14ac:dyDescent="0.25">
      <c r="A4" s="13" t="s">
        <v>29</v>
      </c>
      <c r="C4" s="28">
        <v>1040</v>
      </c>
    </row>
    <row r="5" spans="1:8" ht="21" x14ac:dyDescent="0.35">
      <c r="A5" s="2" t="s">
        <v>2</v>
      </c>
    </row>
    <row r="7" spans="1:8" ht="18.75" x14ac:dyDescent="0.3">
      <c r="A7" s="5"/>
      <c r="D7" s="4"/>
      <c r="H7" s="4"/>
    </row>
    <row r="8" spans="1:8" ht="18.75" x14ac:dyDescent="0.3">
      <c r="A8" s="5"/>
      <c r="D8" s="4"/>
      <c r="H8" s="4"/>
    </row>
    <row r="9" spans="1:8" ht="18.75" x14ac:dyDescent="0.3">
      <c r="A9" s="5"/>
      <c r="B9" s="5"/>
      <c r="C9" s="5"/>
      <c r="D9" s="4"/>
      <c r="H9" s="4"/>
    </row>
    <row r="10" spans="1:8" ht="18.75" x14ac:dyDescent="0.3">
      <c r="A10" s="5" t="s">
        <v>167</v>
      </c>
      <c r="B10" s="5"/>
      <c r="C10" s="5"/>
      <c r="D10" s="4">
        <v>58000</v>
      </c>
      <c r="H10" s="4">
        <f>(D10/1.19)*0.19</f>
        <v>9260.5042016806728</v>
      </c>
    </row>
    <row r="11" spans="1:8" ht="18.75" x14ac:dyDescent="0.3">
      <c r="A11" s="5"/>
      <c r="B11" s="5"/>
      <c r="C11" s="5"/>
      <c r="D11" s="4"/>
      <c r="H11" s="4">
        <f t="shared" ref="H11" si="0">(D11/1.19)*0.19</f>
        <v>0</v>
      </c>
    </row>
    <row r="12" spans="1:8" ht="18.75" x14ac:dyDescent="0.3">
      <c r="A12" s="5"/>
      <c r="B12" s="5"/>
      <c r="C12" s="5"/>
      <c r="D12" s="4"/>
      <c r="H12" s="4"/>
    </row>
    <row r="13" spans="1:8" ht="19.5" thickBot="1" x14ac:dyDescent="0.35">
      <c r="A13" s="5"/>
      <c r="B13" s="5"/>
      <c r="C13" s="5"/>
      <c r="D13" s="35"/>
      <c r="E13" s="27"/>
      <c r="H13" s="35"/>
    </row>
    <row r="14" spans="1:8" ht="19.5" thickTop="1" x14ac:dyDescent="0.3">
      <c r="D14" s="4">
        <f>SUM(D7:D13)</f>
        <v>58000</v>
      </c>
      <c r="H14" s="33">
        <f>SUM(H7:H13)</f>
        <v>9260.5042016806728</v>
      </c>
    </row>
    <row r="16" spans="1:8" ht="18.75" x14ac:dyDescent="0.3">
      <c r="C16" t="s">
        <v>4</v>
      </c>
      <c r="D16" s="4">
        <f>D3-D14</f>
        <v>102650</v>
      </c>
      <c r="G16" t="s">
        <v>5</v>
      </c>
      <c r="H16" s="4">
        <f>H3-H14</f>
        <v>16389.495798319327</v>
      </c>
    </row>
    <row r="18" spans="1:8" x14ac:dyDescent="0.25">
      <c r="G18" t="s">
        <v>454</v>
      </c>
    </row>
    <row r="19" spans="1:8" ht="15.75" x14ac:dyDescent="0.25">
      <c r="A19" t="s">
        <v>6</v>
      </c>
      <c r="C19" s="8">
        <f>D16</f>
        <v>102650</v>
      </c>
      <c r="E19" t="s">
        <v>10</v>
      </c>
      <c r="H19" s="6">
        <f>C28</f>
        <v>85617.904201680663</v>
      </c>
    </row>
    <row r="21" spans="1:8" ht="15.75" x14ac:dyDescent="0.25">
      <c r="A21" t="s">
        <v>5</v>
      </c>
      <c r="B21" s="9" t="s">
        <v>7</v>
      </c>
      <c r="C21" s="8">
        <f>H16</f>
        <v>16389.495798319327</v>
      </c>
      <c r="E21" s="13" t="s">
        <v>11</v>
      </c>
      <c r="F21" s="9" t="s">
        <v>12</v>
      </c>
      <c r="G21" s="15" t="s">
        <v>17</v>
      </c>
      <c r="H21" s="3">
        <f>-(F22*0.0077)</f>
        <v>-1039.5</v>
      </c>
    </row>
    <row r="22" spans="1:8" x14ac:dyDescent="0.25">
      <c r="F22" s="21">
        <f>D3-H3</f>
        <v>135000</v>
      </c>
    </row>
    <row r="23" spans="1:8" ht="16.5" thickBot="1" x14ac:dyDescent="0.3">
      <c r="A23" t="s">
        <v>8</v>
      </c>
      <c r="B23" s="9" t="s">
        <v>7</v>
      </c>
      <c r="C23" s="8">
        <f>D3*0.004</f>
        <v>642.6</v>
      </c>
      <c r="F23" s="9" t="s">
        <v>13</v>
      </c>
      <c r="G23" s="16">
        <v>0.35</v>
      </c>
      <c r="H23" s="17">
        <f>-(F24*0.35)</f>
        <v>-29966.266470588231</v>
      </c>
    </row>
    <row r="24" spans="1:8" x14ac:dyDescent="0.25">
      <c r="F24" s="21">
        <f>H19</f>
        <v>85617.904201680663</v>
      </c>
    </row>
    <row r="25" spans="1:8" x14ac:dyDescent="0.25">
      <c r="A25" t="s">
        <v>9</v>
      </c>
      <c r="B25" s="9" t="s">
        <v>7</v>
      </c>
      <c r="G25" s="13" t="s">
        <v>14</v>
      </c>
      <c r="H25" s="6">
        <f>H19+H21+H23</f>
        <v>54612.137731092429</v>
      </c>
    </row>
    <row r="26" spans="1:8" ht="15.75" thickBot="1" x14ac:dyDescent="0.3">
      <c r="A26" s="38" t="s">
        <v>638</v>
      </c>
      <c r="B26" s="14"/>
      <c r="C26" s="7"/>
    </row>
    <row r="27" spans="1:8" x14ac:dyDescent="0.25">
      <c r="E27" t="s">
        <v>100</v>
      </c>
      <c r="H27" s="20">
        <f>H25*0.4</f>
        <v>21844.855092436974</v>
      </c>
    </row>
    <row r="28" spans="1:8" ht="15.75" x14ac:dyDescent="0.25">
      <c r="A28" t="s">
        <v>10</v>
      </c>
      <c r="C28" s="10">
        <f>C19-C21-C23-C25</f>
        <v>85617.904201680663</v>
      </c>
      <c r="H28" s="18"/>
    </row>
    <row r="29" spans="1:8" x14ac:dyDescent="0.25">
      <c r="H29" s="3"/>
    </row>
    <row r="30" spans="1:8" x14ac:dyDescent="0.25">
      <c r="H30" s="18"/>
    </row>
  </sheetData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168C5-2234-4FD1-B103-62223DA23996}">
  <dimension ref="A1:H30"/>
  <sheetViews>
    <sheetView topLeftCell="A13" workbookViewId="0">
      <selection activeCell="D11" sqref="D11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705</v>
      </c>
    </row>
    <row r="3" spans="1:8" ht="21" x14ac:dyDescent="0.35">
      <c r="A3" s="2" t="s">
        <v>1</v>
      </c>
      <c r="D3" s="11">
        <v>1746980</v>
      </c>
      <c r="F3" s="12" t="s">
        <v>3</v>
      </c>
      <c r="H3" s="11">
        <f>(D3/1.19)*0.19</f>
        <v>278929.57983193279</v>
      </c>
    </row>
    <row r="4" spans="1:8" x14ac:dyDescent="0.25">
      <c r="A4" s="13" t="s">
        <v>29</v>
      </c>
      <c r="C4" s="28">
        <v>1048</v>
      </c>
    </row>
    <row r="5" spans="1:8" ht="21" x14ac:dyDescent="0.35">
      <c r="A5" s="2" t="s">
        <v>2</v>
      </c>
    </row>
    <row r="7" spans="1:8" ht="18.75" x14ac:dyDescent="0.3">
      <c r="A7" s="5"/>
      <c r="D7" s="4"/>
      <c r="H7" s="4"/>
    </row>
    <row r="8" spans="1:8" ht="18.75" x14ac:dyDescent="0.3">
      <c r="A8" s="5"/>
      <c r="D8" s="4"/>
      <c r="H8" s="4"/>
    </row>
    <row r="9" spans="1:8" ht="18.75" x14ac:dyDescent="0.3">
      <c r="A9" s="5"/>
      <c r="B9" s="5"/>
      <c r="C9" s="5"/>
      <c r="D9" s="4"/>
      <c r="H9" s="4"/>
    </row>
    <row r="10" spans="1:8" ht="18.75" x14ac:dyDescent="0.3">
      <c r="A10" s="5" t="s">
        <v>167</v>
      </c>
      <c r="B10" s="5"/>
      <c r="C10" s="5"/>
      <c r="D10" s="4">
        <v>1054000</v>
      </c>
      <c r="H10" s="4">
        <f>(D10/1.19)*0.19</f>
        <v>168285.71428571429</v>
      </c>
    </row>
    <row r="11" spans="1:8" ht="18.75" x14ac:dyDescent="0.3">
      <c r="A11" s="5"/>
      <c r="B11" s="5"/>
      <c r="C11" s="5"/>
      <c r="D11" s="4"/>
      <c r="H11" s="4">
        <f t="shared" ref="H11" si="0">(D11/1.19)*0.19</f>
        <v>0</v>
      </c>
    </row>
    <row r="12" spans="1:8" ht="18.75" x14ac:dyDescent="0.3">
      <c r="A12" s="5"/>
      <c r="B12" s="5"/>
      <c r="C12" s="5"/>
      <c r="D12" s="4"/>
      <c r="H12" s="4"/>
    </row>
    <row r="13" spans="1:8" ht="19.5" thickBot="1" x14ac:dyDescent="0.35">
      <c r="A13" s="5"/>
      <c r="B13" s="5"/>
      <c r="C13" s="5"/>
      <c r="D13" s="35"/>
      <c r="E13" s="27"/>
      <c r="H13" s="35"/>
    </row>
    <row r="14" spans="1:8" ht="19.5" thickTop="1" x14ac:dyDescent="0.3">
      <c r="D14" s="4">
        <f>SUM(D7:D13)</f>
        <v>1054000</v>
      </c>
      <c r="H14" s="33">
        <f>SUM(H7:H13)</f>
        <v>168285.71428571429</v>
      </c>
    </row>
    <row r="16" spans="1:8" ht="18.75" x14ac:dyDescent="0.3">
      <c r="C16" t="s">
        <v>4</v>
      </c>
      <c r="D16" s="4">
        <f>D3-D14</f>
        <v>692980</v>
      </c>
      <c r="G16" t="s">
        <v>5</v>
      </c>
      <c r="H16" s="4">
        <f>H3-H14</f>
        <v>110643.8655462185</v>
      </c>
    </row>
    <row r="18" spans="1:8" x14ac:dyDescent="0.25">
      <c r="G18" t="s">
        <v>454</v>
      </c>
    </row>
    <row r="19" spans="1:8" ht="15.75" x14ac:dyDescent="0.25">
      <c r="A19" t="s">
        <v>6</v>
      </c>
      <c r="C19" s="8">
        <f>D16</f>
        <v>692980</v>
      </c>
      <c r="E19" t="s">
        <v>10</v>
      </c>
      <c r="H19" s="6">
        <f>C28</f>
        <v>575348.21445378149</v>
      </c>
    </row>
    <row r="21" spans="1:8" ht="15.75" x14ac:dyDescent="0.25">
      <c r="A21" t="s">
        <v>5</v>
      </c>
      <c r="B21" s="9" t="s">
        <v>7</v>
      </c>
      <c r="C21" s="8">
        <f>H16</f>
        <v>110643.8655462185</v>
      </c>
      <c r="E21" s="13" t="s">
        <v>11</v>
      </c>
      <c r="F21" s="9" t="s">
        <v>12</v>
      </c>
      <c r="G21" s="15" t="s">
        <v>17</v>
      </c>
      <c r="H21" s="3">
        <f>-(F22*0.0077)</f>
        <v>-11303.988235294119</v>
      </c>
    </row>
    <row r="22" spans="1:8" x14ac:dyDescent="0.25">
      <c r="F22" s="21">
        <f>D3-H3</f>
        <v>1468050.4201680673</v>
      </c>
    </row>
    <row r="23" spans="1:8" ht="16.5" thickBot="1" x14ac:dyDescent="0.3">
      <c r="A23" t="s">
        <v>8</v>
      </c>
      <c r="B23" s="9" t="s">
        <v>7</v>
      </c>
      <c r="C23" s="8">
        <f>D3*0.004</f>
        <v>6987.92</v>
      </c>
      <c r="F23" s="9" t="s">
        <v>13</v>
      </c>
      <c r="G23" s="16">
        <v>0.35</v>
      </c>
      <c r="H23" s="17">
        <f>-(F24*0.35)</f>
        <v>-201371.8750588235</v>
      </c>
    </row>
    <row r="24" spans="1:8" x14ac:dyDescent="0.25">
      <c r="F24" s="21">
        <f>H19</f>
        <v>575348.21445378149</v>
      </c>
    </row>
    <row r="25" spans="1:8" x14ac:dyDescent="0.25">
      <c r="A25" t="s">
        <v>9</v>
      </c>
      <c r="B25" s="9" t="s">
        <v>7</v>
      </c>
      <c r="G25" s="13" t="s">
        <v>14</v>
      </c>
      <c r="H25" s="6">
        <f>H19+H21+H23</f>
        <v>362672.35115966387</v>
      </c>
    </row>
    <row r="26" spans="1:8" ht="15.75" thickBot="1" x14ac:dyDescent="0.3">
      <c r="A26" s="38" t="s">
        <v>638</v>
      </c>
      <c r="B26" s="14"/>
      <c r="C26" s="7"/>
    </row>
    <row r="27" spans="1:8" x14ac:dyDescent="0.25">
      <c r="E27" t="s">
        <v>100</v>
      </c>
      <c r="H27" s="20">
        <f>H25*0.4</f>
        <v>145068.94046386555</v>
      </c>
    </row>
    <row r="28" spans="1:8" ht="15.75" x14ac:dyDescent="0.25">
      <c r="A28" t="s">
        <v>10</v>
      </c>
      <c r="C28" s="10">
        <f>C19-C21-C23-C25</f>
        <v>575348.21445378149</v>
      </c>
      <c r="H28" s="18"/>
    </row>
    <row r="29" spans="1:8" x14ac:dyDescent="0.25">
      <c r="H29" s="3"/>
    </row>
    <row r="30" spans="1:8" x14ac:dyDescent="0.25">
      <c r="H30" s="18"/>
    </row>
  </sheetData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20C2C-9A2D-453E-AD07-4EC97DF758E5}">
  <dimension ref="A1:H30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704</v>
      </c>
    </row>
    <row r="3" spans="1:8" ht="21" x14ac:dyDescent="0.35">
      <c r="A3" s="2" t="s">
        <v>1</v>
      </c>
      <c r="D3" s="11">
        <v>11900</v>
      </c>
      <c r="F3" s="12" t="s">
        <v>3</v>
      </c>
      <c r="H3" s="11">
        <f>(D3/1.19)*0.19</f>
        <v>1900</v>
      </c>
    </row>
    <row r="4" spans="1:8" x14ac:dyDescent="0.25">
      <c r="A4" s="13" t="s">
        <v>29</v>
      </c>
      <c r="C4" s="28">
        <v>1049</v>
      </c>
    </row>
    <row r="5" spans="1:8" ht="21" x14ac:dyDescent="0.35">
      <c r="A5" s="2" t="s">
        <v>2</v>
      </c>
    </row>
    <row r="7" spans="1:8" ht="18.75" x14ac:dyDescent="0.3">
      <c r="A7" s="5"/>
      <c r="D7" s="4"/>
      <c r="H7" s="4"/>
    </row>
    <row r="8" spans="1:8" ht="18.75" x14ac:dyDescent="0.3">
      <c r="A8" s="5"/>
      <c r="D8" s="4"/>
      <c r="H8" s="4"/>
    </row>
    <row r="9" spans="1:8" ht="18.75" x14ac:dyDescent="0.3">
      <c r="A9" s="5"/>
      <c r="B9" s="5"/>
      <c r="C9" s="5"/>
      <c r="D9" s="4"/>
      <c r="H9" s="4"/>
    </row>
    <row r="10" spans="1:8" ht="18.75" x14ac:dyDescent="0.3">
      <c r="A10" s="5" t="s">
        <v>167</v>
      </c>
      <c r="B10" s="5"/>
      <c r="C10" s="5"/>
      <c r="D10" s="4">
        <v>3850</v>
      </c>
      <c r="H10" s="4">
        <f>(D10/1.19)*0.19</f>
        <v>614.70588235294122</v>
      </c>
    </row>
    <row r="11" spans="1:8" ht="18.75" x14ac:dyDescent="0.3">
      <c r="A11" s="5"/>
      <c r="B11" s="5"/>
      <c r="C11" s="5"/>
      <c r="D11" s="4"/>
      <c r="H11" s="4">
        <f t="shared" ref="H11" si="0">(D11/1.19)*0.19</f>
        <v>0</v>
      </c>
    </row>
    <row r="12" spans="1:8" ht="18.75" x14ac:dyDescent="0.3">
      <c r="A12" s="5"/>
      <c r="B12" s="5"/>
      <c r="C12" s="5"/>
      <c r="D12" s="4"/>
      <c r="H12" s="4"/>
    </row>
    <row r="13" spans="1:8" ht="19.5" thickBot="1" x14ac:dyDescent="0.35">
      <c r="A13" s="5"/>
      <c r="B13" s="5"/>
      <c r="C13" s="5"/>
      <c r="D13" s="35"/>
      <c r="E13" s="27"/>
      <c r="H13" s="35"/>
    </row>
    <row r="14" spans="1:8" ht="19.5" thickTop="1" x14ac:dyDescent="0.3">
      <c r="D14" s="4">
        <f>SUM(D7:D13)</f>
        <v>3850</v>
      </c>
      <c r="H14" s="33">
        <f>SUM(H7:H13)</f>
        <v>614.70588235294122</v>
      </c>
    </row>
    <row r="16" spans="1:8" ht="18.75" x14ac:dyDescent="0.3">
      <c r="C16" t="s">
        <v>4</v>
      </c>
      <c r="D16" s="4">
        <f>D3-D14</f>
        <v>8050</v>
      </c>
      <c r="G16" t="s">
        <v>5</v>
      </c>
      <c r="H16" s="4">
        <f>H3-H14</f>
        <v>1285.2941176470588</v>
      </c>
    </row>
    <row r="18" spans="1:8" x14ac:dyDescent="0.25">
      <c r="G18" t="s">
        <v>454</v>
      </c>
    </row>
    <row r="19" spans="1:8" ht="15.75" x14ac:dyDescent="0.25">
      <c r="A19" t="s">
        <v>6</v>
      </c>
      <c r="C19" s="8">
        <f>D16</f>
        <v>8050</v>
      </c>
      <c r="E19" t="s">
        <v>10</v>
      </c>
      <c r="H19" s="6">
        <f>C28</f>
        <v>6717.1058823529411</v>
      </c>
    </row>
    <row r="21" spans="1:8" ht="15.75" x14ac:dyDescent="0.25">
      <c r="A21" t="s">
        <v>5</v>
      </c>
      <c r="B21" s="9" t="s">
        <v>7</v>
      </c>
      <c r="C21" s="8">
        <f>H16</f>
        <v>1285.2941176470588</v>
      </c>
      <c r="E21" s="13" t="s">
        <v>11</v>
      </c>
      <c r="F21" s="9" t="s">
        <v>12</v>
      </c>
      <c r="G21" s="15" t="s">
        <v>17</v>
      </c>
      <c r="H21" s="3">
        <f>-(F22*0.0077)</f>
        <v>-77</v>
      </c>
    </row>
    <row r="22" spans="1:8" x14ac:dyDescent="0.25">
      <c r="F22" s="21">
        <f>D3-H3</f>
        <v>10000</v>
      </c>
    </row>
    <row r="23" spans="1:8" ht="16.5" thickBot="1" x14ac:dyDescent="0.3">
      <c r="A23" t="s">
        <v>8</v>
      </c>
      <c r="B23" s="9" t="s">
        <v>7</v>
      </c>
      <c r="C23" s="8">
        <f>D3*0.004</f>
        <v>47.6</v>
      </c>
      <c r="F23" s="9" t="s">
        <v>13</v>
      </c>
      <c r="G23" s="16">
        <v>0.35</v>
      </c>
      <c r="H23" s="17">
        <f>-(F24*0.35)</f>
        <v>-2350.9870588235294</v>
      </c>
    </row>
    <row r="24" spans="1:8" x14ac:dyDescent="0.25">
      <c r="F24" s="21">
        <f>H19</f>
        <v>6717.1058823529411</v>
      </c>
    </row>
    <row r="25" spans="1:8" x14ac:dyDescent="0.25">
      <c r="A25" t="s">
        <v>9</v>
      </c>
      <c r="B25" s="9" t="s">
        <v>7</v>
      </c>
      <c r="G25" s="13" t="s">
        <v>14</v>
      </c>
      <c r="H25" s="6">
        <f>H19+H21+H23</f>
        <v>4289.1188235294121</v>
      </c>
    </row>
    <row r="26" spans="1:8" ht="15.75" thickBot="1" x14ac:dyDescent="0.3">
      <c r="A26" s="38" t="s">
        <v>638</v>
      </c>
      <c r="B26" s="14"/>
      <c r="C26" s="7"/>
    </row>
    <row r="27" spans="1:8" x14ac:dyDescent="0.25">
      <c r="E27" t="s">
        <v>100</v>
      </c>
      <c r="H27" s="20">
        <f>H25*0.4</f>
        <v>1715.6475294117649</v>
      </c>
    </row>
    <row r="28" spans="1:8" ht="15.75" x14ac:dyDescent="0.25">
      <c r="A28" t="s">
        <v>10</v>
      </c>
      <c r="C28" s="10">
        <f>C19-C21-C23-C25</f>
        <v>6717.1058823529411</v>
      </c>
      <c r="H28" s="18"/>
    </row>
    <row r="29" spans="1:8" x14ac:dyDescent="0.25">
      <c r="H29" s="3"/>
    </row>
    <row r="30" spans="1:8" x14ac:dyDescent="0.25">
      <c r="H30" s="18"/>
    </row>
  </sheetData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EB603-2B21-443A-BB07-FFE1470A9974}">
  <dimension ref="A1:H30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706</v>
      </c>
    </row>
    <row r="3" spans="1:8" ht="21" x14ac:dyDescent="0.35">
      <c r="A3" s="2" t="s">
        <v>1</v>
      </c>
      <c r="D3" s="11">
        <v>54145</v>
      </c>
      <c r="F3" s="12" t="s">
        <v>3</v>
      </c>
      <c r="H3" s="11">
        <f>(D3/1.19)*0.19</f>
        <v>8645</v>
      </c>
    </row>
    <row r="4" spans="1:8" x14ac:dyDescent="0.25">
      <c r="A4" s="13" t="s">
        <v>29</v>
      </c>
      <c r="C4" s="28">
        <v>1051</v>
      </c>
    </row>
    <row r="5" spans="1:8" ht="21" x14ac:dyDescent="0.35">
      <c r="A5" s="2" t="s">
        <v>2</v>
      </c>
    </row>
    <row r="7" spans="1:8" ht="18.75" x14ac:dyDescent="0.3">
      <c r="A7" s="5"/>
      <c r="D7" s="4"/>
      <c r="H7" s="4"/>
    </row>
    <row r="8" spans="1:8" ht="18.75" x14ac:dyDescent="0.3">
      <c r="A8" s="5"/>
      <c r="D8" s="4"/>
      <c r="H8" s="4"/>
    </row>
    <row r="9" spans="1:8" ht="18.75" x14ac:dyDescent="0.3">
      <c r="A9" s="5"/>
      <c r="B9" s="5"/>
      <c r="C9" s="5"/>
      <c r="D9" s="4"/>
      <c r="H9" s="4"/>
    </row>
    <row r="10" spans="1:8" ht="18.75" x14ac:dyDescent="0.3">
      <c r="A10" s="5" t="s">
        <v>167</v>
      </c>
      <c r="B10" s="5"/>
      <c r="C10" s="5"/>
      <c r="D10" s="4">
        <v>12000</v>
      </c>
      <c r="H10" s="4">
        <f>(D10/1.19)*0.19</f>
        <v>1915.966386554622</v>
      </c>
    </row>
    <row r="11" spans="1:8" ht="18.75" x14ac:dyDescent="0.3">
      <c r="A11" s="5"/>
      <c r="B11" s="5"/>
      <c r="C11" s="5"/>
      <c r="D11" s="4"/>
      <c r="H11" s="4">
        <f t="shared" ref="H11" si="0">(D11/1.19)*0.19</f>
        <v>0</v>
      </c>
    </row>
    <row r="12" spans="1:8" ht="18.75" x14ac:dyDescent="0.3">
      <c r="A12" s="5"/>
      <c r="B12" s="5"/>
      <c r="C12" s="5"/>
      <c r="D12" s="4"/>
      <c r="H12" s="4"/>
    </row>
    <row r="13" spans="1:8" ht="19.5" thickBot="1" x14ac:dyDescent="0.35">
      <c r="A13" s="5"/>
      <c r="B13" s="5"/>
      <c r="C13" s="5"/>
      <c r="D13" s="35"/>
      <c r="E13" s="27"/>
      <c r="H13" s="35"/>
    </row>
    <row r="14" spans="1:8" ht="19.5" thickTop="1" x14ac:dyDescent="0.3">
      <c r="D14" s="4">
        <f>SUM(D7:D13)</f>
        <v>12000</v>
      </c>
      <c r="H14" s="33">
        <f>SUM(H7:H13)</f>
        <v>1915.966386554622</v>
      </c>
    </row>
    <row r="16" spans="1:8" ht="18.75" x14ac:dyDescent="0.3">
      <c r="C16" t="s">
        <v>4</v>
      </c>
      <c r="D16" s="4">
        <f>D3-D14</f>
        <v>42145</v>
      </c>
      <c r="G16" t="s">
        <v>5</v>
      </c>
      <c r="H16" s="4">
        <f>H3-H14</f>
        <v>6729.0336134453783</v>
      </c>
    </row>
    <row r="18" spans="1:8" x14ac:dyDescent="0.25">
      <c r="G18" t="s">
        <v>454</v>
      </c>
    </row>
    <row r="19" spans="1:8" ht="15.75" x14ac:dyDescent="0.25">
      <c r="A19" t="s">
        <v>6</v>
      </c>
      <c r="C19" s="8">
        <f>D16</f>
        <v>42145</v>
      </c>
      <c r="E19" t="s">
        <v>10</v>
      </c>
      <c r="H19" s="6">
        <f>C28</f>
        <v>35199.386386554623</v>
      </c>
    </row>
    <row r="21" spans="1:8" ht="15.75" x14ac:dyDescent="0.25">
      <c r="A21" t="s">
        <v>5</v>
      </c>
      <c r="B21" s="9" t="s">
        <v>7</v>
      </c>
      <c r="C21" s="8">
        <f>H16</f>
        <v>6729.0336134453783</v>
      </c>
      <c r="E21" s="13" t="s">
        <v>11</v>
      </c>
      <c r="F21" s="9" t="s">
        <v>12</v>
      </c>
      <c r="G21" s="15" t="s">
        <v>17</v>
      </c>
      <c r="H21" s="3">
        <f>-(F22*0.0077)</f>
        <v>-350.35</v>
      </c>
    </row>
    <row r="22" spans="1:8" x14ac:dyDescent="0.25">
      <c r="F22" s="21">
        <f>D3-H3</f>
        <v>45500</v>
      </c>
    </row>
    <row r="23" spans="1:8" ht="16.5" thickBot="1" x14ac:dyDescent="0.3">
      <c r="A23" t="s">
        <v>8</v>
      </c>
      <c r="B23" s="9" t="s">
        <v>7</v>
      </c>
      <c r="C23" s="8">
        <f>D3*0.004</f>
        <v>216.58</v>
      </c>
      <c r="F23" s="9" t="s">
        <v>13</v>
      </c>
      <c r="G23" s="16">
        <v>0.35</v>
      </c>
      <c r="H23" s="17">
        <f>-(F24*0.35)</f>
        <v>-12319.785235294117</v>
      </c>
    </row>
    <row r="24" spans="1:8" x14ac:dyDescent="0.25">
      <c r="F24" s="21">
        <f>H19</f>
        <v>35199.386386554623</v>
      </c>
    </row>
    <row r="25" spans="1:8" x14ac:dyDescent="0.25">
      <c r="A25" t="s">
        <v>9</v>
      </c>
      <c r="B25" s="9" t="s">
        <v>7</v>
      </c>
      <c r="G25" s="13" t="s">
        <v>14</v>
      </c>
      <c r="H25" s="6">
        <f>H19+H21+H23</f>
        <v>22529.251151260505</v>
      </c>
    </row>
    <row r="26" spans="1:8" ht="15.75" thickBot="1" x14ac:dyDescent="0.3">
      <c r="A26" s="38" t="s">
        <v>638</v>
      </c>
      <c r="B26" s="14"/>
      <c r="C26" s="7"/>
    </row>
    <row r="27" spans="1:8" x14ac:dyDescent="0.25">
      <c r="E27" t="s">
        <v>100</v>
      </c>
      <c r="H27" s="20">
        <f>H25*0.4</f>
        <v>9011.7004605042021</v>
      </c>
    </row>
    <row r="28" spans="1:8" ht="15.75" x14ac:dyDescent="0.25">
      <c r="A28" t="s">
        <v>10</v>
      </c>
      <c r="C28" s="10">
        <f>C19-C21-C23-C25</f>
        <v>35199.386386554623</v>
      </c>
      <c r="H28" s="18"/>
    </row>
    <row r="29" spans="1:8" x14ac:dyDescent="0.25">
      <c r="H29" s="3"/>
    </row>
    <row r="30" spans="1:8" x14ac:dyDescent="0.25">
      <c r="H30" s="18"/>
    </row>
  </sheetData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28436-D4AB-4A9A-8FD5-A75F2A8339AD}">
  <dimension ref="A1:H30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707</v>
      </c>
    </row>
    <row r="3" spans="1:8" ht="21" x14ac:dyDescent="0.35">
      <c r="A3" s="2" t="s">
        <v>1</v>
      </c>
      <c r="D3" s="11">
        <v>1853425</v>
      </c>
      <c r="F3" s="12" t="s">
        <v>3</v>
      </c>
      <c r="H3" s="11">
        <f>(D3/1.19)*0.19</f>
        <v>295925</v>
      </c>
    </row>
    <row r="4" spans="1:8" x14ac:dyDescent="0.25">
      <c r="A4" s="13" t="s">
        <v>29</v>
      </c>
      <c r="C4" s="28">
        <v>1052</v>
      </c>
    </row>
    <row r="5" spans="1:8" ht="21" x14ac:dyDescent="0.35">
      <c r="A5" s="2" t="s">
        <v>2</v>
      </c>
    </row>
    <row r="7" spans="1:8" ht="18.75" x14ac:dyDescent="0.3">
      <c r="A7" s="5"/>
      <c r="D7" s="4"/>
      <c r="H7" s="4"/>
    </row>
    <row r="8" spans="1:8" ht="18.75" x14ac:dyDescent="0.3">
      <c r="A8" s="5"/>
      <c r="D8" s="4"/>
      <c r="H8" s="4"/>
    </row>
    <row r="9" spans="1:8" ht="18.75" x14ac:dyDescent="0.3">
      <c r="A9" s="5"/>
      <c r="B9" s="5"/>
      <c r="C9" s="5"/>
      <c r="D9" s="4"/>
      <c r="H9" s="4"/>
    </row>
    <row r="10" spans="1:8" ht="18.75" x14ac:dyDescent="0.3">
      <c r="A10" s="5" t="s">
        <v>167</v>
      </c>
      <c r="B10" s="5"/>
      <c r="C10" s="5"/>
      <c r="D10" s="4">
        <v>1150000</v>
      </c>
      <c r="H10" s="4"/>
    </row>
    <row r="11" spans="1:8" ht="18.75" x14ac:dyDescent="0.3">
      <c r="A11" s="5"/>
      <c r="B11" s="5"/>
      <c r="C11" s="5"/>
      <c r="D11" s="4"/>
      <c r="H11" s="4">
        <f t="shared" ref="H11" si="0">(D11/1.19)*0.19</f>
        <v>0</v>
      </c>
    </row>
    <row r="12" spans="1:8" ht="18.75" x14ac:dyDescent="0.3">
      <c r="A12" s="5"/>
      <c r="B12" s="5"/>
      <c r="C12" s="5"/>
      <c r="D12" s="4"/>
      <c r="H12" s="4"/>
    </row>
    <row r="13" spans="1:8" ht="19.5" thickBot="1" x14ac:dyDescent="0.35">
      <c r="A13" s="5"/>
      <c r="B13" s="5"/>
      <c r="C13" s="5"/>
      <c r="D13" s="35"/>
      <c r="E13" s="27"/>
      <c r="H13" s="35"/>
    </row>
    <row r="14" spans="1:8" ht="19.5" thickTop="1" x14ac:dyDescent="0.3">
      <c r="D14" s="4">
        <f>SUM(D7:D13)</f>
        <v>1150000</v>
      </c>
      <c r="H14" s="33">
        <f>SUM(H7:H13)</f>
        <v>0</v>
      </c>
    </row>
    <row r="16" spans="1:8" ht="18.75" x14ac:dyDescent="0.3">
      <c r="C16" t="s">
        <v>4</v>
      </c>
      <c r="D16" s="4">
        <f>D3-D14</f>
        <v>703425</v>
      </c>
      <c r="G16" t="s">
        <v>5</v>
      </c>
      <c r="H16" s="4">
        <f>H3-H14</f>
        <v>295925</v>
      </c>
    </row>
    <row r="18" spans="1:8" x14ac:dyDescent="0.25">
      <c r="G18" t="s">
        <v>454</v>
      </c>
    </row>
    <row r="19" spans="1:8" ht="15.75" x14ac:dyDescent="0.25">
      <c r="A19" t="s">
        <v>6</v>
      </c>
      <c r="C19" s="8">
        <f>D16</f>
        <v>703425</v>
      </c>
      <c r="E19" t="s">
        <v>10</v>
      </c>
      <c r="H19" s="6">
        <f>C28</f>
        <v>400086.3</v>
      </c>
    </row>
    <row r="21" spans="1:8" ht="15.75" x14ac:dyDescent="0.25">
      <c r="A21" t="s">
        <v>5</v>
      </c>
      <c r="B21" s="9" t="s">
        <v>7</v>
      </c>
      <c r="C21" s="8">
        <f>H16</f>
        <v>295925</v>
      </c>
      <c r="E21" s="13" t="s">
        <v>11</v>
      </c>
      <c r="F21" s="9" t="s">
        <v>12</v>
      </c>
      <c r="G21" s="15" t="s">
        <v>17</v>
      </c>
      <c r="H21" s="3">
        <f>-(F22*0.0077)</f>
        <v>-11992.75</v>
      </c>
    </row>
    <row r="22" spans="1:8" x14ac:dyDescent="0.25">
      <c r="F22" s="21">
        <f>D3-H3</f>
        <v>1557500</v>
      </c>
    </row>
    <row r="23" spans="1:8" ht="16.5" thickBot="1" x14ac:dyDescent="0.3">
      <c r="A23" t="s">
        <v>8</v>
      </c>
      <c r="B23" s="9" t="s">
        <v>7</v>
      </c>
      <c r="C23" s="8">
        <f>D3*0.004</f>
        <v>7413.7</v>
      </c>
      <c r="F23" s="9" t="s">
        <v>13</v>
      </c>
      <c r="G23" s="16">
        <v>0.35</v>
      </c>
      <c r="H23" s="17">
        <f>-(F24*0.35)</f>
        <v>-140030.20499999999</v>
      </c>
    </row>
    <row r="24" spans="1:8" x14ac:dyDescent="0.25">
      <c r="F24" s="21">
        <f>H19</f>
        <v>400086.3</v>
      </c>
    </row>
    <row r="25" spans="1:8" x14ac:dyDescent="0.25">
      <c r="A25" t="s">
        <v>9</v>
      </c>
      <c r="B25" s="9" t="s">
        <v>7</v>
      </c>
      <c r="G25" s="13" t="s">
        <v>14</v>
      </c>
      <c r="H25" s="6">
        <f>H19+H21+H23</f>
        <v>248063.345</v>
      </c>
    </row>
    <row r="26" spans="1:8" ht="15.75" thickBot="1" x14ac:dyDescent="0.3">
      <c r="A26" s="38" t="s">
        <v>638</v>
      </c>
      <c r="B26" s="14"/>
      <c r="C26" s="7"/>
    </row>
    <row r="27" spans="1:8" x14ac:dyDescent="0.25">
      <c r="E27" t="s">
        <v>100</v>
      </c>
      <c r="H27" s="20">
        <f>H25*0.4</f>
        <v>99225.338000000003</v>
      </c>
    </row>
    <row r="28" spans="1:8" ht="15.75" x14ac:dyDescent="0.25">
      <c r="A28" t="s">
        <v>10</v>
      </c>
      <c r="C28" s="10">
        <f>C19-C21-C23-C25</f>
        <v>400086.3</v>
      </c>
      <c r="H28" s="18"/>
    </row>
    <row r="29" spans="1:8" x14ac:dyDescent="0.25">
      <c r="H29" s="3"/>
    </row>
    <row r="30" spans="1:8" x14ac:dyDescent="0.25">
      <c r="H30" s="18"/>
    </row>
  </sheetData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9E50F-A975-4AE1-9296-1344EFE7F357}">
  <dimension ref="A1:H30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708</v>
      </c>
    </row>
    <row r="3" spans="1:8" ht="21" x14ac:dyDescent="0.35">
      <c r="A3" s="2" t="s">
        <v>1</v>
      </c>
      <c r="D3" s="11">
        <v>1130500</v>
      </c>
      <c r="F3" s="12" t="s">
        <v>3</v>
      </c>
      <c r="H3" s="11">
        <f>(D3/1.19)*0.19</f>
        <v>180500</v>
      </c>
    </row>
    <row r="4" spans="1:8" x14ac:dyDescent="0.25">
      <c r="A4" s="13" t="s">
        <v>29</v>
      </c>
      <c r="C4" s="28">
        <v>1060</v>
      </c>
    </row>
    <row r="5" spans="1:8" ht="21" x14ac:dyDescent="0.35">
      <c r="A5" s="2" t="s">
        <v>2</v>
      </c>
    </row>
    <row r="7" spans="1:8" ht="18.75" x14ac:dyDescent="0.3">
      <c r="A7" s="5"/>
      <c r="D7" s="4"/>
      <c r="H7" s="4"/>
    </row>
    <row r="8" spans="1:8" ht="18.75" x14ac:dyDescent="0.3">
      <c r="A8" s="5"/>
      <c r="D8" s="4"/>
      <c r="H8" s="4"/>
    </row>
    <row r="9" spans="1:8" ht="18.75" x14ac:dyDescent="0.3">
      <c r="A9" s="5"/>
      <c r="B9" s="5"/>
      <c r="C9" s="5"/>
      <c r="D9" s="4"/>
      <c r="H9" s="4"/>
    </row>
    <row r="10" spans="1:8" ht="18.75" x14ac:dyDescent="0.3">
      <c r="A10" s="5" t="s">
        <v>167</v>
      </c>
      <c r="B10" s="5"/>
      <c r="C10" s="5"/>
      <c r="D10" s="4">
        <v>650000</v>
      </c>
      <c r="H10" s="4"/>
    </row>
    <row r="11" spans="1:8" ht="18.75" x14ac:dyDescent="0.3">
      <c r="A11" s="5"/>
      <c r="B11" s="5"/>
      <c r="C11" s="5"/>
      <c r="D11" s="4"/>
      <c r="H11" s="4">
        <f t="shared" ref="H11" si="0">(D11/1.19)*0.19</f>
        <v>0</v>
      </c>
    </row>
    <row r="12" spans="1:8" ht="18.75" x14ac:dyDescent="0.3">
      <c r="A12" s="5"/>
      <c r="B12" s="5"/>
      <c r="C12" s="5"/>
      <c r="D12" s="4"/>
      <c r="H12" s="4"/>
    </row>
    <row r="13" spans="1:8" ht="19.5" thickBot="1" x14ac:dyDescent="0.35">
      <c r="A13" s="5"/>
      <c r="B13" s="5"/>
      <c r="C13" s="5"/>
      <c r="D13" s="35"/>
      <c r="E13" s="27"/>
      <c r="H13" s="35"/>
    </row>
    <row r="14" spans="1:8" ht="19.5" thickTop="1" x14ac:dyDescent="0.3">
      <c r="D14" s="4">
        <f>SUM(D7:D13)</f>
        <v>650000</v>
      </c>
      <c r="H14" s="33">
        <f>SUM(H7:H13)</f>
        <v>0</v>
      </c>
    </row>
    <row r="16" spans="1:8" ht="18.75" x14ac:dyDescent="0.3">
      <c r="C16" t="s">
        <v>4</v>
      </c>
      <c r="D16" s="4">
        <f>D3-D14</f>
        <v>480500</v>
      </c>
      <c r="G16" t="s">
        <v>5</v>
      </c>
      <c r="H16" s="4">
        <f>H3-H14</f>
        <v>180500</v>
      </c>
    </row>
    <row r="18" spans="1:8" x14ac:dyDescent="0.25">
      <c r="G18" t="s">
        <v>454</v>
      </c>
    </row>
    <row r="19" spans="1:8" ht="15.75" x14ac:dyDescent="0.25">
      <c r="A19" t="s">
        <v>6</v>
      </c>
      <c r="C19" s="8">
        <f>D16</f>
        <v>480500</v>
      </c>
      <c r="E19" t="s">
        <v>10</v>
      </c>
      <c r="H19" s="6">
        <f>C28</f>
        <v>295478</v>
      </c>
    </row>
    <row r="21" spans="1:8" ht="15.75" x14ac:dyDescent="0.25">
      <c r="A21" t="s">
        <v>5</v>
      </c>
      <c r="B21" s="9" t="s">
        <v>7</v>
      </c>
      <c r="C21" s="8">
        <f>H16</f>
        <v>180500</v>
      </c>
      <c r="E21" s="13" t="s">
        <v>11</v>
      </c>
      <c r="F21" s="9" t="s">
        <v>12</v>
      </c>
      <c r="G21" s="15" t="s">
        <v>17</v>
      </c>
      <c r="H21" s="3">
        <f>-(F22*0.0077)</f>
        <v>-7315</v>
      </c>
    </row>
    <row r="22" spans="1:8" x14ac:dyDescent="0.25">
      <c r="F22" s="21">
        <f>D3-H3</f>
        <v>950000</v>
      </c>
    </row>
    <row r="23" spans="1:8" ht="16.5" thickBot="1" x14ac:dyDescent="0.3">
      <c r="A23" t="s">
        <v>8</v>
      </c>
      <c r="B23" s="9" t="s">
        <v>7</v>
      </c>
      <c r="C23" s="8">
        <f>D3*0.004</f>
        <v>4522</v>
      </c>
      <c r="F23" s="9" t="s">
        <v>13</v>
      </c>
      <c r="G23" s="16">
        <v>0.35</v>
      </c>
      <c r="H23" s="17">
        <f>-(F24*0.35)</f>
        <v>-103417.29999999999</v>
      </c>
    </row>
    <row r="24" spans="1:8" x14ac:dyDescent="0.25">
      <c r="F24" s="21">
        <f>H19</f>
        <v>295478</v>
      </c>
    </row>
    <row r="25" spans="1:8" x14ac:dyDescent="0.25">
      <c r="A25" t="s">
        <v>9</v>
      </c>
      <c r="B25" s="9" t="s">
        <v>7</v>
      </c>
      <c r="G25" s="13" t="s">
        <v>14</v>
      </c>
      <c r="H25" s="6">
        <f>H19+H21+H23</f>
        <v>184745.7</v>
      </c>
    </row>
    <row r="26" spans="1:8" ht="15.75" thickBot="1" x14ac:dyDescent="0.3">
      <c r="A26" s="38" t="s">
        <v>638</v>
      </c>
      <c r="B26" s="14"/>
      <c r="C26" s="7"/>
    </row>
    <row r="27" spans="1:8" x14ac:dyDescent="0.25">
      <c r="E27" t="s">
        <v>100</v>
      </c>
      <c r="H27" s="20">
        <f>H25*0.4</f>
        <v>73898.280000000013</v>
      </c>
    </row>
    <row r="28" spans="1:8" ht="15.75" x14ac:dyDescent="0.25">
      <c r="A28" t="s">
        <v>10</v>
      </c>
      <c r="C28" s="10">
        <f>C19-C21-C23-C25</f>
        <v>295478</v>
      </c>
      <c r="H28" s="18"/>
    </row>
    <row r="29" spans="1:8" x14ac:dyDescent="0.25">
      <c r="H29" s="3"/>
    </row>
    <row r="30" spans="1:8" x14ac:dyDescent="0.25">
      <c r="H30" s="18"/>
    </row>
  </sheetData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9E1D8-3777-4F36-AF4D-79021D2EAB77}">
  <dimension ref="A1:H30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709</v>
      </c>
    </row>
    <row r="3" spans="1:8" ht="21" x14ac:dyDescent="0.35">
      <c r="A3" s="2" t="s">
        <v>1</v>
      </c>
      <c r="D3" s="11">
        <v>56525</v>
      </c>
      <c r="F3" s="12" t="s">
        <v>3</v>
      </c>
      <c r="H3" s="11">
        <f>(D3/1.19)*0.19</f>
        <v>9025</v>
      </c>
    </row>
    <row r="4" spans="1:8" x14ac:dyDescent="0.25">
      <c r="A4" s="13" t="s">
        <v>29</v>
      </c>
      <c r="C4" s="28">
        <v>1066</v>
      </c>
    </row>
    <row r="5" spans="1:8" ht="21" x14ac:dyDescent="0.35">
      <c r="A5" s="2" t="s">
        <v>2</v>
      </c>
    </row>
    <row r="7" spans="1:8" ht="18.75" x14ac:dyDescent="0.3">
      <c r="A7" s="5"/>
      <c r="D7" s="4"/>
      <c r="H7" s="4"/>
    </row>
    <row r="8" spans="1:8" ht="18.75" x14ac:dyDescent="0.3">
      <c r="A8" s="5"/>
      <c r="D8" s="4"/>
      <c r="H8" s="4"/>
    </row>
    <row r="9" spans="1:8" ht="18.75" x14ac:dyDescent="0.3">
      <c r="A9" s="5"/>
      <c r="B9" s="5"/>
      <c r="C9" s="5"/>
      <c r="D9" s="4"/>
      <c r="H9" s="4"/>
    </row>
    <row r="10" spans="1:8" ht="18.75" x14ac:dyDescent="0.3">
      <c r="C10" s="5"/>
      <c r="D10" s="4"/>
      <c r="H10" s="4"/>
    </row>
    <row r="11" spans="1:8" ht="18.75" x14ac:dyDescent="0.3">
      <c r="A11" s="5" t="s">
        <v>167</v>
      </c>
      <c r="B11" s="5"/>
      <c r="C11" s="5"/>
      <c r="D11" s="4">
        <v>32850</v>
      </c>
      <c r="H11" s="4">
        <f t="shared" ref="H11" si="0">(D11/1.19)*0.19</f>
        <v>5244.9579831932779</v>
      </c>
    </row>
    <row r="12" spans="1:8" ht="18.75" x14ac:dyDescent="0.3">
      <c r="A12" s="5"/>
      <c r="B12" s="5"/>
      <c r="C12" s="5"/>
      <c r="D12" s="4"/>
      <c r="H12" s="4"/>
    </row>
    <row r="13" spans="1:8" ht="19.5" thickBot="1" x14ac:dyDescent="0.35">
      <c r="A13" s="5"/>
      <c r="B13" s="5"/>
      <c r="C13" s="5"/>
      <c r="D13" s="35"/>
      <c r="E13" s="27"/>
      <c r="H13" s="35"/>
    </row>
    <row r="14" spans="1:8" ht="19.5" thickTop="1" x14ac:dyDescent="0.3">
      <c r="D14" s="4">
        <f>SUM(D7:D13)</f>
        <v>32850</v>
      </c>
      <c r="H14" s="33">
        <f>SUM(H7:H13)</f>
        <v>5244.9579831932779</v>
      </c>
    </row>
    <row r="16" spans="1:8" ht="18.75" x14ac:dyDescent="0.3">
      <c r="C16" t="s">
        <v>4</v>
      </c>
      <c r="D16" s="4">
        <f>D3-D14</f>
        <v>23675</v>
      </c>
      <c r="G16" t="s">
        <v>5</v>
      </c>
      <c r="H16" s="4">
        <f>H3-H14</f>
        <v>3780.0420168067221</v>
      </c>
    </row>
    <row r="18" spans="1:8" x14ac:dyDescent="0.25">
      <c r="G18" t="s">
        <v>454</v>
      </c>
    </row>
    <row r="19" spans="1:8" ht="15.75" x14ac:dyDescent="0.25">
      <c r="A19" t="s">
        <v>6</v>
      </c>
      <c r="C19" s="8">
        <f>D16</f>
        <v>23675</v>
      </c>
      <c r="E19" t="s">
        <v>10</v>
      </c>
      <c r="H19" s="6">
        <f>C28</f>
        <v>19668.85798319328</v>
      </c>
    </row>
    <row r="21" spans="1:8" ht="15.75" x14ac:dyDescent="0.25">
      <c r="A21" t="s">
        <v>5</v>
      </c>
      <c r="B21" s="9" t="s">
        <v>7</v>
      </c>
      <c r="C21" s="8">
        <f>H16</f>
        <v>3780.0420168067221</v>
      </c>
      <c r="E21" s="13" t="s">
        <v>11</v>
      </c>
      <c r="F21" s="9" t="s">
        <v>12</v>
      </c>
      <c r="G21" s="15" t="s">
        <v>17</v>
      </c>
      <c r="H21" s="3">
        <f>-(F22*0.0077)</f>
        <v>-365.75</v>
      </c>
    </row>
    <row r="22" spans="1:8" x14ac:dyDescent="0.25">
      <c r="F22" s="21">
        <f>D3-H3</f>
        <v>47500</v>
      </c>
    </row>
    <row r="23" spans="1:8" ht="16.5" thickBot="1" x14ac:dyDescent="0.3">
      <c r="A23" t="s">
        <v>8</v>
      </c>
      <c r="B23" s="9" t="s">
        <v>7</v>
      </c>
      <c r="C23" s="8">
        <f>D3*0.004</f>
        <v>226.1</v>
      </c>
      <c r="F23" s="9" t="s">
        <v>13</v>
      </c>
      <c r="G23" s="16">
        <v>0.35</v>
      </c>
      <c r="H23" s="17">
        <f>-(F24*0.35)</f>
        <v>-6884.1002941176475</v>
      </c>
    </row>
    <row r="24" spans="1:8" x14ac:dyDescent="0.25">
      <c r="F24" s="21">
        <f>H19</f>
        <v>19668.85798319328</v>
      </c>
    </row>
    <row r="25" spans="1:8" x14ac:dyDescent="0.25">
      <c r="A25" t="s">
        <v>9</v>
      </c>
      <c r="B25" s="9" t="s">
        <v>7</v>
      </c>
      <c r="G25" s="13" t="s">
        <v>14</v>
      </c>
      <c r="H25" s="6">
        <f>H19+H21+H23</f>
        <v>12419.007689075632</v>
      </c>
    </row>
    <row r="26" spans="1:8" ht="15.75" thickBot="1" x14ac:dyDescent="0.3">
      <c r="A26" s="38" t="s">
        <v>638</v>
      </c>
      <c r="B26" s="14"/>
      <c r="C26" s="7"/>
    </row>
    <row r="27" spans="1:8" x14ac:dyDescent="0.25">
      <c r="E27" t="s">
        <v>100</v>
      </c>
      <c r="H27" s="20">
        <f>H25*0.4</f>
        <v>4967.6030756302534</v>
      </c>
    </row>
    <row r="28" spans="1:8" ht="15.75" x14ac:dyDescent="0.25">
      <c r="A28" t="s">
        <v>10</v>
      </c>
      <c r="C28" s="10">
        <f>C19-C21-C23-C25</f>
        <v>19668.85798319328</v>
      </c>
      <c r="H28" s="18"/>
    </row>
    <row r="29" spans="1:8" x14ac:dyDescent="0.25">
      <c r="H29" s="3"/>
    </row>
    <row r="30" spans="1:8" x14ac:dyDescent="0.25">
      <c r="H30" s="18"/>
    </row>
  </sheetData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60A81-BF18-4804-A2D1-1A12B5A52049}">
  <dimension ref="A1:H30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710</v>
      </c>
    </row>
    <row r="3" spans="1:8" ht="21" x14ac:dyDescent="0.35">
      <c r="A3" s="2" t="s">
        <v>1</v>
      </c>
      <c r="D3" s="11">
        <v>80000</v>
      </c>
      <c r="F3" s="12" t="s">
        <v>3</v>
      </c>
      <c r="H3" s="11">
        <f>(D3/1.19)*0.19</f>
        <v>12773.10924369748</v>
      </c>
    </row>
    <row r="4" spans="1:8" x14ac:dyDescent="0.25">
      <c r="A4" s="13" t="s">
        <v>29</v>
      </c>
      <c r="C4" s="28">
        <v>1068</v>
      </c>
    </row>
    <row r="5" spans="1:8" ht="21" x14ac:dyDescent="0.35">
      <c r="A5" s="2" t="s">
        <v>2</v>
      </c>
    </row>
    <row r="7" spans="1:8" ht="18.75" x14ac:dyDescent="0.3">
      <c r="A7" s="5"/>
      <c r="D7" s="4"/>
      <c r="H7" s="4"/>
    </row>
    <row r="8" spans="1:8" ht="18.75" x14ac:dyDescent="0.3">
      <c r="A8" s="5"/>
      <c r="D8" s="4"/>
      <c r="H8" s="4"/>
    </row>
    <row r="9" spans="1:8" ht="18.75" x14ac:dyDescent="0.3">
      <c r="A9" s="5"/>
      <c r="B9" s="5"/>
      <c r="C9" s="5"/>
      <c r="D9" s="4"/>
      <c r="H9" s="4"/>
    </row>
    <row r="10" spans="1:8" ht="18.75" x14ac:dyDescent="0.3">
      <c r="C10" s="5"/>
      <c r="D10" s="4"/>
      <c r="H10" s="4"/>
    </row>
    <row r="11" spans="1:8" ht="18.75" x14ac:dyDescent="0.3">
      <c r="A11" s="5" t="s">
        <v>167</v>
      </c>
      <c r="B11" s="5"/>
      <c r="C11" s="5"/>
      <c r="D11" s="4">
        <v>26600</v>
      </c>
      <c r="H11" s="4">
        <f t="shared" ref="H11" si="0">(D11/1.19)*0.19</f>
        <v>4247.0588235294126</v>
      </c>
    </row>
    <row r="12" spans="1:8" ht="18.75" x14ac:dyDescent="0.3">
      <c r="A12" s="5"/>
      <c r="B12" s="5"/>
      <c r="C12" s="5"/>
      <c r="D12" s="4"/>
      <c r="H12" s="4"/>
    </row>
    <row r="13" spans="1:8" ht="19.5" thickBot="1" x14ac:dyDescent="0.35">
      <c r="A13" s="5"/>
      <c r="B13" s="5"/>
      <c r="C13" s="5"/>
      <c r="D13" s="35"/>
      <c r="E13" s="27"/>
      <c r="H13" s="35"/>
    </row>
    <row r="14" spans="1:8" ht="19.5" thickTop="1" x14ac:dyDescent="0.3">
      <c r="D14" s="4">
        <f>SUM(D7:D13)</f>
        <v>26600</v>
      </c>
      <c r="H14" s="33">
        <f>SUM(H7:H13)</f>
        <v>4247.0588235294126</v>
      </c>
    </row>
    <row r="16" spans="1:8" ht="18.75" x14ac:dyDescent="0.3">
      <c r="C16" t="s">
        <v>4</v>
      </c>
      <c r="D16" s="4">
        <f>D3-D14</f>
        <v>53400</v>
      </c>
      <c r="G16" t="s">
        <v>5</v>
      </c>
      <c r="H16" s="4">
        <f>H3-H14</f>
        <v>8526.0504201680669</v>
      </c>
    </row>
    <row r="18" spans="1:8" x14ac:dyDescent="0.25">
      <c r="G18" t="s">
        <v>454</v>
      </c>
    </row>
    <row r="19" spans="1:8" ht="15.75" x14ac:dyDescent="0.25">
      <c r="A19" t="s">
        <v>6</v>
      </c>
      <c r="C19" s="8">
        <f>D16</f>
        <v>53400</v>
      </c>
      <c r="E19" t="s">
        <v>10</v>
      </c>
      <c r="H19" s="6">
        <f>C28</f>
        <v>44553.949579831933</v>
      </c>
    </row>
    <row r="21" spans="1:8" ht="15.75" x14ac:dyDescent="0.25">
      <c r="A21" t="s">
        <v>5</v>
      </c>
      <c r="B21" s="9" t="s">
        <v>7</v>
      </c>
      <c r="C21" s="8">
        <f>H16</f>
        <v>8526.0504201680669</v>
      </c>
      <c r="E21" s="13" t="s">
        <v>11</v>
      </c>
      <c r="F21" s="9" t="s">
        <v>12</v>
      </c>
      <c r="G21" s="15" t="s">
        <v>17</v>
      </c>
      <c r="H21" s="3">
        <f>-(F22*0.0077)</f>
        <v>-517.64705882352939</v>
      </c>
    </row>
    <row r="22" spans="1:8" x14ac:dyDescent="0.25">
      <c r="F22" s="21">
        <f>D3-H3</f>
        <v>67226.890756302513</v>
      </c>
    </row>
    <row r="23" spans="1:8" ht="16.5" thickBot="1" x14ac:dyDescent="0.3">
      <c r="A23" t="s">
        <v>8</v>
      </c>
      <c r="B23" s="9" t="s">
        <v>7</v>
      </c>
      <c r="C23" s="8">
        <f>D3*0.004</f>
        <v>320</v>
      </c>
      <c r="F23" s="9" t="s">
        <v>13</v>
      </c>
      <c r="G23" s="16">
        <v>0.35</v>
      </c>
      <c r="H23" s="17">
        <f>-(F24*0.35)</f>
        <v>-15593.882352941175</v>
      </c>
    </row>
    <row r="24" spans="1:8" x14ac:dyDescent="0.25">
      <c r="F24" s="21">
        <f>H19</f>
        <v>44553.949579831933</v>
      </c>
    </row>
    <row r="25" spans="1:8" x14ac:dyDescent="0.25">
      <c r="A25" t="s">
        <v>9</v>
      </c>
      <c r="B25" s="9" t="s">
        <v>7</v>
      </c>
      <c r="G25" s="13" t="s">
        <v>14</v>
      </c>
      <c r="H25" s="6">
        <f>H19+H21+H23</f>
        <v>28442.420168067227</v>
      </c>
    </row>
    <row r="26" spans="1:8" ht="15.75" thickBot="1" x14ac:dyDescent="0.3">
      <c r="A26" s="38" t="s">
        <v>638</v>
      </c>
      <c r="B26" s="14"/>
      <c r="C26" s="7"/>
    </row>
    <row r="27" spans="1:8" x14ac:dyDescent="0.25">
      <c r="E27" t="s">
        <v>100</v>
      </c>
      <c r="H27" s="20">
        <f>H25*0.4</f>
        <v>11376.968067226891</v>
      </c>
    </row>
    <row r="28" spans="1:8" ht="15.75" x14ac:dyDescent="0.25">
      <c r="A28" t="s">
        <v>10</v>
      </c>
      <c r="C28" s="10">
        <f>C19-C21-C23-C25</f>
        <v>44553.949579831933</v>
      </c>
      <c r="H28" s="18"/>
    </row>
    <row r="29" spans="1:8" x14ac:dyDescent="0.25">
      <c r="H29" s="3"/>
    </row>
    <row r="30" spans="1:8" x14ac:dyDescent="0.25">
      <c r="H30" s="18"/>
    </row>
  </sheetData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39687-931D-4BA4-872F-C1CF30280E3B}">
  <dimension ref="A1:H30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711</v>
      </c>
    </row>
    <row r="3" spans="1:8" ht="21" x14ac:dyDescent="0.35">
      <c r="A3" s="2" t="s">
        <v>1</v>
      </c>
      <c r="D3" s="11">
        <v>70934</v>
      </c>
      <c r="F3" s="12" t="s">
        <v>3</v>
      </c>
      <c r="H3" s="11">
        <f>(D3/1.19)*0.19</f>
        <v>11325.596638655463</v>
      </c>
    </row>
    <row r="4" spans="1:8" x14ac:dyDescent="0.25">
      <c r="A4" s="13" t="s">
        <v>29</v>
      </c>
      <c r="C4" s="28">
        <v>1070</v>
      </c>
    </row>
    <row r="5" spans="1:8" ht="21" x14ac:dyDescent="0.35">
      <c r="A5" s="2" t="s">
        <v>2</v>
      </c>
    </row>
    <row r="7" spans="1:8" ht="18.75" x14ac:dyDescent="0.3">
      <c r="A7" s="5"/>
      <c r="D7" s="4"/>
      <c r="H7" s="4"/>
    </row>
    <row r="8" spans="1:8" ht="18.75" x14ac:dyDescent="0.3">
      <c r="A8" s="5"/>
      <c r="D8" s="4"/>
      <c r="H8" s="4"/>
    </row>
    <row r="9" spans="1:8" ht="18.75" x14ac:dyDescent="0.3">
      <c r="A9" s="5"/>
      <c r="B9" s="5"/>
      <c r="C9" s="5"/>
      <c r="D9" s="4"/>
      <c r="H9" s="4"/>
    </row>
    <row r="10" spans="1:8" ht="18.75" x14ac:dyDescent="0.3">
      <c r="C10" s="5"/>
      <c r="D10" s="4"/>
      <c r="H10" s="4"/>
    </row>
    <row r="11" spans="1:8" ht="18.75" x14ac:dyDescent="0.3">
      <c r="A11" s="5" t="s">
        <v>167</v>
      </c>
      <c r="B11" s="5"/>
      <c r="C11" s="5"/>
      <c r="D11" s="4">
        <v>53000</v>
      </c>
      <c r="H11" s="4">
        <f t="shared" ref="H11" si="0">(D11/1.19)*0.19</f>
        <v>8462.1848739495799</v>
      </c>
    </row>
    <row r="12" spans="1:8" ht="18.75" x14ac:dyDescent="0.3">
      <c r="A12" s="5"/>
      <c r="B12" s="5"/>
      <c r="C12" s="5"/>
      <c r="D12" s="4"/>
      <c r="H12" s="4"/>
    </row>
    <row r="13" spans="1:8" ht="19.5" thickBot="1" x14ac:dyDescent="0.35">
      <c r="A13" s="5"/>
      <c r="B13" s="5"/>
      <c r="C13" s="5"/>
      <c r="D13" s="35"/>
      <c r="E13" s="27"/>
      <c r="H13" s="35"/>
    </row>
    <row r="14" spans="1:8" ht="19.5" thickTop="1" x14ac:dyDescent="0.3">
      <c r="D14" s="4">
        <f>SUM(D7:D13)</f>
        <v>53000</v>
      </c>
      <c r="H14" s="33">
        <f>SUM(H7:H13)</f>
        <v>8462.1848739495799</v>
      </c>
    </row>
    <row r="16" spans="1:8" ht="18.75" x14ac:dyDescent="0.3">
      <c r="C16" t="s">
        <v>4</v>
      </c>
      <c r="D16" s="4">
        <f>D3-D14</f>
        <v>17934</v>
      </c>
      <c r="G16" t="s">
        <v>5</v>
      </c>
      <c r="H16" s="4">
        <f>H3-H14</f>
        <v>2863.4117647058829</v>
      </c>
    </row>
    <row r="18" spans="1:8" x14ac:dyDescent="0.25">
      <c r="G18" t="s">
        <v>454</v>
      </c>
    </row>
    <row r="19" spans="1:8" ht="15.75" x14ac:dyDescent="0.25">
      <c r="A19" t="s">
        <v>6</v>
      </c>
      <c r="C19" s="8">
        <f>D16</f>
        <v>17934</v>
      </c>
      <c r="E19" t="s">
        <v>10</v>
      </c>
      <c r="H19" s="6">
        <f>C28</f>
        <v>14786.852235294116</v>
      </c>
    </row>
    <row r="21" spans="1:8" ht="15.75" x14ac:dyDescent="0.25">
      <c r="A21" t="s">
        <v>5</v>
      </c>
      <c r="B21" s="9" t="s">
        <v>7</v>
      </c>
      <c r="C21" s="8">
        <f>H16</f>
        <v>2863.4117647058829</v>
      </c>
      <c r="E21" s="13" t="s">
        <v>11</v>
      </c>
      <c r="F21" s="9" t="s">
        <v>12</v>
      </c>
      <c r="G21" s="15" t="s">
        <v>17</v>
      </c>
      <c r="H21" s="3">
        <f>-(F22*0.0077)</f>
        <v>-458.98470588235296</v>
      </c>
    </row>
    <row r="22" spans="1:8" x14ac:dyDescent="0.25">
      <c r="F22" s="21">
        <f>D3-H3</f>
        <v>59608.403361344535</v>
      </c>
    </row>
    <row r="23" spans="1:8" ht="16.5" thickBot="1" x14ac:dyDescent="0.3">
      <c r="A23" t="s">
        <v>8</v>
      </c>
      <c r="B23" s="9" t="s">
        <v>7</v>
      </c>
      <c r="C23" s="8">
        <f>D3*0.004</f>
        <v>283.73599999999999</v>
      </c>
      <c r="F23" s="9" t="s">
        <v>13</v>
      </c>
      <c r="G23" s="16">
        <v>0.35</v>
      </c>
      <c r="H23" s="17">
        <f>-(F24*0.35)</f>
        <v>-5175.3982823529404</v>
      </c>
    </row>
    <row r="24" spans="1:8" x14ac:dyDescent="0.25">
      <c r="F24" s="21">
        <f>H19</f>
        <v>14786.852235294116</v>
      </c>
    </row>
    <row r="25" spans="1:8" x14ac:dyDescent="0.25">
      <c r="A25" t="s">
        <v>9</v>
      </c>
      <c r="B25" s="9" t="s">
        <v>7</v>
      </c>
      <c r="G25" s="13" t="s">
        <v>14</v>
      </c>
      <c r="H25" s="6">
        <f>H19+H21+H23</f>
        <v>9152.4692470588234</v>
      </c>
    </row>
    <row r="26" spans="1:8" ht="15.75" thickBot="1" x14ac:dyDescent="0.3">
      <c r="A26" s="38" t="s">
        <v>638</v>
      </c>
      <c r="B26" s="14"/>
      <c r="C26" s="7"/>
    </row>
    <row r="27" spans="1:8" x14ac:dyDescent="0.25">
      <c r="E27" t="s">
        <v>100</v>
      </c>
      <c r="H27" s="20">
        <f>H25*0.4</f>
        <v>3660.9876988235296</v>
      </c>
    </row>
    <row r="28" spans="1:8" ht="15.75" x14ac:dyDescent="0.25">
      <c r="A28" t="s">
        <v>10</v>
      </c>
      <c r="C28" s="10">
        <f>C19-C21-C23-C25</f>
        <v>14786.852235294116</v>
      </c>
      <c r="H28" s="18"/>
    </row>
    <row r="29" spans="1:8" x14ac:dyDescent="0.25">
      <c r="H29" s="3"/>
    </row>
    <row r="30" spans="1:8" x14ac:dyDescent="0.25">
      <c r="H30" s="18"/>
    </row>
  </sheetData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39E84-4105-4D4E-B4FC-C2A33658F282}">
  <dimension ref="A1:H30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712</v>
      </c>
    </row>
    <row r="3" spans="1:8" ht="21" x14ac:dyDescent="0.35">
      <c r="A3" s="2" t="s">
        <v>1</v>
      </c>
      <c r="D3" s="11">
        <v>57120</v>
      </c>
      <c r="F3" s="12" t="s">
        <v>3</v>
      </c>
      <c r="H3" s="11">
        <f>(D3/1.19)*0.19</f>
        <v>9120</v>
      </c>
    </row>
    <row r="4" spans="1:8" x14ac:dyDescent="0.25">
      <c r="A4" s="13" t="s">
        <v>29</v>
      </c>
      <c r="C4" s="28">
        <v>1072</v>
      </c>
    </row>
    <row r="5" spans="1:8" ht="21" x14ac:dyDescent="0.35">
      <c r="A5" s="2" t="s">
        <v>2</v>
      </c>
    </row>
    <row r="7" spans="1:8" ht="18.75" x14ac:dyDescent="0.3">
      <c r="A7" s="5"/>
      <c r="D7" s="4"/>
      <c r="H7" s="4"/>
    </row>
    <row r="8" spans="1:8" ht="18.75" x14ac:dyDescent="0.3">
      <c r="A8" s="5"/>
      <c r="D8" s="4"/>
      <c r="H8" s="4"/>
    </row>
    <row r="9" spans="1:8" ht="18.75" x14ac:dyDescent="0.3">
      <c r="A9" s="5"/>
      <c r="B9" s="5"/>
      <c r="C9" s="5"/>
      <c r="D9" s="4"/>
      <c r="H9" s="4"/>
    </row>
    <row r="10" spans="1:8" ht="18.75" x14ac:dyDescent="0.3">
      <c r="C10" s="5"/>
      <c r="D10" s="4"/>
      <c r="H10" s="4"/>
    </row>
    <row r="11" spans="1:8" ht="18.75" x14ac:dyDescent="0.3">
      <c r="A11" s="5" t="s">
        <v>167</v>
      </c>
      <c r="B11" s="5"/>
      <c r="C11" s="5"/>
      <c r="D11" s="4">
        <v>40500</v>
      </c>
      <c r="H11" s="4">
        <f t="shared" ref="H11" si="0">(D11/1.19)*0.19</f>
        <v>6466.3865546218494</v>
      </c>
    </row>
    <row r="12" spans="1:8" ht="18.75" x14ac:dyDescent="0.3">
      <c r="A12" s="5"/>
      <c r="B12" s="5"/>
      <c r="C12" s="5"/>
      <c r="D12" s="4"/>
      <c r="H12" s="4"/>
    </row>
    <row r="13" spans="1:8" ht="19.5" thickBot="1" x14ac:dyDescent="0.35">
      <c r="A13" s="5"/>
      <c r="B13" s="5"/>
      <c r="C13" s="5"/>
      <c r="D13" s="35"/>
      <c r="E13" s="27"/>
      <c r="H13" s="35"/>
    </row>
    <row r="14" spans="1:8" ht="19.5" thickTop="1" x14ac:dyDescent="0.3">
      <c r="D14" s="4">
        <f>SUM(D7:D13)</f>
        <v>40500</v>
      </c>
      <c r="H14" s="33">
        <f>SUM(H7:H13)</f>
        <v>6466.3865546218494</v>
      </c>
    </row>
    <row r="16" spans="1:8" ht="18.75" x14ac:dyDescent="0.3">
      <c r="C16" t="s">
        <v>4</v>
      </c>
      <c r="D16" s="4">
        <f>D3-D14</f>
        <v>16620</v>
      </c>
      <c r="G16" t="s">
        <v>5</v>
      </c>
      <c r="H16" s="4">
        <f>H3-H14</f>
        <v>2653.6134453781506</v>
      </c>
    </row>
    <row r="18" spans="1:8" x14ac:dyDescent="0.25">
      <c r="G18" t="s">
        <v>454</v>
      </c>
    </row>
    <row r="19" spans="1:8" ht="15.75" x14ac:dyDescent="0.25">
      <c r="A19" t="s">
        <v>6</v>
      </c>
      <c r="C19" s="8">
        <f>D16</f>
        <v>16620</v>
      </c>
      <c r="E19" t="s">
        <v>10</v>
      </c>
      <c r="H19" s="6">
        <f>C28</f>
        <v>13737.90655462185</v>
      </c>
    </row>
    <row r="21" spans="1:8" ht="15.75" x14ac:dyDescent="0.25">
      <c r="A21" t="s">
        <v>5</v>
      </c>
      <c r="B21" s="9" t="s">
        <v>7</v>
      </c>
      <c r="C21" s="8">
        <f>H16</f>
        <v>2653.6134453781506</v>
      </c>
      <c r="E21" s="13" t="s">
        <v>11</v>
      </c>
      <c r="F21" s="9" t="s">
        <v>12</v>
      </c>
      <c r="G21" s="15" t="s">
        <v>17</v>
      </c>
      <c r="H21" s="3">
        <f>-(F22*0.0077)</f>
        <v>-369.6</v>
      </c>
    </row>
    <row r="22" spans="1:8" x14ac:dyDescent="0.25">
      <c r="F22" s="21">
        <f>D3-H3</f>
        <v>48000</v>
      </c>
    </row>
    <row r="23" spans="1:8" ht="16.5" thickBot="1" x14ac:dyDescent="0.3">
      <c r="A23" t="s">
        <v>8</v>
      </c>
      <c r="B23" s="9" t="s">
        <v>7</v>
      </c>
      <c r="C23" s="8">
        <f>D3*0.004</f>
        <v>228.48000000000002</v>
      </c>
      <c r="F23" s="9" t="s">
        <v>13</v>
      </c>
      <c r="G23" s="16">
        <v>0.35</v>
      </c>
      <c r="H23" s="17">
        <f>-(F24*0.35)</f>
        <v>-4808.267294117647</v>
      </c>
    </row>
    <row r="24" spans="1:8" x14ac:dyDescent="0.25">
      <c r="F24" s="21">
        <f>H19</f>
        <v>13737.90655462185</v>
      </c>
    </row>
    <row r="25" spans="1:8" x14ac:dyDescent="0.25">
      <c r="A25" t="s">
        <v>9</v>
      </c>
      <c r="B25" s="9" t="s">
        <v>7</v>
      </c>
      <c r="G25" s="13" t="s">
        <v>14</v>
      </c>
      <c r="H25" s="6">
        <f>H19+H21+H23</f>
        <v>8560.0392605042034</v>
      </c>
    </row>
    <row r="26" spans="1:8" ht="15.75" thickBot="1" x14ac:dyDescent="0.3">
      <c r="A26" s="38" t="s">
        <v>638</v>
      </c>
      <c r="B26" s="14"/>
      <c r="C26" s="7"/>
    </row>
    <row r="27" spans="1:8" x14ac:dyDescent="0.25">
      <c r="E27" t="s">
        <v>100</v>
      </c>
      <c r="H27" s="20">
        <f>H25*0.4</f>
        <v>3424.0157042016817</v>
      </c>
    </row>
    <row r="28" spans="1:8" ht="15.75" x14ac:dyDescent="0.25">
      <c r="A28" t="s">
        <v>10</v>
      </c>
      <c r="C28" s="10">
        <f>C19-C21-C23-C25</f>
        <v>13737.90655462185</v>
      </c>
      <c r="H28" s="18"/>
    </row>
    <row r="29" spans="1:8" x14ac:dyDescent="0.25">
      <c r="H29" s="3"/>
    </row>
    <row r="30" spans="1:8" x14ac:dyDescent="0.25">
      <c r="H30" s="18"/>
    </row>
  </sheetData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7F215-51B0-4118-A5F1-83CA0C0473EE}">
  <dimension ref="A1:H30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713</v>
      </c>
    </row>
    <row r="3" spans="1:8" ht="21" x14ac:dyDescent="0.35">
      <c r="A3" s="2" t="s">
        <v>1</v>
      </c>
      <c r="D3" s="11">
        <v>390320</v>
      </c>
      <c r="F3" s="12" t="s">
        <v>3</v>
      </c>
      <c r="H3" s="11">
        <f>(D3/1.19)*0.19</f>
        <v>62320</v>
      </c>
    </row>
    <row r="4" spans="1:8" x14ac:dyDescent="0.25">
      <c r="A4" s="13" t="s">
        <v>29</v>
      </c>
      <c r="C4" s="28">
        <v>1074</v>
      </c>
    </row>
    <row r="5" spans="1:8" ht="21" x14ac:dyDescent="0.35">
      <c r="A5" s="2" t="s">
        <v>2</v>
      </c>
    </row>
    <row r="7" spans="1:8" ht="18.75" x14ac:dyDescent="0.3">
      <c r="A7" s="5"/>
      <c r="D7" s="4"/>
      <c r="H7" s="4"/>
    </row>
    <row r="8" spans="1:8" ht="18.75" x14ac:dyDescent="0.3">
      <c r="A8" s="5"/>
      <c r="D8" s="4"/>
      <c r="H8" s="4"/>
    </row>
    <row r="9" spans="1:8" ht="18.75" x14ac:dyDescent="0.3">
      <c r="A9" s="5"/>
      <c r="B9" s="5"/>
      <c r="C9" s="5"/>
      <c r="D9" s="4"/>
      <c r="H9" s="4"/>
    </row>
    <row r="10" spans="1:8" ht="18.75" x14ac:dyDescent="0.3">
      <c r="C10" s="5"/>
      <c r="D10" s="4"/>
      <c r="H10" s="4"/>
    </row>
    <row r="11" spans="1:8" ht="18.75" x14ac:dyDescent="0.3">
      <c r="A11" s="5" t="s">
        <v>167</v>
      </c>
      <c r="B11" s="5"/>
      <c r="C11" s="5"/>
      <c r="D11" s="4">
        <v>284600</v>
      </c>
      <c r="H11" s="4">
        <f t="shared" ref="H11" si="0">(D11/1.19)*0.19</f>
        <v>45440.336134453784</v>
      </c>
    </row>
    <row r="12" spans="1:8" ht="18.75" x14ac:dyDescent="0.3">
      <c r="A12" s="5"/>
      <c r="B12" s="5"/>
      <c r="C12" s="5"/>
      <c r="D12" s="4"/>
      <c r="H12" s="4"/>
    </row>
    <row r="13" spans="1:8" ht="19.5" thickBot="1" x14ac:dyDescent="0.35">
      <c r="A13" s="5"/>
      <c r="B13" s="5"/>
      <c r="C13" s="5"/>
      <c r="D13" s="35"/>
      <c r="E13" s="27"/>
      <c r="H13" s="35"/>
    </row>
    <row r="14" spans="1:8" ht="19.5" thickTop="1" x14ac:dyDescent="0.3">
      <c r="D14" s="4">
        <f>SUM(D7:D13)</f>
        <v>284600</v>
      </c>
      <c r="H14" s="33">
        <f>SUM(H7:H13)</f>
        <v>45440.336134453784</v>
      </c>
    </row>
    <row r="16" spans="1:8" ht="18.75" x14ac:dyDescent="0.3">
      <c r="C16" t="s">
        <v>4</v>
      </c>
      <c r="D16" s="4">
        <f>D3-D14</f>
        <v>105720</v>
      </c>
      <c r="G16" t="s">
        <v>5</v>
      </c>
      <c r="H16" s="4">
        <f>H3-H14</f>
        <v>16879.663865546216</v>
      </c>
    </row>
    <row r="18" spans="1:8" x14ac:dyDescent="0.25">
      <c r="G18" t="s">
        <v>454</v>
      </c>
    </row>
    <row r="19" spans="1:8" ht="15.75" x14ac:dyDescent="0.25">
      <c r="A19" t="s">
        <v>6</v>
      </c>
      <c r="C19" s="8">
        <f>D16</f>
        <v>105720</v>
      </c>
      <c r="E19" t="s">
        <v>10</v>
      </c>
      <c r="H19" s="6">
        <f>C28</f>
        <v>87279.056134453785</v>
      </c>
    </row>
    <row r="21" spans="1:8" ht="15.75" x14ac:dyDescent="0.25">
      <c r="A21" t="s">
        <v>5</v>
      </c>
      <c r="B21" s="9" t="s">
        <v>7</v>
      </c>
      <c r="C21" s="8">
        <f>H16</f>
        <v>16879.663865546216</v>
      </c>
      <c r="E21" s="13" t="s">
        <v>11</v>
      </c>
      <c r="F21" s="9" t="s">
        <v>12</v>
      </c>
      <c r="G21" s="15" t="s">
        <v>17</v>
      </c>
      <c r="H21" s="3">
        <f>-(F22*0.0077)</f>
        <v>-2525.6</v>
      </c>
    </row>
    <row r="22" spans="1:8" x14ac:dyDescent="0.25">
      <c r="F22" s="21">
        <f>D3-H3</f>
        <v>328000</v>
      </c>
    </row>
    <row r="23" spans="1:8" ht="16.5" thickBot="1" x14ac:dyDescent="0.3">
      <c r="A23" t="s">
        <v>8</v>
      </c>
      <c r="B23" s="9" t="s">
        <v>7</v>
      </c>
      <c r="C23" s="8">
        <f>D3*0.004</f>
        <v>1561.28</v>
      </c>
      <c r="F23" s="9" t="s">
        <v>13</v>
      </c>
      <c r="G23" s="16">
        <v>0.35</v>
      </c>
      <c r="H23" s="17">
        <f>-(F24*0.35)</f>
        <v>-30547.669647058821</v>
      </c>
    </row>
    <row r="24" spans="1:8" x14ac:dyDescent="0.25">
      <c r="F24" s="21">
        <f>H19</f>
        <v>87279.056134453785</v>
      </c>
    </row>
    <row r="25" spans="1:8" x14ac:dyDescent="0.25">
      <c r="A25" t="s">
        <v>9</v>
      </c>
      <c r="B25" s="9" t="s">
        <v>7</v>
      </c>
      <c r="G25" s="13" t="s">
        <v>14</v>
      </c>
      <c r="H25" s="6">
        <f>H19+H21+H23</f>
        <v>54205.786487394958</v>
      </c>
    </row>
    <row r="26" spans="1:8" ht="15.75" thickBot="1" x14ac:dyDescent="0.3">
      <c r="A26" s="38" t="s">
        <v>638</v>
      </c>
      <c r="B26" s="14"/>
      <c r="C26" s="7"/>
    </row>
    <row r="27" spans="1:8" x14ac:dyDescent="0.25">
      <c r="E27" t="s">
        <v>100</v>
      </c>
      <c r="H27" s="20">
        <f>H25*0.4</f>
        <v>21682.314594957985</v>
      </c>
    </row>
    <row r="28" spans="1:8" ht="15.75" x14ac:dyDescent="0.25">
      <c r="A28" t="s">
        <v>10</v>
      </c>
      <c r="C28" s="10">
        <f>C19-C21-C23-C25</f>
        <v>87279.056134453785</v>
      </c>
      <c r="H28" s="18"/>
    </row>
    <row r="29" spans="1:8" x14ac:dyDescent="0.25">
      <c r="H29" s="3"/>
    </row>
    <row r="30" spans="1:8" x14ac:dyDescent="0.25">
      <c r="H30" s="18"/>
    </row>
  </sheetData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990EB-7741-43E5-8007-F012C07BF215}">
  <dimension ref="A1:H30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714</v>
      </c>
    </row>
    <row r="3" spans="1:8" ht="21" x14ac:dyDescent="0.35">
      <c r="A3" s="2" t="s">
        <v>1</v>
      </c>
      <c r="D3" s="11">
        <v>373660</v>
      </c>
      <c r="F3" s="12" t="s">
        <v>3</v>
      </c>
      <c r="H3" s="11">
        <f>(D3/1.19)*0.19</f>
        <v>59660</v>
      </c>
    </row>
    <row r="4" spans="1:8" x14ac:dyDescent="0.25">
      <c r="A4" s="13" t="s">
        <v>29</v>
      </c>
      <c r="C4" s="28">
        <v>1077</v>
      </c>
    </row>
    <row r="5" spans="1:8" ht="21" x14ac:dyDescent="0.35">
      <c r="A5" s="2" t="s">
        <v>2</v>
      </c>
    </row>
    <row r="7" spans="1:8" ht="18.75" x14ac:dyDescent="0.3">
      <c r="A7" s="5"/>
      <c r="D7" s="4"/>
      <c r="H7" s="4"/>
    </row>
    <row r="8" spans="1:8" ht="18.75" x14ac:dyDescent="0.3">
      <c r="A8" s="5"/>
      <c r="D8" s="4"/>
      <c r="H8" s="4"/>
    </row>
    <row r="9" spans="1:8" ht="18.75" x14ac:dyDescent="0.3">
      <c r="A9" s="5"/>
      <c r="B9" s="5"/>
      <c r="C9" s="5"/>
      <c r="D9" s="4"/>
      <c r="H9" s="4"/>
    </row>
    <row r="10" spans="1:8" ht="18.75" x14ac:dyDescent="0.3">
      <c r="C10" s="5"/>
      <c r="D10" s="4"/>
      <c r="H10" s="4"/>
    </row>
    <row r="11" spans="1:8" ht="18.75" x14ac:dyDescent="0.3">
      <c r="A11" s="5" t="s">
        <v>167</v>
      </c>
      <c r="B11" s="5"/>
      <c r="C11" s="5"/>
      <c r="D11" s="4">
        <v>276619</v>
      </c>
      <c r="H11" s="4">
        <f t="shared" ref="H11" si="0">(D11/1.19)*0.19</f>
        <v>44166.058823529413</v>
      </c>
    </row>
    <row r="12" spans="1:8" ht="18.75" x14ac:dyDescent="0.3">
      <c r="A12" s="5"/>
      <c r="B12" s="5"/>
      <c r="C12" s="5"/>
      <c r="D12" s="4"/>
      <c r="H12" s="4"/>
    </row>
    <row r="13" spans="1:8" ht="19.5" thickBot="1" x14ac:dyDescent="0.35">
      <c r="A13" s="5"/>
      <c r="B13" s="5"/>
      <c r="C13" s="5"/>
      <c r="D13" s="35"/>
      <c r="E13" s="27"/>
      <c r="H13" s="35"/>
    </row>
    <row r="14" spans="1:8" ht="19.5" thickTop="1" x14ac:dyDescent="0.3">
      <c r="D14" s="4">
        <f>SUM(D7:D13)</f>
        <v>276619</v>
      </c>
      <c r="H14" s="33">
        <f>SUM(H7:H13)</f>
        <v>44166.058823529413</v>
      </c>
    </row>
    <row r="16" spans="1:8" ht="18.75" x14ac:dyDescent="0.3">
      <c r="C16" t="s">
        <v>4</v>
      </c>
      <c r="D16" s="4">
        <f>D3-D14</f>
        <v>97041</v>
      </c>
      <c r="G16" t="s">
        <v>5</v>
      </c>
      <c r="H16" s="4">
        <f>H3-H14</f>
        <v>15493.941176470587</v>
      </c>
    </row>
    <row r="18" spans="1:8" x14ac:dyDescent="0.25">
      <c r="G18" t="s">
        <v>454</v>
      </c>
    </row>
    <row r="19" spans="1:8" ht="15.75" x14ac:dyDescent="0.25">
      <c r="A19" t="s">
        <v>6</v>
      </c>
      <c r="C19" s="8">
        <f>D16</f>
        <v>97041</v>
      </c>
      <c r="E19" t="s">
        <v>10</v>
      </c>
      <c r="H19" s="6">
        <f>C28</f>
        <v>80052.418823529413</v>
      </c>
    </row>
    <row r="21" spans="1:8" ht="15.75" x14ac:dyDescent="0.25">
      <c r="A21" t="s">
        <v>5</v>
      </c>
      <c r="B21" s="9" t="s">
        <v>7</v>
      </c>
      <c r="C21" s="8">
        <f>H16</f>
        <v>15493.941176470587</v>
      </c>
      <c r="E21" s="13" t="s">
        <v>11</v>
      </c>
      <c r="F21" s="9" t="s">
        <v>12</v>
      </c>
      <c r="G21" s="15" t="s">
        <v>17</v>
      </c>
      <c r="H21" s="3">
        <f>-(F22*0.0077)</f>
        <v>-2417.8000000000002</v>
      </c>
    </row>
    <row r="22" spans="1:8" x14ac:dyDescent="0.25">
      <c r="F22" s="21">
        <f>D3-H3</f>
        <v>314000</v>
      </c>
    </row>
    <row r="23" spans="1:8" ht="16.5" thickBot="1" x14ac:dyDescent="0.3">
      <c r="A23" t="s">
        <v>8</v>
      </c>
      <c r="B23" s="9" t="s">
        <v>7</v>
      </c>
      <c r="C23" s="8">
        <f>D3*0.004</f>
        <v>1494.64</v>
      </c>
      <c r="F23" s="9" t="s">
        <v>13</v>
      </c>
      <c r="G23" s="16">
        <v>0.35</v>
      </c>
      <c r="H23" s="17">
        <f>-(F24*0.35)</f>
        <v>-28018.346588235294</v>
      </c>
    </row>
    <row r="24" spans="1:8" x14ac:dyDescent="0.25">
      <c r="F24" s="21">
        <f>H19</f>
        <v>80052.418823529413</v>
      </c>
    </row>
    <row r="25" spans="1:8" x14ac:dyDescent="0.25">
      <c r="A25" t="s">
        <v>9</v>
      </c>
      <c r="B25" s="9" t="s">
        <v>7</v>
      </c>
      <c r="G25" s="13" t="s">
        <v>14</v>
      </c>
      <c r="H25" s="6">
        <f>H19+H21+H23</f>
        <v>49616.27223529412</v>
      </c>
    </row>
    <row r="26" spans="1:8" ht="15.75" thickBot="1" x14ac:dyDescent="0.3">
      <c r="A26" s="38" t="s">
        <v>638</v>
      </c>
      <c r="B26" s="14"/>
      <c r="C26" s="7"/>
    </row>
    <row r="27" spans="1:8" x14ac:dyDescent="0.25">
      <c r="E27" t="s">
        <v>100</v>
      </c>
      <c r="H27" s="20">
        <f>H25*0.4</f>
        <v>19846.508894117651</v>
      </c>
    </row>
    <row r="28" spans="1:8" ht="15.75" x14ac:dyDescent="0.25">
      <c r="A28" t="s">
        <v>10</v>
      </c>
      <c r="C28" s="10">
        <f>C19-C21-C23-C25</f>
        <v>80052.418823529413</v>
      </c>
      <c r="H28" s="18"/>
    </row>
    <row r="29" spans="1:8" x14ac:dyDescent="0.25">
      <c r="H29" s="3"/>
    </row>
    <row r="30" spans="1:8" x14ac:dyDescent="0.25">
      <c r="H30" s="18"/>
    </row>
  </sheetData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6B539-BF8E-4C57-B6EC-04A584A6D16C}">
  <dimension ref="A1:H30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715</v>
      </c>
    </row>
    <row r="3" spans="1:8" ht="21" x14ac:dyDescent="0.35">
      <c r="A3" s="2" t="s">
        <v>1</v>
      </c>
      <c r="D3" s="11">
        <v>144942</v>
      </c>
      <c r="F3" s="12" t="s">
        <v>3</v>
      </c>
      <c r="H3" s="11">
        <f>(D3/1.19)*0.19</f>
        <v>23142</v>
      </c>
    </row>
    <row r="4" spans="1:8" x14ac:dyDescent="0.25">
      <c r="A4" s="13" t="s">
        <v>29</v>
      </c>
      <c r="C4" s="28">
        <v>1081</v>
      </c>
    </row>
    <row r="5" spans="1:8" ht="21" x14ac:dyDescent="0.35">
      <c r="A5" s="2" t="s">
        <v>2</v>
      </c>
    </row>
    <row r="7" spans="1:8" ht="18.75" x14ac:dyDescent="0.3">
      <c r="A7" s="5"/>
      <c r="D7" s="4"/>
      <c r="H7" s="4"/>
    </row>
    <row r="8" spans="1:8" ht="18.75" x14ac:dyDescent="0.3">
      <c r="A8" s="5"/>
      <c r="D8" s="4"/>
      <c r="H8" s="4"/>
    </row>
    <row r="9" spans="1:8" ht="18.75" x14ac:dyDescent="0.3">
      <c r="A9" s="5"/>
      <c r="B9" s="5"/>
      <c r="C9" s="5"/>
      <c r="D9" s="4"/>
      <c r="H9" s="4"/>
    </row>
    <row r="10" spans="1:8" ht="18.75" x14ac:dyDescent="0.3">
      <c r="C10" s="5"/>
      <c r="D10" s="4"/>
      <c r="H10" s="4"/>
    </row>
    <row r="11" spans="1:8" ht="18.75" x14ac:dyDescent="0.3">
      <c r="A11" s="5" t="s">
        <v>167</v>
      </c>
      <c r="B11" s="5"/>
      <c r="C11" s="5"/>
      <c r="D11" s="4">
        <v>82563</v>
      </c>
      <c r="H11" s="4">
        <f t="shared" ref="H11" si="0">(D11/1.19)*0.19</f>
        <v>13182.327731092439</v>
      </c>
    </row>
    <row r="12" spans="1:8" ht="18.75" x14ac:dyDescent="0.3">
      <c r="A12" s="5"/>
      <c r="B12" s="5"/>
      <c r="C12" s="5"/>
      <c r="D12" s="4"/>
      <c r="H12" s="4"/>
    </row>
    <row r="13" spans="1:8" ht="19.5" thickBot="1" x14ac:dyDescent="0.35">
      <c r="A13" s="5"/>
      <c r="B13" s="5"/>
      <c r="C13" s="5"/>
      <c r="D13" s="35"/>
      <c r="E13" s="27"/>
      <c r="H13" s="35"/>
    </row>
    <row r="14" spans="1:8" ht="19.5" thickTop="1" x14ac:dyDescent="0.3">
      <c r="D14" s="4">
        <f>SUM(D7:D13)</f>
        <v>82563</v>
      </c>
      <c r="H14" s="33">
        <f>SUM(H7:H13)</f>
        <v>13182.327731092439</v>
      </c>
    </row>
    <row r="16" spans="1:8" ht="18.75" x14ac:dyDescent="0.3">
      <c r="C16" t="s">
        <v>4</v>
      </c>
      <c r="D16" s="4">
        <f>D3-D14</f>
        <v>62379</v>
      </c>
      <c r="G16" t="s">
        <v>5</v>
      </c>
      <c r="H16" s="4">
        <f>H3-H14</f>
        <v>9959.6722689075614</v>
      </c>
    </row>
    <row r="18" spans="1:8" x14ac:dyDescent="0.25">
      <c r="G18" t="s">
        <v>454</v>
      </c>
    </row>
    <row r="19" spans="1:8" ht="15.75" x14ac:dyDescent="0.25">
      <c r="A19" t="s">
        <v>6</v>
      </c>
      <c r="C19" s="8">
        <f>D16</f>
        <v>62379</v>
      </c>
      <c r="E19" t="s">
        <v>10</v>
      </c>
      <c r="H19" s="6">
        <f>C28</f>
        <v>51839.559731092435</v>
      </c>
    </row>
    <row r="21" spans="1:8" ht="15.75" x14ac:dyDescent="0.25">
      <c r="A21" t="s">
        <v>5</v>
      </c>
      <c r="B21" s="9" t="s">
        <v>7</v>
      </c>
      <c r="C21" s="8">
        <f>H16</f>
        <v>9959.6722689075614</v>
      </c>
      <c r="E21" s="13" t="s">
        <v>11</v>
      </c>
      <c r="F21" s="9" t="s">
        <v>12</v>
      </c>
      <c r="G21" s="15" t="s">
        <v>17</v>
      </c>
      <c r="H21" s="3">
        <f>-(F22*0.0077)</f>
        <v>-937.86</v>
      </c>
    </row>
    <row r="22" spans="1:8" x14ac:dyDescent="0.25">
      <c r="F22" s="21">
        <f>D3-H3</f>
        <v>121800</v>
      </c>
    </row>
    <row r="23" spans="1:8" ht="16.5" thickBot="1" x14ac:dyDescent="0.3">
      <c r="A23" t="s">
        <v>8</v>
      </c>
      <c r="B23" s="9" t="s">
        <v>7</v>
      </c>
      <c r="C23" s="8">
        <f>D3*0.004</f>
        <v>579.76800000000003</v>
      </c>
      <c r="F23" s="9" t="s">
        <v>13</v>
      </c>
      <c r="G23" s="16">
        <v>0.35</v>
      </c>
      <c r="H23" s="17">
        <f>-(F24*0.35)</f>
        <v>-18143.84590588235</v>
      </c>
    </row>
    <row r="24" spans="1:8" x14ac:dyDescent="0.25">
      <c r="F24" s="21">
        <f>H19</f>
        <v>51839.559731092435</v>
      </c>
    </row>
    <row r="25" spans="1:8" x14ac:dyDescent="0.25">
      <c r="A25" t="s">
        <v>9</v>
      </c>
      <c r="B25" s="9" t="s">
        <v>7</v>
      </c>
      <c r="G25" s="13" t="s">
        <v>14</v>
      </c>
      <c r="H25" s="6">
        <f>H19+H21+H23</f>
        <v>32757.853825210084</v>
      </c>
    </row>
    <row r="26" spans="1:8" ht="15.75" thickBot="1" x14ac:dyDescent="0.3">
      <c r="A26" s="38" t="s">
        <v>638</v>
      </c>
      <c r="B26" s="14"/>
      <c r="C26" s="7"/>
    </row>
    <row r="27" spans="1:8" x14ac:dyDescent="0.25">
      <c r="E27" t="s">
        <v>100</v>
      </c>
      <c r="H27" s="20">
        <f>H25*0.4</f>
        <v>13103.141530084034</v>
      </c>
    </row>
    <row r="28" spans="1:8" ht="15.75" x14ac:dyDescent="0.25">
      <c r="A28" t="s">
        <v>10</v>
      </c>
      <c r="C28" s="10">
        <f>C19-C21-C23-C25</f>
        <v>51839.559731092435</v>
      </c>
      <c r="H28" s="18"/>
    </row>
    <row r="29" spans="1:8" x14ac:dyDescent="0.25">
      <c r="H29" s="3"/>
    </row>
    <row r="30" spans="1:8" x14ac:dyDescent="0.25">
      <c r="H30" s="18"/>
    </row>
  </sheetData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5986C-A7A6-47DC-82D4-F874FC707F03}">
  <dimension ref="A1:H30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716</v>
      </c>
    </row>
    <row r="3" spans="1:8" ht="21" x14ac:dyDescent="0.35">
      <c r="A3" s="2" t="s">
        <v>1</v>
      </c>
      <c r="D3" s="11">
        <v>145228</v>
      </c>
      <c r="F3" s="12" t="s">
        <v>3</v>
      </c>
      <c r="H3" s="11">
        <f>(D3/1.19)*0.19</f>
        <v>23187.663865546219</v>
      </c>
    </row>
    <row r="4" spans="1:8" x14ac:dyDescent="0.25">
      <c r="A4" s="13" t="s">
        <v>29</v>
      </c>
      <c r="C4" s="28">
        <v>1084</v>
      </c>
    </row>
    <row r="5" spans="1:8" ht="21" x14ac:dyDescent="0.35">
      <c r="A5" s="2" t="s">
        <v>2</v>
      </c>
    </row>
    <row r="7" spans="1:8" ht="18.75" x14ac:dyDescent="0.3">
      <c r="A7" s="5"/>
      <c r="D7" s="4"/>
      <c r="H7" s="4"/>
    </row>
    <row r="8" spans="1:8" ht="18.75" x14ac:dyDescent="0.3">
      <c r="A8" s="5"/>
      <c r="D8" s="4"/>
      <c r="H8" s="4"/>
    </row>
    <row r="9" spans="1:8" ht="18.75" x14ac:dyDescent="0.3">
      <c r="A9" s="5"/>
      <c r="B9" s="5"/>
      <c r="C9" s="5"/>
      <c r="D9" s="4"/>
      <c r="H9" s="4"/>
    </row>
    <row r="10" spans="1:8" ht="18.75" x14ac:dyDescent="0.3">
      <c r="C10" s="5"/>
      <c r="D10" s="4"/>
      <c r="H10" s="4"/>
    </row>
    <row r="11" spans="1:8" ht="18.75" x14ac:dyDescent="0.3">
      <c r="A11" s="5" t="s">
        <v>167</v>
      </c>
      <c r="B11" s="5"/>
      <c r="C11" s="5"/>
      <c r="D11" s="4">
        <v>87394</v>
      </c>
      <c r="H11" s="4">
        <f t="shared" ref="H11" si="0">(D11/1.19)*0.19</f>
        <v>13953.663865546219</v>
      </c>
    </row>
    <row r="12" spans="1:8" ht="18.75" x14ac:dyDescent="0.3">
      <c r="A12" s="5"/>
      <c r="B12" s="5"/>
      <c r="C12" s="5"/>
      <c r="D12" s="4"/>
      <c r="H12" s="4"/>
    </row>
    <row r="13" spans="1:8" ht="19.5" thickBot="1" x14ac:dyDescent="0.35">
      <c r="A13" s="5"/>
      <c r="B13" s="5"/>
      <c r="C13" s="5"/>
      <c r="D13" s="35"/>
      <c r="E13" s="27"/>
      <c r="H13" s="35"/>
    </row>
    <row r="14" spans="1:8" ht="19.5" thickTop="1" x14ac:dyDescent="0.3">
      <c r="D14" s="4">
        <f>SUM(D7:D13)</f>
        <v>87394</v>
      </c>
      <c r="H14" s="33">
        <f>SUM(H7:H13)</f>
        <v>13953.663865546219</v>
      </c>
    </row>
    <row r="16" spans="1:8" ht="18.75" x14ac:dyDescent="0.3">
      <c r="C16" t="s">
        <v>4</v>
      </c>
      <c r="D16" s="4">
        <f>D3-D14</f>
        <v>57834</v>
      </c>
      <c r="G16" t="s">
        <v>5</v>
      </c>
      <c r="H16" s="4">
        <f>H3-H14</f>
        <v>9234</v>
      </c>
    </row>
    <row r="18" spans="1:8" x14ac:dyDescent="0.25">
      <c r="G18" t="s">
        <v>454</v>
      </c>
    </row>
    <row r="19" spans="1:8" ht="15.75" x14ac:dyDescent="0.25">
      <c r="A19" t="s">
        <v>6</v>
      </c>
      <c r="C19" s="8">
        <f>D16</f>
        <v>57834</v>
      </c>
      <c r="E19" t="s">
        <v>10</v>
      </c>
      <c r="H19" s="6">
        <f>C28</f>
        <v>48019.088000000003</v>
      </c>
    </row>
    <row r="21" spans="1:8" ht="15.75" x14ac:dyDescent="0.25">
      <c r="A21" t="s">
        <v>5</v>
      </c>
      <c r="B21" s="9" t="s">
        <v>7</v>
      </c>
      <c r="C21" s="8">
        <f>H16</f>
        <v>9234</v>
      </c>
      <c r="E21" s="13" t="s">
        <v>11</v>
      </c>
      <c r="F21" s="9" t="s">
        <v>12</v>
      </c>
      <c r="G21" s="15" t="s">
        <v>17</v>
      </c>
      <c r="H21" s="3">
        <f>-(F22*0.0077)</f>
        <v>-939.71058823529415</v>
      </c>
    </row>
    <row r="22" spans="1:8" x14ac:dyDescent="0.25">
      <c r="F22" s="21">
        <f>D3-H3</f>
        <v>122040.33613445378</v>
      </c>
    </row>
    <row r="23" spans="1:8" ht="16.5" thickBot="1" x14ac:dyDescent="0.3">
      <c r="A23" t="s">
        <v>8</v>
      </c>
      <c r="B23" s="9" t="s">
        <v>7</v>
      </c>
      <c r="C23" s="8">
        <f>D3*0.004</f>
        <v>580.91200000000003</v>
      </c>
      <c r="F23" s="9" t="s">
        <v>13</v>
      </c>
      <c r="G23" s="16">
        <v>0.35</v>
      </c>
      <c r="H23" s="17">
        <f>-(F24*0.35)</f>
        <v>-16806.680800000002</v>
      </c>
    </row>
    <row r="24" spans="1:8" x14ac:dyDescent="0.25">
      <c r="F24" s="21">
        <f>H19</f>
        <v>48019.088000000003</v>
      </c>
    </row>
    <row r="25" spans="1:8" x14ac:dyDescent="0.25">
      <c r="A25" t="s">
        <v>9</v>
      </c>
      <c r="B25" s="9" t="s">
        <v>7</v>
      </c>
      <c r="G25" s="13" t="s">
        <v>14</v>
      </c>
      <c r="H25" s="6">
        <f>H19+H21+H23</f>
        <v>30272.69661176471</v>
      </c>
    </row>
    <row r="26" spans="1:8" ht="15.75" thickBot="1" x14ac:dyDescent="0.3">
      <c r="A26" s="38" t="s">
        <v>638</v>
      </c>
      <c r="B26" s="14"/>
      <c r="C26" s="7"/>
    </row>
    <row r="27" spans="1:8" x14ac:dyDescent="0.25">
      <c r="E27" t="s">
        <v>100</v>
      </c>
      <c r="H27" s="20">
        <f>H25*0.4</f>
        <v>12109.078644705885</v>
      </c>
    </row>
    <row r="28" spans="1:8" ht="15.75" x14ac:dyDescent="0.25">
      <c r="A28" t="s">
        <v>10</v>
      </c>
      <c r="C28" s="10">
        <f>C19-C21-C23-C25</f>
        <v>48019.088000000003</v>
      </c>
      <c r="H28" s="18"/>
    </row>
    <row r="29" spans="1:8" x14ac:dyDescent="0.25">
      <c r="H29" s="3"/>
    </row>
    <row r="30" spans="1:8" x14ac:dyDescent="0.25">
      <c r="H30" s="18"/>
    </row>
  </sheetData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BD6E1-3C8A-4A5D-8E5D-292528D73509}">
  <dimension ref="A1:H30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717</v>
      </c>
    </row>
    <row r="3" spans="1:8" ht="21" x14ac:dyDescent="0.35">
      <c r="A3" s="2" t="s">
        <v>1</v>
      </c>
      <c r="D3" s="11">
        <v>637372</v>
      </c>
      <c r="F3" s="12" t="s">
        <v>3</v>
      </c>
      <c r="H3" s="11">
        <f>(D3/1.19)*0.19</f>
        <v>101765.27731092437</v>
      </c>
    </row>
    <row r="4" spans="1:8" x14ac:dyDescent="0.25">
      <c r="A4" s="13" t="s">
        <v>29</v>
      </c>
      <c r="C4" s="28">
        <v>1085</v>
      </c>
    </row>
    <row r="5" spans="1:8" ht="21" x14ac:dyDescent="0.35">
      <c r="A5" s="2" t="s">
        <v>2</v>
      </c>
    </row>
    <row r="7" spans="1:8" ht="18.75" x14ac:dyDescent="0.3">
      <c r="A7" s="5"/>
      <c r="D7" s="4"/>
      <c r="H7" s="4"/>
    </row>
    <row r="8" spans="1:8" ht="18.75" x14ac:dyDescent="0.3">
      <c r="A8" s="5"/>
      <c r="D8" s="4"/>
      <c r="H8" s="4"/>
    </row>
    <row r="9" spans="1:8" ht="18.75" x14ac:dyDescent="0.3">
      <c r="A9" s="5"/>
      <c r="B9" s="5"/>
      <c r="C9" s="5"/>
      <c r="D9" s="4"/>
      <c r="H9" s="4"/>
    </row>
    <row r="10" spans="1:8" ht="18.75" x14ac:dyDescent="0.3">
      <c r="C10" s="5"/>
      <c r="D10" s="4"/>
      <c r="H10" s="4"/>
    </row>
    <row r="11" spans="1:8" ht="18.75" x14ac:dyDescent="0.3">
      <c r="A11" s="5" t="s">
        <v>167</v>
      </c>
      <c r="B11" s="5"/>
      <c r="C11" s="5"/>
      <c r="D11" s="4">
        <v>402000</v>
      </c>
      <c r="H11" s="4">
        <f t="shared" ref="H11" si="0">(D11/1.19)*0.19</f>
        <v>64184.873949579829</v>
      </c>
    </row>
    <row r="12" spans="1:8" ht="18.75" x14ac:dyDescent="0.3">
      <c r="A12" s="5"/>
      <c r="B12" s="5"/>
      <c r="C12" s="5"/>
      <c r="D12" s="4"/>
      <c r="H12" s="4"/>
    </row>
    <row r="13" spans="1:8" ht="19.5" thickBot="1" x14ac:dyDescent="0.35">
      <c r="A13" s="5"/>
      <c r="B13" s="5"/>
      <c r="C13" s="5"/>
      <c r="D13" s="35"/>
      <c r="E13" s="27"/>
      <c r="H13" s="35"/>
    </row>
    <row r="14" spans="1:8" ht="19.5" thickTop="1" x14ac:dyDescent="0.3">
      <c r="D14" s="4">
        <f>SUM(D7:D13)</f>
        <v>402000</v>
      </c>
      <c r="H14" s="33">
        <f>SUM(H7:H13)</f>
        <v>64184.873949579829</v>
      </c>
    </row>
    <row r="16" spans="1:8" ht="18.75" x14ac:dyDescent="0.3">
      <c r="C16" t="s">
        <v>4</v>
      </c>
      <c r="D16" s="4">
        <f>D3-D14</f>
        <v>235372</v>
      </c>
      <c r="G16" t="s">
        <v>5</v>
      </c>
      <c r="H16" s="4">
        <f>H3-H14</f>
        <v>37580.403361344543</v>
      </c>
    </row>
    <row r="18" spans="1:8" x14ac:dyDescent="0.25">
      <c r="G18" t="s">
        <v>454</v>
      </c>
    </row>
    <row r="19" spans="1:8" ht="15.75" x14ac:dyDescent="0.25">
      <c r="A19" t="s">
        <v>6</v>
      </c>
      <c r="C19" s="8">
        <f>D16</f>
        <v>235372</v>
      </c>
      <c r="E19" t="s">
        <v>10</v>
      </c>
      <c r="H19" s="6">
        <f>C28</f>
        <v>195242.10863865545</v>
      </c>
    </row>
    <row r="21" spans="1:8" ht="15.75" x14ac:dyDescent="0.25">
      <c r="A21" t="s">
        <v>5</v>
      </c>
      <c r="B21" s="9" t="s">
        <v>7</v>
      </c>
      <c r="C21" s="8">
        <f>H16</f>
        <v>37580.403361344543</v>
      </c>
      <c r="E21" s="13" t="s">
        <v>11</v>
      </c>
      <c r="F21" s="9" t="s">
        <v>12</v>
      </c>
      <c r="G21" s="15" t="s">
        <v>17</v>
      </c>
      <c r="H21" s="3">
        <f>-(F22*0.0077)</f>
        <v>-4124.1717647058822</v>
      </c>
    </row>
    <row r="22" spans="1:8" x14ac:dyDescent="0.25">
      <c r="F22" s="21">
        <f>D3-H3</f>
        <v>535606.72268907563</v>
      </c>
    </row>
    <row r="23" spans="1:8" ht="16.5" thickBot="1" x14ac:dyDescent="0.3">
      <c r="A23" t="s">
        <v>8</v>
      </c>
      <c r="B23" s="9" t="s">
        <v>7</v>
      </c>
      <c r="C23" s="8">
        <f>D3*0.004</f>
        <v>2549.4879999999998</v>
      </c>
      <c r="F23" s="9" t="s">
        <v>13</v>
      </c>
      <c r="G23" s="16">
        <v>0.35</v>
      </c>
      <c r="H23" s="17">
        <f>-(F24*0.35)</f>
        <v>-68334.738023529411</v>
      </c>
    </row>
    <row r="24" spans="1:8" x14ac:dyDescent="0.25">
      <c r="F24" s="21">
        <f>H19</f>
        <v>195242.10863865545</v>
      </c>
    </row>
    <row r="25" spans="1:8" x14ac:dyDescent="0.25">
      <c r="A25" t="s">
        <v>9</v>
      </c>
      <c r="B25" s="9" t="s">
        <v>7</v>
      </c>
      <c r="G25" s="13" t="s">
        <v>14</v>
      </c>
      <c r="H25" s="6">
        <f>H19+H21+H23</f>
        <v>122783.19885042016</v>
      </c>
    </row>
    <row r="26" spans="1:8" ht="15.75" thickBot="1" x14ac:dyDescent="0.3">
      <c r="A26" s="38" t="s">
        <v>638</v>
      </c>
      <c r="B26" s="14"/>
      <c r="C26" s="7"/>
    </row>
    <row r="27" spans="1:8" x14ac:dyDescent="0.25">
      <c r="E27" t="s">
        <v>100</v>
      </c>
      <c r="H27" s="20">
        <f>H25*0.4</f>
        <v>49113.279540168063</v>
      </c>
    </row>
    <row r="28" spans="1:8" ht="15.75" x14ac:dyDescent="0.25">
      <c r="A28" t="s">
        <v>10</v>
      </c>
      <c r="C28" s="10">
        <f>C19-C21-C23-C25</f>
        <v>195242.10863865545</v>
      </c>
      <c r="H28" s="18"/>
    </row>
    <row r="29" spans="1:8" x14ac:dyDescent="0.25">
      <c r="H29" s="3"/>
    </row>
    <row r="30" spans="1:8" x14ac:dyDescent="0.25">
      <c r="H30" s="18"/>
    </row>
  </sheetData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68D5E-F03B-4A63-A804-054805BBD084}">
  <dimension ref="A1:H30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718</v>
      </c>
    </row>
    <row r="3" spans="1:8" ht="21" x14ac:dyDescent="0.35">
      <c r="A3" s="2" t="s">
        <v>1</v>
      </c>
      <c r="D3" s="11">
        <v>192780</v>
      </c>
      <c r="F3" s="12" t="s">
        <v>3</v>
      </c>
      <c r="H3" s="11">
        <f>(D3/1.19)*0.19</f>
        <v>30780</v>
      </c>
    </row>
    <row r="4" spans="1:8" x14ac:dyDescent="0.25">
      <c r="A4" s="13" t="s">
        <v>29</v>
      </c>
      <c r="C4" s="28">
        <v>1089</v>
      </c>
    </row>
    <row r="5" spans="1:8" ht="21" x14ac:dyDescent="0.35">
      <c r="A5" s="2" t="s">
        <v>2</v>
      </c>
    </row>
    <row r="7" spans="1:8" ht="18.75" x14ac:dyDescent="0.3">
      <c r="A7" s="5"/>
      <c r="D7" s="4"/>
      <c r="H7" s="4"/>
    </row>
    <row r="8" spans="1:8" ht="18.75" x14ac:dyDescent="0.3">
      <c r="A8" s="5"/>
      <c r="D8" s="4"/>
      <c r="H8" s="4"/>
    </row>
    <row r="9" spans="1:8" ht="18.75" x14ac:dyDescent="0.3">
      <c r="A9" s="5"/>
      <c r="B9" s="5"/>
      <c r="C9" s="5"/>
      <c r="D9" s="4"/>
      <c r="H9" s="4"/>
    </row>
    <row r="10" spans="1:8" ht="18.75" x14ac:dyDescent="0.3">
      <c r="C10" s="5"/>
      <c r="D10" s="4"/>
      <c r="H10" s="4"/>
    </row>
    <row r="11" spans="1:8" ht="18.75" x14ac:dyDescent="0.3">
      <c r="A11" s="5" t="s">
        <v>167</v>
      </c>
      <c r="B11" s="5"/>
      <c r="C11" s="5"/>
      <c r="D11" s="4">
        <v>136100</v>
      </c>
      <c r="H11" s="4">
        <f t="shared" ref="H11" si="0">(D11/1.19)*0.19</f>
        <v>21730.252100840338</v>
      </c>
    </row>
    <row r="12" spans="1:8" ht="18.75" x14ac:dyDescent="0.3">
      <c r="A12" s="5"/>
      <c r="B12" s="5"/>
      <c r="C12" s="5"/>
      <c r="D12" s="4"/>
      <c r="H12" s="4"/>
    </row>
    <row r="13" spans="1:8" ht="19.5" thickBot="1" x14ac:dyDescent="0.35">
      <c r="A13" s="5"/>
      <c r="B13" s="5"/>
      <c r="C13" s="5"/>
      <c r="D13" s="35"/>
      <c r="E13" s="27"/>
      <c r="H13" s="35"/>
    </row>
    <row r="14" spans="1:8" ht="19.5" thickTop="1" x14ac:dyDescent="0.3">
      <c r="D14" s="4">
        <f>SUM(D7:D13)</f>
        <v>136100</v>
      </c>
      <c r="H14" s="33">
        <f>SUM(H7:H13)</f>
        <v>21730.252100840338</v>
      </c>
    </row>
    <row r="16" spans="1:8" ht="18.75" x14ac:dyDescent="0.3">
      <c r="C16" t="s">
        <v>4</v>
      </c>
      <c r="D16" s="4">
        <f>D3-D14</f>
        <v>56680</v>
      </c>
      <c r="G16" t="s">
        <v>5</v>
      </c>
      <c r="H16" s="4">
        <f>H3-H14</f>
        <v>9049.7478991596618</v>
      </c>
    </row>
    <row r="18" spans="1:8" x14ac:dyDescent="0.25">
      <c r="G18" t="s">
        <v>454</v>
      </c>
    </row>
    <row r="19" spans="1:8" ht="15.75" x14ac:dyDescent="0.25">
      <c r="A19" t="s">
        <v>6</v>
      </c>
      <c r="C19" s="8">
        <f>D16</f>
        <v>56680</v>
      </c>
      <c r="E19" t="s">
        <v>10</v>
      </c>
      <c r="H19" s="6">
        <f>C28</f>
        <v>46859.132100840339</v>
      </c>
    </row>
    <row r="21" spans="1:8" ht="15.75" x14ac:dyDescent="0.25">
      <c r="A21" t="s">
        <v>5</v>
      </c>
      <c r="B21" s="9" t="s">
        <v>7</v>
      </c>
      <c r="C21" s="8">
        <f>H16</f>
        <v>9049.7478991596618</v>
      </c>
      <c r="E21" s="13" t="s">
        <v>11</v>
      </c>
      <c r="F21" s="9" t="s">
        <v>12</v>
      </c>
      <c r="G21" s="15" t="s">
        <v>17</v>
      </c>
      <c r="H21" s="3">
        <f>-(F22*0.0077)</f>
        <v>-1247.4000000000001</v>
      </c>
    </row>
    <row r="22" spans="1:8" x14ac:dyDescent="0.25">
      <c r="F22" s="21">
        <f>D3-H3</f>
        <v>162000</v>
      </c>
    </row>
    <row r="23" spans="1:8" ht="16.5" thickBot="1" x14ac:dyDescent="0.3">
      <c r="A23" t="s">
        <v>8</v>
      </c>
      <c r="B23" s="9" t="s">
        <v>7</v>
      </c>
      <c r="C23" s="8">
        <f>D3*0.004</f>
        <v>771.12</v>
      </c>
      <c r="F23" s="9" t="s">
        <v>13</v>
      </c>
      <c r="G23" s="16">
        <v>0.35</v>
      </c>
      <c r="H23" s="17">
        <f>-(F24*0.35)</f>
        <v>-16400.696235294119</v>
      </c>
    </row>
    <row r="24" spans="1:8" x14ac:dyDescent="0.25">
      <c r="F24" s="21">
        <f>H19</f>
        <v>46859.132100840339</v>
      </c>
    </row>
    <row r="25" spans="1:8" x14ac:dyDescent="0.25">
      <c r="A25" t="s">
        <v>9</v>
      </c>
      <c r="B25" s="9" t="s">
        <v>7</v>
      </c>
      <c r="G25" s="13" t="s">
        <v>14</v>
      </c>
      <c r="H25" s="6">
        <f>H19+H21+H23</f>
        <v>29211.035865546219</v>
      </c>
    </row>
    <row r="26" spans="1:8" ht="15.75" thickBot="1" x14ac:dyDescent="0.3">
      <c r="A26" s="38" t="s">
        <v>638</v>
      </c>
      <c r="B26" s="14"/>
      <c r="C26" s="7"/>
    </row>
    <row r="27" spans="1:8" x14ac:dyDescent="0.25">
      <c r="E27" t="s">
        <v>100</v>
      </c>
      <c r="H27" s="20">
        <f>H25*0.4</f>
        <v>11684.414346218487</v>
      </c>
    </row>
    <row r="28" spans="1:8" ht="15.75" x14ac:dyDescent="0.25">
      <c r="A28" t="s">
        <v>10</v>
      </c>
      <c r="C28" s="10">
        <f>C19-C21-C23-C25</f>
        <v>46859.132100840339</v>
      </c>
      <c r="H28" s="18"/>
    </row>
    <row r="29" spans="1:8" x14ac:dyDescent="0.25">
      <c r="H29" s="3"/>
    </row>
    <row r="30" spans="1:8" x14ac:dyDescent="0.25">
      <c r="H30" s="18"/>
    </row>
  </sheetData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F0746-6502-4F18-B141-0FAE006E9434}">
  <dimension ref="A1:H30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719</v>
      </c>
    </row>
    <row r="3" spans="1:8" ht="21" x14ac:dyDescent="0.35">
      <c r="A3" s="2" t="s">
        <v>1</v>
      </c>
      <c r="D3" s="11">
        <v>470050</v>
      </c>
      <c r="F3" s="12" t="s">
        <v>3</v>
      </c>
      <c r="H3" s="11">
        <f>(D3/1.19)*0.19</f>
        <v>75050</v>
      </c>
    </row>
    <row r="4" spans="1:8" x14ac:dyDescent="0.25">
      <c r="A4" s="13" t="s">
        <v>29</v>
      </c>
      <c r="C4" s="28">
        <v>1091</v>
      </c>
    </row>
    <row r="5" spans="1:8" ht="21" x14ac:dyDescent="0.35">
      <c r="A5" s="2" t="s">
        <v>2</v>
      </c>
    </row>
    <row r="7" spans="1:8" ht="18.75" x14ac:dyDescent="0.3">
      <c r="A7" s="5"/>
      <c r="D7" s="4"/>
      <c r="H7" s="4"/>
    </row>
    <row r="8" spans="1:8" ht="18.75" x14ac:dyDescent="0.3">
      <c r="A8" s="5"/>
      <c r="D8" s="4"/>
      <c r="H8" s="4"/>
    </row>
    <row r="9" spans="1:8" ht="18.75" x14ac:dyDescent="0.3">
      <c r="A9" s="5"/>
      <c r="B9" s="5"/>
      <c r="C9" s="5"/>
      <c r="D9" s="4"/>
      <c r="H9" s="4"/>
    </row>
    <row r="10" spans="1:8" ht="18.75" x14ac:dyDescent="0.3">
      <c r="C10" s="5"/>
      <c r="D10" s="4"/>
      <c r="H10" s="4"/>
    </row>
    <row r="11" spans="1:8" ht="18.75" x14ac:dyDescent="0.3">
      <c r="A11" s="5" t="s">
        <v>167</v>
      </c>
      <c r="B11" s="5"/>
      <c r="C11" s="5"/>
      <c r="D11" s="4">
        <v>279210</v>
      </c>
      <c r="H11" s="4">
        <f t="shared" ref="H11" si="0">(D11/1.19)*0.19</f>
        <v>44579.747899159665</v>
      </c>
    </row>
    <row r="12" spans="1:8" ht="18.75" x14ac:dyDescent="0.3">
      <c r="A12" s="5"/>
      <c r="B12" s="5"/>
      <c r="C12" s="5"/>
      <c r="D12" s="4"/>
      <c r="H12" s="4"/>
    </row>
    <row r="13" spans="1:8" ht="19.5" thickBot="1" x14ac:dyDescent="0.35">
      <c r="A13" s="5"/>
      <c r="B13" s="5"/>
      <c r="C13" s="5"/>
      <c r="D13" s="35"/>
      <c r="E13" s="27"/>
      <c r="H13" s="35"/>
    </row>
    <row r="14" spans="1:8" ht="19.5" thickTop="1" x14ac:dyDescent="0.3">
      <c r="D14" s="4">
        <f>SUM(D7:D13)</f>
        <v>279210</v>
      </c>
      <c r="H14" s="33">
        <f>SUM(H7:H13)</f>
        <v>44579.747899159665</v>
      </c>
    </row>
    <row r="16" spans="1:8" ht="18.75" x14ac:dyDescent="0.3">
      <c r="C16" t="s">
        <v>4</v>
      </c>
      <c r="D16" s="4">
        <f>D3-D14</f>
        <v>190840</v>
      </c>
      <c r="G16" t="s">
        <v>5</v>
      </c>
      <c r="H16" s="4">
        <f>H3-H14</f>
        <v>30470.252100840335</v>
      </c>
    </row>
    <row r="18" spans="1:8" x14ac:dyDescent="0.25">
      <c r="G18" t="s">
        <v>454</v>
      </c>
    </row>
    <row r="19" spans="1:8" ht="15.75" x14ac:dyDescent="0.25">
      <c r="A19" t="s">
        <v>6</v>
      </c>
      <c r="C19" s="8">
        <f>D16</f>
        <v>190840</v>
      </c>
      <c r="E19" t="s">
        <v>10</v>
      </c>
      <c r="H19" s="6">
        <f>C28</f>
        <v>158489.54789915966</v>
      </c>
    </row>
    <row r="21" spans="1:8" ht="15.75" x14ac:dyDescent="0.25">
      <c r="A21" t="s">
        <v>5</v>
      </c>
      <c r="B21" s="9" t="s">
        <v>7</v>
      </c>
      <c r="C21" s="8">
        <f>H16</f>
        <v>30470.252100840335</v>
      </c>
      <c r="E21" s="13" t="s">
        <v>11</v>
      </c>
      <c r="F21" s="9" t="s">
        <v>12</v>
      </c>
      <c r="G21" s="15" t="s">
        <v>17</v>
      </c>
      <c r="H21" s="3">
        <f>-(F22*0.0077)</f>
        <v>-3041.5</v>
      </c>
    </row>
    <row r="22" spans="1:8" x14ac:dyDescent="0.25">
      <c r="F22" s="21">
        <f>D3-H3</f>
        <v>395000</v>
      </c>
    </row>
    <row r="23" spans="1:8" ht="16.5" thickBot="1" x14ac:dyDescent="0.3">
      <c r="A23" t="s">
        <v>8</v>
      </c>
      <c r="B23" s="9" t="s">
        <v>7</v>
      </c>
      <c r="C23" s="8">
        <f>D3*0.004</f>
        <v>1880.2</v>
      </c>
      <c r="F23" s="9" t="s">
        <v>13</v>
      </c>
      <c r="G23" s="16">
        <v>0.35</v>
      </c>
      <c r="H23" s="17">
        <f>-(F24*0.35)</f>
        <v>-55471.341764705881</v>
      </c>
    </row>
    <row r="24" spans="1:8" x14ac:dyDescent="0.25">
      <c r="F24" s="21">
        <f>H19</f>
        <v>158489.54789915966</v>
      </c>
    </row>
    <row r="25" spans="1:8" x14ac:dyDescent="0.25">
      <c r="A25" t="s">
        <v>9</v>
      </c>
      <c r="B25" s="9" t="s">
        <v>7</v>
      </c>
      <c r="G25" s="13" t="s">
        <v>14</v>
      </c>
      <c r="H25" s="6">
        <f>H19+H21+H23</f>
        <v>99976.70613445378</v>
      </c>
    </row>
    <row r="26" spans="1:8" ht="15.75" thickBot="1" x14ac:dyDescent="0.3">
      <c r="A26" s="38" t="s">
        <v>638</v>
      </c>
      <c r="B26" s="14"/>
      <c r="C26" s="7"/>
    </row>
    <row r="27" spans="1:8" x14ac:dyDescent="0.25">
      <c r="E27" t="s">
        <v>100</v>
      </c>
      <c r="H27" s="20">
        <f>H25*0.4</f>
        <v>39990.682453781512</v>
      </c>
    </row>
    <row r="28" spans="1:8" ht="15.75" x14ac:dyDescent="0.25">
      <c r="A28" t="s">
        <v>10</v>
      </c>
      <c r="C28" s="10">
        <f>C19-C21-C23-C25</f>
        <v>158489.54789915966</v>
      </c>
      <c r="H28" s="18"/>
    </row>
    <row r="29" spans="1:8" x14ac:dyDescent="0.25">
      <c r="H29" s="3"/>
    </row>
    <row r="30" spans="1:8" x14ac:dyDescent="0.25">
      <c r="H30" s="18"/>
    </row>
  </sheetData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4579C-A6D9-4996-9FFE-501A6A2A91AB}">
  <dimension ref="A1:H30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720</v>
      </c>
    </row>
    <row r="3" spans="1:8" ht="21" x14ac:dyDescent="0.35">
      <c r="A3" s="2" t="s">
        <v>1</v>
      </c>
      <c r="D3" s="11">
        <v>117810</v>
      </c>
      <c r="F3" s="12" t="s">
        <v>3</v>
      </c>
      <c r="H3" s="11">
        <f>(D3/1.19)*0.19</f>
        <v>18810</v>
      </c>
    </row>
    <row r="4" spans="1:8" x14ac:dyDescent="0.25">
      <c r="A4" s="13" t="s">
        <v>29</v>
      </c>
      <c r="C4" s="28">
        <v>1093</v>
      </c>
    </row>
    <row r="5" spans="1:8" ht="21" x14ac:dyDescent="0.35">
      <c r="A5" s="2" t="s">
        <v>2</v>
      </c>
    </row>
    <row r="7" spans="1:8" ht="18.75" x14ac:dyDescent="0.3">
      <c r="A7" s="5"/>
      <c r="D7" s="4"/>
      <c r="H7" s="4"/>
    </row>
    <row r="8" spans="1:8" ht="18.75" x14ac:dyDescent="0.3">
      <c r="A8" s="5"/>
      <c r="D8" s="4"/>
      <c r="H8" s="4"/>
    </row>
    <row r="9" spans="1:8" ht="18.75" x14ac:dyDescent="0.3">
      <c r="A9" s="5"/>
      <c r="B9" s="5"/>
      <c r="C9" s="5"/>
      <c r="D9" s="4"/>
      <c r="H9" s="4"/>
    </row>
    <row r="10" spans="1:8" ht="18.75" x14ac:dyDescent="0.3">
      <c r="C10" s="5"/>
      <c r="D10" s="4"/>
      <c r="H10" s="4"/>
    </row>
    <row r="11" spans="1:8" ht="18.75" x14ac:dyDescent="0.3">
      <c r="A11" s="5" t="s">
        <v>167</v>
      </c>
      <c r="B11" s="5"/>
      <c r="C11" s="5"/>
      <c r="D11" s="4">
        <v>76370</v>
      </c>
      <c r="H11" s="4">
        <f t="shared" ref="H11" si="0">(D11/1.19)*0.19</f>
        <v>12193.529411764706</v>
      </c>
    </row>
    <row r="12" spans="1:8" ht="18.75" x14ac:dyDescent="0.3">
      <c r="A12" s="5"/>
      <c r="B12" s="5"/>
      <c r="C12" s="5"/>
      <c r="D12" s="4"/>
      <c r="H12" s="4"/>
    </row>
    <row r="13" spans="1:8" ht="19.5" thickBot="1" x14ac:dyDescent="0.35">
      <c r="A13" s="5"/>
      <c r="B13" s="5"/>
      <c r="C13" s="5"/>
      <c r="D13" s="35"/>
      <c r="E13" s="27"/>
      <c r="H13" s="35"/>
    </row>
    <row r="14" spans="1:8" ht="19.5" thickTop="1" x14ac:dyDescent="0.3">
      <c r="D14" s="4">
        <f>SUM(D7:D13)</f>
        <v>76370</v>
      </c>
      <c r="H14" s="33">
        <f>SUM(H7:H13)</f>
        <v>12193.529411764706</v>
      </c>
    </row>
    <row r="16" spans="1:8" ht="18.75" x14ac:dyDescent="0.3">
      <c r="C16" t="s">
        <v>4</v>
      </c>
      <c r="D16" s="4">
        <f>D3-D14</f>
        <v>41440</v>
      </c>
      <c r="G16" t="s">
        <v>5</v>
      </c>
      <c r="H16" s="4">
        <f>H3-H14</f>
        <v>6616.4705882352937</v>
      </c>
    </row>
    <row r="18" spans="1:8" x14ac:dyDescent="0.25">
      <c r="G18" t="s">
        <v>454</v>
      </c>
    </row>
    <row r="19" spans="1:8" ht="15.75" x14ac:dyDescent="0.25">
      <c r="A19" t="s">
        <v>6</v>
      </c>
      <c r="C19" s="8">
        <f>D16</f>
        <v>41440</v>
      </c>
      <c r="E19" t="s">
        <v>10</v>
      </c>
      <c r="H19" s="6">
        <f>C28</f>
        <v>34352.289411764708</v>
      </c>
    </row>
    <row r="21" spans="1:8" ht="15.75" x14ac:dyDescent="0.25">
      <c r="A21" t="s">
        <v>5</v>
      </c>
      <c r="B21" s="9" t="s">
        <v>7</v>
      </c>
      <c r="C21" s="8">
        <f>H16</f>
        <v>6616.4705882352937</v>
      </c>
      <c r="E21" s="13" t="s">
        <v>11</v>
      </c>
      <c r="F21" s="9" t="s">
        <v>12</v>
      </c>
      <c r="G21" s="15" t="s">
        <v>17</v>
      </c>
      <c r="H21" s="3">
        <f>-(F22*0.0077)</f>
        <v>-762.30000000000007</v>
      </c>
    </row>
    <row r="22" spans="1:8" x14ac:dyDescent="0.25">
      <c r="F22" s="21">
        <f>D3-H3</f>
        <v>99000</v>
      </c>
    </row>
    <row r="23" spans="1:8" ht="16.5" thickBot="1" x14ac:dyDescent="0.3">
      <c r="A23" t="s">
        <v>8</v>
      </c>
      <c r="B23" s="9" t="s">
        <v>7</v>
      </c>
      <c r="C23" s="8">
        <f>D3*0.004</f>
        <v>471.24</v>
      </c>
      <c r="F23" s="9" t="s">
        <v>13</v>
      </c>
      <c r="G23" s="16">
        <v>0.35</v>
      </c>
      <c r="H23" s="17">
        <f>-(F24*0.35)</f>
        <v>-12023.301294117648</v>
      </c>
    </row>
    <row r="24" spans="1:8" x14ac:dyDescent="0.25">
      <c r="F24" s="21">
        <f>H19</f>
        <v>34352.289411764708</v>
      </c>
    </row>
    <row r="25" spans="1:8" x14ac:dyDescent="0.25">
      <c r="A25" t="s">
        <v>9</v>
      </c>
      <c r="B25" s="9" t="s">
        <v>7</v>
      </c>
      <c r="G25" s="13" t="s">
        <v>14</v>
      </c>
      <c r="H25" s="6">
        <f>H19+H21+H23</f>
        <v>21566.688117647056</v>
      </c>
    </row>
    <row r="26" spans="1:8" ht="15.75" thickBot="1" x14ac:dyDescent="0.3">
      <c r="A26" s="38" t="s">
        <v>638</v>
      </c>
      <c r="B26" s="14"/>
      <c r="C26" s="7"/>
    </row>
    <row r="27" spans="1:8" x14ac:dyDescent="0.25">
      <c r="E27" t="s">
        <v>100</v>
      </c>
      <c r="H27" s="20">
        <f>H25*0.4</f>
        <v>8626.6752470588235</v>
      </c>
    </row>
    <row r="28" spans="1:8" ht="15.75" x14ac:dyDescent="0.25">
      <c r="A28" t="s">
        <v>10</v>
      </c>
      <c r="C28" s="10">
        <f>C19-C21-C23-C25</f>
        <v>34352.289411764708</v>
      </c>
      <c r="H28" s="18"/>
    </row>
    <row r="29" spans="1:8" x14ac:dyDescent="0.25">
      <c r="H29" s="3"/>
    </row>
    <row r="30" spans="1:8" x14ac:dyDescent="0.25">
      <c r="H30" s="18"/>
    </row>
  </sheetData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E4408-E991-4139-BB7F-C57A55945F77}">
  <dimension ref="A1:H30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705</v>
      </c>
    </row>
    <row r="3" spans="1:8" ht="21" x14ac:dyDescent="0.35">
      <c r="A3" s="2" t="s">
        <v>1</v>
      </c>
      <c r="D3" s="11">
        <v>130085</v>
      </c>
      <c r="F3" s="12" t="s">
        <v>3</v>
      </c>
      <c r="H3" s="11">
        <f>(D3/1.19)*0.19</f>
        <v>20769.873949579833</v>
      </c>
    </row>
    <row r="4" spans="1:8" x14ac:dyDescent="0.25">
      <c r="A4" s="13" t="s">
        <v>29</v>
      </c>
      <c r="C4" s="28">
        <v>1096</v>
      </c>
    </row>
    <row r="5" spans="1:8" ht="21" x14ac:dyDescent="0.35">
      <c r="A5" s="2" t="s">
        <v>2</v>
      </c>
    </row>
    <row r="7" spans="1:8" ht="18.75" x14ac:dyDescent="0.3">
      <c r="A7" s="5"/>
      <c r="D7" s="4"/>
      <c r="H7" s="4"/>
    </row>
    <row r="8" spans="1:8" ht="18.75" x14ac:dyDescent="0.3">
      <c r="A8" s="5"/>
      <c r="D8" s="4"/>
      <c r="H8" s="4"/>
    </row>
    <row r="9" spans="1:8" ht="18.75" x14ac:dyDescent="0.3">
      <c r="A9" s="5"/>
      <c r="B9" s="5"/>
      <c r="C9" s="5"/>
      <c r="D9" s="4"/>
      <c r="H9" s="4"/>
    </row>
    <row r="10" spans="1:8" ht="18.75" x14ac:dyDescent="0.3">
      <c r="C10" s="5"/>
      <c r="D10" s="4"/>
      <c r="H10" s="4"/>
    </row>
    <row r="11" spans="1:8" ht="18.75" x14ac:dyDescent="0.3">
      <c r="A11" s="5" t="s">
        <v>167</v>
      </c>
      <c r="B11" s="5"/>
      <c r="C11" s="5"/>
      <c r="D11" s="4">
        <v>93470</v>
      </c>
      <c r="H11" s="4">
        <f t="shared" ref="H11" si="0">(D11/1.19)*0.19</f>
        <v>14923.781512605043</v>
      </c>
    </row>
    <row r="12" spans="1:8" ht="18.75" x14ac:dyDescent="0.3">
      <c r="A12" s="5"/>
      <c r="B12" s="5"/>
      <c r="C12" s="5"/>
      <c r="D12" s="4"/>
      <c r="H12" s="4"/>
    </row>
    <row r="13" spans="1:8" ht="19.5" thickBot="1" x14ac:dyDescent="0.35">
      <c r="A13" s="5"/>
      <c r="B13" s="5"/>
      <c r="C13" s="5"/>
      <c r="D13" s="35"/>
      <c r="E13" s="27"/>
      <c r="H13" s="35"/>
    </row>
    <row r="14" spans="1:8" ht="19.5" thickTop="1" x14ac:dyDescent="0.3">
      <c r="D14" s="4">
        <f>SUM(D7:D13)</f>
        <v>93470</v>
      </c>
      <c r="H14" s="33">
        <f>SUM(H7:H13)</f>
        <v>14923.781512605043</v>
      </c>
    </row>
    <row r="16" spans="1:8" ht="18.75" x14ac:dyDescent="0.3">
      <c r="C16" t="s">
        <v>4</v>
      </c>
      <c r="D16" s="4">
        <f>D3-D14</f>
        <v>36615</v>
      </c>
      <c r="G16" t="s">
        <v>5</v>
      </c>
      <c r="H16" s="4">
        <f>H3-H14</f>
        <v>5846.09243697479</v>
      </c>
    </row>
    <row r="18" spans="1:8" x14ac:dyDescent="0.25">
      <c r="G18" t="s">
        <v>454</v>
      </c>
    </row>
    <row r="19" spans="1:8" ht="15.75" x14ac:dyDescent="0.25">
      <c r="A19" t="s">
        <v>6</v>
      </c>
      <c r="C19" s="8">
        <f>D16</f>
        <v>36615</v>
      </c>
      <c r="E19" t="s">
        <v>10</v>
      </c>
      <c r="H19" s="6">
        <f>C28</f>
        <v>30248.567563025212</v>
      </c>
    </row>
    <row r="21" spans="1:8" ht="15.75" x14ac:dyDescent="0.25">
      <c r="A21" t="s">
        <v>5</v>
      </c>
      <c r="B21" s="9" t="s">
        <v>7</v>
      </c>
      <c r="C21" s="8">
        <f>H16</f>
        <v>5846.09243697479</v>
      </c>
      <c r="E21" s="13" t="s">
        <v>11</v>
      </c>
      <c r="F21" s="9" t="s">
        <v>12</v>
      </c>
      <c r="G21" s="15" t="s">
        <v>17</v>
      </c>
      <c r="H21" s="3">
        <f>-(F22*0.0077)</f>
        <v>-841.72647058823532</v>
      </c>
    </row>
    <row r="22" spans="1:8" x14ac:dyDescent="0.25">
      <c r="F22" s="21">
        <f>D3-H3</f>
        <v>109315.12605042016</v>
      </c>
    </row>
    <row r="23" spans="1:8" ht="16.5" thickBot="1" x14ac:dyDescent="0.3">
      <c r="A23" t="s">
        <v>8</v>
      </c>
      <c r="B23" s="9" t="s">
        <v>7</v>
      </c>
      <c r="C23" s="8">
        <f>D3*0.004</f>
        <v>520.34</v>
      </c>
      <c r="F23" s="9" t="s">
        <v>13</v>
      </c>
      <c r="G23" s="16">
        <v>0.35</v>
      </c>
      <c r="H23" s="17">
        <f>-(F24*0.35)</f>
        <v>-10586.998647058823</v>
      </c>
    </row>
    <row r="24" spans="1:8" x14ac:dyDescent="0.25">
      <c r="F24" s="21">
        <f>H19</f>
        <v>30248.567563025212</v>
      </c>
    </row>
    <row r="25" spans="1:8" x14ac:dyDescent="0.25">
      <c r="A25" t="s">
        <v>9</v>
      </c>
      <c r="B25" s="9" t="s">
        <v>7</v>
      </c>
      <c r="G25" s="13" t="s">
        <v>14</v>
      </c>
      <c r="H25" s="6">
        <f>H19+H21+H23</f>
        <v>18819.842445378152</v>
      </c>
    </row>
    <row r="26" spans="1:8" ht="15.75" thickBot="1" x14ac:dyDescent="0.3">
      <c r="A26" s="38" t="s">
        <v>638</v>
      </c>
      <c r="B26" s="14"/>
      <c r="C26" s="7"/>
    </row>
    <row r="27" spans="1:8" x14ac:dyDescent="0.25">
      <c r="E27" t="s">
        <v>100</v>
      </c>
      <c r="H27" s="20">
        <f>H25*0.4</f>
        <v>7527.9369781512614</v>
      </c>
    </row>
    <row r="28" spans="1:8" ht="15.75" x14ac:dyDescent="0.25">
      <c r="A28" t="s">
        <v>10</v>
      </c>
      <c r="C28" s="10">
        <f>C19-C21-C23-C25</f>
        <v>30248.567563025212</v>
      </c>
      <c r="H28" s="18"/>
    </row>
    <row r="29" spans="1:8" x14ac:dyDescent="0.25">
      <c r="H29" s="3"/>
    </row>
    <row r="30" spans="1:8" x14ac:dyDescent="0.25">
      <c r="H30" s="18"/>
    </row>
  </sheetData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A1A1C-44D5-4A00-B425-7ED018D124D4}">
  <dimension ref="A1:H30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721</v>
      </c>
    </row>
    <row r="3" spans="1:8" ht="21" x14ac:dyDescent="0.35">
      <c r="A3" s="2" t="s">
        <v>1</v>
      </c>
      <c r="D3" s="11">
        <v>126973</v>
      </c>
      <c r="F3" s="12" t="s">
        <v>3</v>
      </c>
      <c r="H3" s="11">
        <f>(D3/1.19)*0.19</f>
        <v>20273</v>
      </c>
    </row>
    <row r="4" spans="1:8" x14ac:dyDescent="0.25">
      <c r="A4" s="13" t="s">
        <v>29</v>
      </c>
      <c r="C4" s="28">
        <v>1100</v>
      </c>
    </row>
    <row r="5" spans="1:8" ht="21" x14ac:dyDescent="0.35">
      <c r="A5" s="2" t="s">
        <v>2</v>
      </c>
    </row>
    <row r="7" spans="1:8" ht="18.75" x14ac:dyDescent="0.3">
      <c r="A7" s="5"/>
      <c r="D7" s="4"/>
      <c r="H7" s="4"/>
    </row>
    <row r="8" spans="1:8" ht="18.75" x14ac:dyDescent="0.3">
      <c r="A8" s="5"/>
      <c r="D8" s="4"/>
      <c r="H8" s="4"/>
    </row>
    <row r="9" spans="1:8" ht="18.75" x14ac:dyDescent="0.3">
      <c r="A9" s="5"/>
      <c r="B9" s="5"/>
      <c r="C9" s="5"/>
      <c r="D9" s="4"/>
      <c r="H9" s="4"/>
    </row>
    <row r="10" spans="1:8" ht="18.75" x14ac:dyDescent="0.3">
      <c r="C10" s="5"/>
      <c r="D10" s="4"/>
      <c r="H10" s="4"/>
    </row>
    <row r="11" spans="1:8" ht="18.75" x14ac:dyDescent="0.3">
      <c r="A11" s="5" t="s">
        <v>167</v>
      </c>
      <c r="B11" s="5"/>
      <c r="C11" s="5"/>
      <c r="D11" s="4">
        <v>98480</v>
      </c>
      <c r="H11" s="4">
        <f t="shared" ref="H11" si="0">(D11/1.19)*0.19</f>
        <v>15723.697478991597</v>
      </c>
    </row>
    <row r="12" spans="1:8" ht="18.75" x14ac:dyDescent="0.3">
      <c r="A12" s="5"/>
      <c r="B12" s="5"/>
      <c r="C12" s="5"/>
      <c r="D12" s="4"/>
      <c r="H12" s="4"/>
    </row>
    <row r="13" spans="1:8" ht="19.5" thickBot="1" x14ac:dyDescent="0.35">
      <c r="A13" s="5"/>
      <c r="B13" s="5"/>
      <c r="C13" s="5"/>
      <c r="D13" s="35"/>
      <c r="E13" s="27"/>
      <c r="H13" s="35"/>
    </row>
    <row r="14" spans="1:8" ht="19.5" thickTop="1" x14ac:dyDescent="0.3">
      <c r="D14" s="4">
        <f>SUM(D7:D13)</f>
        <v>98480</v>
      </c>
      <c r="H14" s="33">
        <f>SUM(H7:H13)</f>
        <v>15723.697478991597</v>
      </c>
    </row>
    <row r="16" spans="1:8" ht="18.75" x14ac:dyDescent="0.3">
      <c r="C16" t="s">
        <v>4</v>
      </c>
      <c r="D16" s="4">
        <f>D3-D14</f>
        <v>28493</v>
      </c>
      <c r="G16" t="s">
        <v>5</v>
      </c>
      <c r="H16" s="4">
        <f>H3-H14</f>
        <v>4549.3025210084033</v>
      </c>
    </row>
    <row r="18" spans="1:8" x14ac:dyDescent="0.25">
      <c r="G18" t="s">
        <v>454</v>
      </c>
    </row>
    <row r="19" spans="1:8" ht="15.75" x14ac:dyDescent="0.25">
      <c r="A19" t="s">
        <v>6</v>
      </c>
      <c r="C19" s="8">
        <f>D16</f>
        <v>28493</v>
      </c>
      <c r="E19" t="s">
        <v>10</v>
      </c>
      <c r="H19" s="6">
        <f>C28</f>
        <v>23435.805478991599</v>
      </c>
    </row>
    <row r="21" spans="1:8" ht="15.75" x14ac:dyDescent="0.25">
      <c r="A21" t="s">
        <v>5</v>
      </c>
      <c r="B21" s="9" t="s">
        <v>7</v>
      </c>
      <c r="C21" s="8">
        <f>H16</f>
        <v>4549.3025210084033</v>
      </c>
      <c r="E21" s="13" t="s">
        <v>11</v>
      </c>
      <c r="F21" s="9" t="s">
        <v>12</v>
      </c>
      <c r="G21" s="15" t="s">
        <v>17</v>
      </c>
      <c r="H21" s="3">
        <f>-(F22*0.0077)</f>
        <v>-821.59</v>
      </c>
    </row>
    <row r="22" spans="1:8" x14ac:dyDescent="0.25">
      <c r="F22" s="21">
        <f>D3-H3</f>
        <v>106700</v>
      </c>
    </row>
    <row r="23" spans="1:8" ht="16.5" thickBot="1" x14ac:dyDescent="0.3">
      <c r="A23" t="s">
        <v>8</v>
      </c>
      <c r="B23" s="9" t="s">
        <v>7</v>
      </c>
      <c r="C23" s="8">
        <f>D3*0.004</f>
        <v>507.892</v>
      </c>
      <c r="F23" s="9" t="s">
        <v>13</v>
      </c>
      <c r="G23" s="16">
        <v>0.35</v>
      </c>
      <c r="H23" s="17">
        <f>-(F24*0.35)</f>
        <v>-8202.5319176470584</v>
      </c>
    </row>
    <row r="24" spans="1:8" x14ac:dyDescent="0.25">
      <c r="F24" s="21">
        <f>H19</f>
        <v>23435.805478991599</v>
      </c>
    </row>
    <row r="25" spans="1:8" x14ac:dyDescent="0.25">
      <c r="A25" t="s">
        <v>9</v>
      </c>
      <c r="B25" s="9" t="s">
        <v>7</v>
      </c>
      <c r="G25" s="13" t="s">
        <v>14</v>
      </c>
      <c r="H25" s="6">
        <f>H19+H21+H23</f>
        <v>14411.68356134454</v>
      </c>
    </row>
    <row r="26" spans="1:8" ht="15.75" thickBot="1" x14ac:dyDescent="0.3">
      <c r="A26" s="38" t="s">
        <v>638</v>
      </c>
      <c r="B26" s="14"/>
      <c r="C26" s="7"/>
    </row>
    <row r="27" spans="1:8" x14ac:dyDescent="0.25">
      <c r="E27" t="s">
        <v>100</v>
      </c>
      <c r="H27" s="20">
        <f>H25*0.4</f>
        <v>5764.6734245378166</v>
      </c>
    </row>
    <row r="28" spans="1:8" ht="15.75" x14ac:dyDescent="0.25">
      <c r="A28" t="s">
        <v>10</v>
      </c>
      <c r="C28" s="10">
        <f>C19-C21-C23-C25</f>
        <v>23435.805478991599</v>
      </c>
      <c r="H28" s="18"/>
    </row>
    <row r="29" spans="1:8" x14ac:dyDescent="0.25">
      <c r="H29" s="3"/>
    </row>
    <row r="30" spans="1:8" x14ac:dyDescent="0.25">
      <c r="H30" s="18"/>
    </row>
  </sheetData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20061-74BC-4C96-BFB1-F5B04C61BD09}">
  <dimension ref="A1:H30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722</v>
      </c>
    </row>
    <row r="3" spans="1:8" ht="21" x14ac:dyDescent="0.35">
      <c r="A3" s="2" t="s">
        <v>1</v>
      </c>
      <c r="D3" s="11">
        <v>3988880</v>
      </c>
      <c r="F3" s="12" t="s">
        <v>3</v>
      </c>
      <c r="H3" s="11">
        <f>(D3/1.19)*0.19</f>
        <v>636880</v>
      </c>
    </row>
    <row r="4" spans="1:8" x14ac:dyDescent="0.25">
      <c r="A4" s="13" t="s">
        <v>29</v>
      </c>
      <c r="C4" s="28">
        <v>1106</v>
      </c>
    </row>
    <row r="5" spans="1:8" ht="21" x14ac:dyDescent="0.35">
      <c r="A5" s="2" t="s">
        <v>2</v>
      </c>
    </row>
    <row r="7" spans="1:8" ht="18.75" x14ac:dyDescent="0.3">
      <c r="A7" s="5"/>
      <c r="D7" s="4"/>
      <c r="H7" s="4"/>
    </row>
    <row r="8" spans="1:8" ht="18.75" x14ac:dyDescent="0.3">
      <c r="A8" s="5"/>
      <c r="D8" s="4"/>
      <c r="H8" s="4"/>
    </row>
    <row r="9" spans="1:8" ht="18.75" x14ac:dyDescent="0.3">
      <c r="A9" s="5"/>
      <c r="B9" s="5"/>
      <c r="C9" s="5"/>
      <c r="D9" s="4"/>
      <c r="H9" s="4"/>
    </row>
    <row r="10" spans="1:8" ht="18.75" x14ac:dyDescent="0.3">
      <c r="C10" s="5"/>
      <c r="D10" s="4"/>
      <c r="H10" s="4"/>
    </row>
    <row r="11" spans="1:8" ht="18.75" x14ac:dyDescent="0.3">
      <c r="A11" s="5" t="s">
        <v>723</v>
      </c>
      <c r="B11" s="5"/>
      <c r="C11" s="5"/>
      <c r="D11" s="4">
        <v>2677500</v>
      </c>
      <c r="H11" s="4">
        <f t="shared" ref="H11:H12" si="0">(D11/1.19)*0.19</f>
        <v>427500</v>
      </c>
    </row>
    <row r="12" spans="1:8" ht="18.75" x14ac:dyDescent="0.3">
      <c r="A12" s="5" t="s">
        <v>208</v>
      </c>
      <c r="B12" s="5"/>
      <c r="C12" s="5"/>
      <c r="D12" s="4">
        <v>170170</v>
      </c>
      <c r="H12" s="4">
        <f t="shared" si="0"/>
        <v>27170</v>
      </c>
    </row>
    <row r="13" spans="1:8" ht="19.5" thickBot="1" x14ac:dyDescent="0.35">
      <c r="A13" s="5"/>
      <c r="B13" s="5"/>
      <c r="C13" s="5"/>
      <c r="D13" s="35"/>
      <c r="E13" s="27"/>
      <c r="H13" s="35"/>
    </row>
    <row r="14" spans="1:8" ht="19.5" thickTop="1" x14ac:dyDescent="0.3">
      <c r="D14" s="4">
        <f>SUM(D7:D13)</f>
        <v>2847670</v>
      </c>
      <c r="H14" s="33">
        <f>SUM(H7:H13)</f>
        <v>454670</v>
      </c>
    </row>
    <row r="16" spans="1:8" ht="18.75" x14ac:dyDescent="0.3">
      <c r="C16" t="s">
        <v>4</v>
      </c>
      <c r="D16" s="4">
        <f>D3-D14</f>
        <v>1141210</v>
      </c>
      <c r="G16" t="s">
        <v>5</v>
      </c>
      <c r="H16" s="4">
        <f>H3-H14</f>
        <v>182210</v>
      </c>
    </row>
    <row r="18" spans="1:8" x14ac:dyDescent="0.25">
      <c r="G18" t="s">
        <v>454</v>
      </c>
    </row>
    <row r="19" spans="1:8" ht="15.75" x14ac:dyDescent="0.25">
      <c r="A19" t="s">
        <v>6</v>
      </c>
      <c r="C19" s="8">
        <f>D16</f>
        <v>1141210</v>
      </c>
      <c r="E19" t="s">
        <v>10</v>
      </c>
      <c r="H19" s="6">
        <f>C28</f>
        <v>943044.48</v>
      </c>
    </row>
    <row r="21" spans="1:8" ht="15.75" x14ac:dyDescent="0.25">
      <c r="A21" t="s">
        <v>5</v>
      </c>
      <c r="B21" s="9" t="s">
        <v>7</v>
      </c>
      <c r="C21" s="8">
        <f>H16</f>
        <v>182210</v>
      </c>
      <c r="E21" s="13" t="s">
        <v>11</v>
      </c>
      <c r="F21" s="9" t="s">
        <v>12</v>
      </c>
      <c r="G21" s="15" t="s">
        <v>17</v>
      </c>
      <c r="H21" s="3">
        <f>-(F22*0.0077)</f>
        <v>-25810.400000000001</v>
      </c>
    </row>
    <row r="22" spans="1:8" x14ac:dyDescent="0.25">
      <c r="F22" s="21">
        <f>D3-H3</f>
        <v>3352000</v>
      </c>
    </row>
    <row r="23" spans="1:8" ht="16.5" thickBot="1" x14ac:dyDescent="0.3">
      <c r="A23" t="s">
        <v>8</v>
      </c>
      <c r="B23" s="9" t="s">
        <v>7</v>
      </c>
      <c r="C23" s="8">
        <f>D3*0.004</f>
        <v>15955.52</v>
      </c>
      <c r="F23" s="9" t="s">
        <v>13</v>
      </c>
      <c r="G23" s="16">
        <v>0.35</v>
      </c>
      <c r="H23" s="17">
        <f>-(F24*0.35)</f>
        <v>-330065.56799999997</v>
      </c>
    </row>
    <row r="24" spans="1:8" x14ac:dyDescent="0.25">
      <c r="F24" s="21">
        <f>H19</f>
        <v>943044.48</v>
      </c>
    </row>
    <row r="25" spans="1:8" x14ac:dyDescent="0.25">
      <c r="A25" t="s">
        <v>9</v>
      </c>
      <c r="B25" s="9" t="s">
        <v>7</v>
      </c>
      <c r="G25" s="13" t="s">
        <v>14</v>
      </c>
      <c r="H25" s="6">
        <f>H19+H21+H23</f>
        <v>587168.51199999999</v>
      </c>
    </row>
    <row r="26" spans="1:8" ht="15.75" thickBot="1" x14ac:dyDescent="0.3">
      <c r="A26" s="38" t="s">
        <v>638</v>
      </c>
      <c r="B26" s="14"/>
      <c r="C26" s="7"/>
    </row>
    <row r="27" spans="1:8" x14ac:dyDescent="0.25">
      <c r="E27" t="s">
        <v>100</v>
      </c>
      <c r="H27" s="20">
        <f>H25*0.4</f>
        <v>234867.40480000002</v>
      </c>
    </row>
    <row r="28" spans="1:8" ht="15.75" x14ac:dyDescent="0.25">
      <c r="A28" t="s">
        <v>10</v>
      </c>
      <c r="C28" s="10">
        <f>C19-C21-C23-C25</f>
        <v>943044.48</v>
      </c>
      <c r="H28" s="18"/>
    </row>
    <row r="29" spans="1:8" x14ac:dyDescent="0.25">
      <c r="H29" s="3"/>
    </row>
    <row r="30" spans="1:8" x14ac:dyDescent="0.25">
      <c r="H30" s="18"/>
    </row>
  </sheetData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A7E8D-151F-48CF-973B-A111AEB1B220}">
  <dimension ref="A1:H30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724</v>
      </c>
    </row>
    <row r="3" spans="1:8" ht="21" x14ac:dyDescent="0.35">
      <c r="A3" s="2" t="s">
        <v>1</v>
      </c>
      <c r="D3" s="11">
        <v>111384</v>
      </c>
      <c r="F3" s="12" t="s">
        <v>3</v>
      </c>
      <c r="H3" s="11">
        <f>(D3/1.19)*0.19</f>
        <v>17784</v>
      </c>
    </row>
    <row r="4" spans="1:8" x14ac:dyDescent="0.25">
      <c r="A4" s="13" t="s">
        <v>29</v>
      </c>
      <c r="C4" s="28">
        <v>1115</v>
      </c>
    </row>
    <row r="5" spans="1:8" ht="21" x14ac:dyDescent="0.35">
      <c r="A5" s="2" t="s">
        <v>2</v>
      </c>
    </row>
    <row r="7" spans="1:8" ht="18.75" x14ac:dyDescent="0.3">
      <c r="A7" s="5"/>
      <c r="D7" s="4"/>
      <c r="H7" s="4"/>
    </row>
    <row r="8" spans="1:8" ht="18.75" x14ac:dyDescent="0.3">
      <c r="A8" s="5"/>
      <c r="D8" s="4"/>
      <c r="H8" s="4"/>
    </row>
    <row r="9" spans="1:8" ht="18.75" x14ac:dyDescent="0.3">
      <c r="A9" s="5"/>
      <c r="B9" s="5"/>
      <c r="C9" s="5"/>
      <c r="D9" s="4"/>
      <c r="H9" s="4"/>
    </row>
    <row r="10" spans="1:8" ht="18.75" x14ac:dyDescent="0.3">
      <c r="C10" s="5"/>
      <c r="D10" s="4"/>
      <c r="H10" s="4"/>
    </row>
    <row r="11" spans="1:8" ht="18.75" x14ac:dyDescent="0.3">
      <c r="A11" s="5"/>
      <c r="B11" s="5"/>
      <c r="C11" s="5"/>
      <c r="D11" s="4"/>
      <c r="H11" s="4">
        <f t="shared" ref="H11:H12" si="0">(D11/1.19)*0.19</f>
        <v>0</v>
      </c>
    </row>
    <row r="12" spans="1:8" ht="18.75" x14ac:dyDescent="0.3">
      <c r="A12" s="5" t="s">
        <v>208</v>
      </c>
      <c r="B12" s="5"/>
      <c r="C12" s="5"/>
      <c r="D12" s="4">
        <v>94800</v>
      </c>
      <c r="H12" s="4">
        <f t="shared" si="0"/>
        <v>15136.134453781515</v>
      </c>
    </row>
    <row r="13" spans="1:8" ht="19.5" thickBot="1" x14ac:dyDescent="0.35">
      <c r="A13" s="5"/>
      <c r="B13" s="5"/>
      <c r="C13" s="5"/>
      <c r="D13" s="35"/>
      <c r="E13" s="27"/>
      <c r="H13" s="35"/>
    </row>
    <row r="14" spans="1:8" ht="19.5" thickTop="1" x14ac:dyDescent="0.3">
      <c r="D14" s="4">
        <f>SUM(D7:D13)</f>
        <v>94800</v>
      </c>
      <c r="H14" s="33">
        <f>SUM(H7:H13)</f>
        <v>15136.134453781515</v>
      </c>
    </row>
    <row r="16" spans="1:8" ht="18.75" x14ac:dyDescent="0.3">
      <c r="C16" t="s">
        <v>4</v>
      </c>
      <c r="D16" s="4">
        <f>D3-D14</f>
        <v>16584</v>
      </c>
      <c r="G16" t="s">
        <v>5</v>
      </c>
      <c r="H16" s="4">
        <f>H3-H14</f>
        <v>2647.8655462184852</v>
      </c>
    </row>
    <row r="18" spans="1:8" x14ac:dyDescent="0.25">
      <c r="G18" t="s">
        <v>454</v>
      </c>
    </row>
    <row r="19" spans="1:8" ht="15.75" x14ac:dyDescent="0.25">
      <c r="A19" t="s">
        <v>6</v>
      </c>
      <c r="C19" s="8">
        <f>D16</f>
        <v>16584</v>
      </c>
      <c r="E19" t="s">
        <v>10</v>
      </c>
      <c r="H19" s="6">
        <f>C28</f>
        <v>13490.598453781515</v>
      </c>
    </row>
    <row r="21" spans="1:8" ht="15.75" x14ac:dyDescent="0.25">
      <c r="A21" t="s">
        <v>5</v>
      </c>
      <c r="B21" s="9" t="s">
        <v>7</v>
      </c>
      <c r="C21" s="8">
        <f>H16</f>
        <v>2647.8655462184852</v>
      </c>
      <c r="E21" s="13" t="s">
        <v>11</v>
      </c>
      <c r="F21" s="9" t="s">
        <v>12</v>
      </c>
      <c r="G21" s="15" t="s">
        <v>17</v>
      </c>
      <c r="H21" s="3">
        <f>-(F22*0.0077)</f>
        <v>-720.72</v>
      </c>
    </row>
    <row r="22" spans="1:8" x14ac:dyDescent="0.25">
      <c r="F22" s="21">
        <f>D3-H3</f>
        <v>93600</v>
      </c>
    </row>
    <row r="23" spans="1:8" ht="16.5" thickBot="1" x14ac:dyDescent="0.3">
      <c r="A23" t="s">
        <v>8</v>
      </c>
      <c r="B23" s="9" t="s">
        <v>7</v>
      </c>
      <c r="C23" s="8">
        <f>D3*0.004</f>
        <v>445.536</v>
      </c>
      <c r="F23" s="9" t="s">
        <v>13</v>
      </c>
      <c r="G23" s="16">
        <v>0.35</v>
      </c>
      <c r="H23" s="17">
        <f>-(F24*0.35)</f>
        <v>-4721.7094588235295</v>
      </c>
    </row>
    <row r="24" spans="1:8" x14ac:dyDescent="0.25">
      <c r="F24" s="21">
        <f>H19</f>
        <v>13490.598453781515</v>
      </c>
    </row>
    <row r="25" spans="1:8" x14ac:dyDescent="0.25">
      <c r="A25" t="s">
        <v>9</v>
      </c>
      <c r="B25" s="9" t="s">
        <v>7</v>
      </c>
      <c r="G25" s="13" t="s">
        <v>14</v>
      </c>
      <c r="H25" s="6">
        <f>H19+H21+H23</f>
        <v>8048.1689949579859</v>
      </c>
    </row>
    <row r="26" spans="1:8" ht="15.75" thickBot="1" x14ac:dyDescent="0.3">
      <c r="A26" s="38" t="s">
        <v>638</v>
      </c>
      <c r="B26" s="14"/>
      <c r="C26" s="7"/>
    </row>
    <row r="27" spans="1:8" x14ac:dyDescent="0.25">
      <c r="E27" t="s">
        <v>100</v>
      </c>
      <c r="H27" s="20">
        <f>H25*0.4</f>
        <v>3219.2675979831947</v>
      </c>
    </row>
    <row r="28" spans="1:8" ht="15.75" x14ac:dyDescent="0.25">
      <c r="A28" t="s">
        <v>10</v>
      </c>
      <c r="C28" s="10">
        <f>C19-C21-C23-C25</f>
        <v>13490.598453781515</v>
      </c>
      <c r="H28" s="18"/>
    </row>
    <row r="29" spans="1:8" x14ac:dyDescent="0.25">
      <c r="H29" s="3"/>
    </row>
    <row r="30" spans="1:8" x14ac:dyDescent="0.25">
      <c r="H30" s="18"/>
    </row>
  </sheetData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42CCB-8751-429E-8CE1-1B17DBCE7C36}">
  <dimension ref="A1:H30"/>
  <sheetViews>
    <sheetView workbookViewId="0">
      <selection sqref="A1:XFD1048576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725</v>
      </c>
    </row>
    <row r="3" spans="1:8" ht="21" x14ac:dyDescent="0.35">
      <c r="A3" s="2" t="s">
        <v>1</v>
      </c>
      <c r="D3" s="11">
        <v>658808</v>
      </c>
      <c r="F3" s="12" t="s">
        <v>3</v>
      </c>
      <c r="H3" s="11">
        <f>(D3/1.19)*0.19</f>
        <v>105187.83193277312</v>
      </c>
    </row>
    <row r="4" spans="1:8" x14ac:dyDescent="0.25">
      <c r="A4" s="13" t="s">
        <v>29</v>
      </c>
      <c r="C4" s="28">
        <v>1121</v>
      </c>
    </row>
    <row r="5" spans="1:8" ht="21" x14ac:dyDescent="0.35">
      <c r="A5" s="2" t="s">
        <v>2</v>
      </c>
    </row>
    <row r="7" spans="1:8" ht="18.75" x14ac:dyDescent="0.3">
      <c r="A7" s="5"/>
      <c r="D7" s="4"/>
      <c r="H7" s="4"/>
    </row>
    <row r="8" spans="1:8" ht="18.75" x14ac:dyDescent="0.3">
      <c r="A8" s="5"/>
      <c r="D8" s="4"/>
      <c r="H8" s="4"/>
    </row>
    <row r="9" spans="1:8" ht="18.75" x14ac:dyDescent="0.3">
      <c r="A9" s="5"/>
      <c r="B9" s="5"/>
      <c r="C9" s="5"/>
      <c r="D9" s="4"/>
      <c r="H9" s="4"/>
    </row>
    <row r="10" spans="1:8" ht="18.75" x14ac:dyDescent="0.3">
      <c r="C10" s="5"/>
      <c r="D10" s="4"/>
      <c r="H10" s="4"/>
    </row>
    <row r="11" spans="1:8" ht="18.75" x14ac:dyDescent="0.3">
      <c r="A11" s="5" t="s">
        <v>726</v>
      </c>
      <c r="B11" s="5"/>
      <c r="C11" s="5"/>
      <c r="D11" s="4">
        <v>126557</v>
      </c>
      <c r="H11" s="4">
        <f t="shared" ref="H11:H12" si="0">(D11/1.19)*0.19</f>
        <v>20206.579831932773</v>
      </c>
    </row>
    <row r="12" spans="1:8" ht="18.75" x14ac:dyDescent="0.3">
      <c r="A12" s="5" t="s">
        <v>208</v>
      </c>
      <c r="B12" s="5"/>
      <c r="C12" s="5"/>
      <c r="D12" s="4">
        <v>300000</v>
      </c>
      <c r="H12" s="4"/>
    </row>
    <row r="13" spans="1:8" ht="19.5" thickBot="1" x14ac:dyDescent="0.35">
      <c r="A13" s="5"/>
      <c r="B13" s="5"/>
      <c r="C13" s="5"/>
      <c r="D13" s="35"/>
      <c r="E13" s="27"/>
      <c r="H13" s="35"/>
    </row>
    <row r="14" spans="1:8" ht="19.5" thickTop="1" x14ac:dyDescent="0.3">
      <c r="D14" s="4">
        <f>SUM(D7:D13)</f>
        <v>426557</v>
      </c>
      <c r="H14" s="33">
        <f>SUM(H7:H13)</f>
        <v>20206.579831932773</v>
      </c>
    </row>
    <row r="16" spans="1:8" ht="18.75" x14ac:dyDescent="0.3">
      <c r="C16" t="s">
        <v>4</v>
      </c>
      <c r="D16" s="4">
        <f>D3-D14</f>
        <v>232251</v>
      </c>
      <c r="G16" t="s">
        <v>5</v>
      </c>
      <c r="H16" s="4">
        <f>H3-H14</f>
        <v>84981.252100840342</v>
      </c>
    </row>
    <row r="18" spans="1:8" x14ac:dyDescent="0.25">
      <c r="G18" t="s">
        <v>454</v>
      </c>
    </row>
    <row r="19" spans="1:8" ht="15.75" x14ac:dyDescent="0.25">
      <c r="A19" t="s">
        <v>6</v>
      </c>
      <c r="C19" s="8">
        <f>D16</f>
        <v>232251</v>
      </c>
      <c r="E19" t="s">
        <v>10</v>
      </c>
      <c r="H19" s="6">
        <f>C28</f>
        <v>144634.51589915968</v>
      </c>
    </row>
    <row r="21" spans="1:8" ht="15.75" x14ac:dyDescent="0.25">
      <c r="A21" t="s">
        <v>5</v>
      </c>
      <c r="B21" s="9" t="s">
        <v>7</v>
      </c>
      <c r="C21" s="8">
        <f>H16</f>
        <v>84981.252100840342</v>
      </c>
      <c r="E21" s="13" t="s">
        <v>11</v>
      </c>
      <c r="F21" s="9" t="s">
        <v>12</v>
      </c>
      <c r="G21" s="15" t="s">
        <v>17</v>
      </c>
      <c r="H21" s="3">
        <f>-(F22*0.0077)</f>
        <v>-4262.8752941176472</v>
      </c>
    </row>
    <row r="22" spans="1:8" x14ac:dyDescent="0.25">
      <c r="F22" s="21">
        <f>D3-H3</f>
        <v>553620.16806722688</v>
      </c>
    </row>
    <row r="23" spans="1:8" ht="16.5" thickBot="1" x14ac:dyDescent="0.3">
      <c r="A23" t="s">
        <v>8</v>
      </c>
      <c r="B23" s="9" t="s">
        <v>7</v>
      </c>
      <c r="C23" s="8">
        <f>D3*0.004</f>
        <v>2635.232</v>
      </c>
      <c r="F23" s="9" t="s">
        <v>13</v>
      </c>
      <c r="G23" s="16">
        <v>0.35</v>
      </c>
      <c r="H23" s="17">
        <f>-(F24*0.35)</f>
        <v>-50622.080564705888</v>
      </c>
    </row>
    <row r="24" spans="1:8" x14ac:dyDescent="0.25">
      <c r="F24" s="21">
        <f>H19</f>
        <v>144634.51589915968</v>
      </c>
    </row>
    <row r="25" spans="1:8" x14ac:dyDescent="0.25">
      <c r="A25" t="s">
        <v>9</v>
      </c>
      <c r="B25" s="9" t="s">
        <v>7</v>
      </c>
      <c r="G25" s="13" t="s">
        <v>14</v>
      </c>
      <c r="H25" s="6">
        <f>H19+H21+H23</f>
        <v>89749.56004033616</v>
      </c>
    </row>
    <row r="26" spans="1:8" ht="15.75" thickBot="1" x14ac:dyDescent="0.3">
      <c r="A26" s="38" t="s">
        <v>638</v>
      </c>
      <c r="B26" s="14"/>
      <c r="C26" s="7"/>
    </row>
    <row r="27" spans="1:8" x14ac:dyDescent="0.25">
      <c r="E27" t="s">
        <v>100</v>
      </c>
      <c r="H27" s="20">
        <f>H25*0.4</f>
        <v>35899.824016134466</v>
      </c>
    </row>
    <row r="28" spans="1:8" ht="15.75" x14ac:dyDescent="0.25">
      <c r="A28" t="s">
        <v>10</v>
      </c>
      <c r="C28" s="10">
        <f>C19-C21-C23-C25</f>
        <v>144634.51589915968</v>
      </c>
      <c r="H28" s="18"/>
    </row>
    <row r="29" spans="1:8" x14ac:dyDescent="0.25">
      <c r="H29" s="3"/>
    </row>
    <row r="30" spans="1:8" x14ac:dyDescent="0.25">
      <c r="H30" s="18"/>
    </row>
  </sheetData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82699-AA2A-444B-BB82-B650932555FA}">
  <dimension ref="A1:H30"/>
  <sheetViews>
    <sheetView tabSelected="1" topLeftCell="A10" workbookViewId="0">
      <selection activeCell="I34" sqref="I34"/>
    </sheetView>
  </sheetViews>
  <sheetFormatPr baseColWidth="10" defaultRowHeight="15" x14ac:dyDescent="0.25"/>
  <cols>
    <col min="1" max="1" width="11.85546875" bestFit="1" customWidth="1"/>
    <col min="2" max="2" width="13.85546875" customWidth="1"/>
    <col min="3" max="3" width="15.7109375" customWidth="1"/>
    <col min="4" max="4" width="18" bestFit="1" customWidth="1"/>
    <col min="6" max="6" width="13" bestFit="1" customWidth="1"/>
    <col min="8" max="8" width="16.5703125" bestFit="1" customWidth="1"/>
  </cols>
  <sheetData>
    <row r="1" spans="1:8" ht="23.25" x14ac:dyDescent="0.35">
      <c r="A1" s="1" t="s">
        <v>727</v>
      </c>
    </row>
    <row r="3" spans="1:8" ht="21" x14ac:dyDescent="0.35">
      <c r="A3" s="2" t="s">
        <v>1</v>
      </c>
      <c r="D3" s="11">
        <v>21420</v>
      </c>
      <c r="F3" s="12" t="s">
        <v>3</v>
      </c>
      <c r="H3" s="11">
        <f>(D3/1.19)*0.19</f>
        <v>3420</v>
      </c>
    </row>
    <row r="4" spans="1:8" x14ac:dyDescent="0.25">
      <c r="A4" s="13" t="s">
        <v>29</v>
      </c>
      <c r="C4" s="28">
        <v>1122</v>
      </c>
    </row>
    <row r="5" spans="1:8" ht="21" x14ac:dyDescent="0.35">
      <c r="A5" s="2" t="s">
        <v>2</v>
      </c>
    </row>
    <row r="7" spans="1:8" ht="18.75" x14ac:dyDescent="0.3">
      <c r="A7" s="5"/>
      <c r="D7" s="4"/>
      <c r="H7" s="4"/>
    </row>
    <row r="8" spans="1:8" ht="18.75" x14ac:dyDescent="0.3">
      <c r="A8" s="5"/>
      <c r="D8" s="4"/>
      <c r="H8" s="4"/>
    </row>
    <row r="9" spans="1:8" ht="18.75" x14ac:dyDescent="0.3">
      <c r="A9" s="5"/>
      <c r="B9" s="5"/>
      <c r="C9" s="5"/>
      <c r="D9" s="4"/>
      <c r="H9" s="4"/>
    </row>
    <row r="10" spans="1:8" ht="18.75" x14ac:dyDescent="0.3">
      <c r="C10" s="5"/>
      <c r="D10" s="4"/>
      <c r="H10" s="4"/>
    </row>
    <row r="11" spans="1:8" ht="18.75" x14ac:dyDescent="0.3">
      <c r="A11" s="5" t="s">
        <v>208</v>
      </c>
      <c r="B11" s="5"/>
      <c r="C11" s="5"/>
      <c r="D11" s="4">
        <v>9900</v>
      </c>
      <c r="H11" s="4">
        <f t="shared" ref="H11:H12" si="0">(D11/1.19)*0.19</f>
        <v>1580.672268907563</v>
      </c>
    </row>
    <row r="12" spans="1:8" ht="18.75" x14ac:dyDescent="0.3">
      <c r="C12" s="5"/>
      <c r="D12" s="4"/>
      <c r="H12" s="4"/>
    </row>
    <row r="13" spans="1:8" ht="19.5" thickBot="1" x14ac:dyDescent="0.35">
      <c r="A13" s="5"/>
      <c r="B13" s="5"/>
      <c r="C13" s="5"/>
      <c r="D13" s="35"/>
      <c r="E13" s="27"/>
      <c r="H13" s="35"/>
    </row>
    <row r="14" spans="1:8" ht="19.5" thickTop="1" x14ac:dyDescent="0.3">
      <c r="D14" s="4">
        <f>SUM(D7:D13)</f>
        <v>9900</v>
      </c>
      <c r="H14" s="33">
        <f>SUM(H7:H13)</f>
        <v>1580.672268907563</v>
      </c>
    </row>
    <row r="16" spans="1:8" ht="18.75" x14ac:dyDescent="0.3">
      <c r="C16" t="s">
        <v>4</v>
      </c>
      <c r="D16" s="4">
        <f>D3-D14</f>
        <v>11520</v>
      </c>
      <c r="G16" t="s">
        <v>5</v>
      </c>
      <c r="H16" s="4">
        <f>H3-H14</f>
        <v>1839.327731092437</v>
      </c>
    </row>
    <row r="18" spans="1:8" x14ac:dyDescent="0.25">
      <c r="G18" t="s">
        <v>454</v>
      </c>
    </row>
    <row r="19" spans="1:8" ht="15.75" x14ac:dyDescent="0.25">
      <c r="A19" t="s">
        <v>6</v>
      </c>
      <c r="C19" s="8">
        <f>D16</f>
        <v>11520</v>
      </c>
      <c r="E19" t="s">
        <v>10</v>
      </c>
      <c r="H19" s="6">
        <f>C28</f>
        <v>9594.9922689075629</v>
      </c>
    </row>
    <row r="21" spans="1:8" ht="15.75" x14ac:dyDescent="0.25">
      <c r="A21" t="s">
        <v>5</v>
      </c>
      <c r="B21" s="9" t="s">
        <v>7</v>
      </c>
      <c r="C21" s="8">
        <f>H16</f>
        <v>1839.327731092437</v>
      </c>
      <c r="E21" s="13" t="s">
        <v>11</v>
      </c>
      <c r="F21" s="9" t="s">
        <v>12</v>
      </c>
      <c r="G21" s="15" t="s">
        <v>17</v>
      </c>
      <c r="H21" s="3">
        <f>-(F22*0.0077)</f>
        <v>-138.6</v>
      </c>
    </row>
    <row r="22" spans="1:8" x14ac:dyDescent="0.25">
      <c r="F22" s="21">
        <f>D3-H3</f>
        <v>18000</v>
      </c>
    </row>
    <row r="23" spans="1:8" ht="16.5" thickBot="1" x14ac:dyDescent="0.3">
      <c r="A23" t="s">
        <v>8</v>
      </c>
      <c r="B23" s="9" t="s">
        <v>7</v>
      </c>
      <c r="C23" s="8">
        <f>D3*0.004</f>
        <v>85.68</v>
      </c>
      <c r="F23" s="9" t="s">
        <v>13</v>
      </c>
      <c r="G23" s="16">
        <v>0.35</v>
      </c>
      <c r="H23" s="17">
        <f>-(F24*0.35)</f>
        <v>-3358.247294117647</v>
      </c>
    </row>
    <row r="24" spans="1:8" x14ac:dyDescent="0.25">
      <c r="F24" s="21">
        <f>H19</f>
        <v>9594.9922689075629</v>
      </c>
    </row>
    <row r="25" spans="1:8" x14ac:dyDescent="0.25">
      <c r="A25" t="s">
        <v>9</v>
      </c>
      <c r="B25" s="9" t="s">
        <v>7</v>
      </c>
      <c r="G25" s="13" t="s">
        <v>14</v>
      </c>
      <c r="H25" s="6">
        <f>H19+H21+H23</f>
        <v>6098.1449747899151</v>
      </c>
    </row>
    <row r="26" spans="1:8" ht="15.75" thickBot="1" x14ac:dyDescent="0.3">
      <c r="A26" s="38" t="s">
        <v>638</v>
      </c>
      <c r="B26" s="14"/>
      <c r="C26" s="7"/>
    </row>
    <row r="27" spans="1:8" x14ac:dyDescent="0.25">
      <c r="E27" t="s">
        <v>100</v>
      </c>
      <c r="H27" s="20">
        <f>H25*0.4</f>
        <v>2439.2579899159659</v>
      </c>
    </row>
    <row r="28" spans="1:8" ht="15.75" x14ac:dyDescent="0.25">
      <c r="A28" t="s">
        <v>10</v>
      </c>
      <c r="C28" s="10">
        <f>C19-C21-C23-C25</f>
        <v>9594.9922689075629</v>
      </c>
      <c r="H28" s="18"/>
    </row>
    <row r="29" spans="1:8" x14ac:dyDescent="0.25">
      <c r="H29" s="3"/>
    </row>
    <row r="30" spans="1:8" x14ac:dyDescent="0.25">
      <c r="H30" s="1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387</vt:i4>
      </vt:variant>
    </vt:vector>
  </HeadingPairs>
  <TitlesOfParts>
    <vt:vector size="387" baseType="lpstr">
      <vt:lpstr>SOINDCO - 230</vt:lpstr>
      <vt:lpstr>EQUING SAS - 234</vt:lpstr>
      <vt:lpstr>DISVAL - 237</vt:lpstr>
      <vt:lpstr>CARLOS LUGO - 239 - 240</vt:lpstr>
      <vt:lpstr>CAMPOFRESCO - 242</vt:lpstr>
      <vt:lpstr>AP INSPECCIONES - 243</vt:lpstr>
      <vt:lpstr>CAMPOFRESCO - 249</vt:lpstr>
      <vt:lpstr> 250-ANULADA</vt:lpstr>
      <vt:lpstr>GRUPO TEXTIL - 253</vt:lpstr>
      <vt:lpstr>METALSUM - 255</vt:lpstr>
      <vt:lpstr>BOMBAS Y FLUIDOS - 256</vt:lpstr>
      <vt:lpstr>DIST Z.Q. SAS - 259</vt:lpstr>
      <vt:lpstr>GRUPO TEXTIL - 260</vt:lpstr>
      <vt:lpstr>IMAD SAS - 262</vt:lpstr>
      <vt:lpstr>GRUPO TEXTIL - 268</vt:lpstr>
      <vt:lpstr>IMAD SAS - 269</vt:lpstr>
      <vt:lpstr>HINSUMAQ - 272</vt:lpstr>
      <vt:lpstr>BOMBAS Y FLUIDOS - 273</vt:lpstr>
      <vt:lpstr>IMAD SAS - 277</vt:lpstr>
      <vt:lpstr>HINSUMAQ - 278</vt:lpstr>
      <vt:lpstr>ACQUA VITRUVIO - 279</vt:lpstr>
      <vt:lpstr>DICAV - 283</vt:lpstr>
      <vt:lpstr>COLMECANICAS TWA - 285</vt:lpstr>
      <vt:lpstr>CALDERAS DAZA 287-289</vt:lpstr>
      <vt:lpstr>LAMINCORTES - 296</vt:lpstr>
      <vt:lpstr>RYS INGENIERIA 299-302</vt:lpstr>
      <vt:lpstr>BCM S.A.S.- 300</vt:lpstr>
      <vt:lpstr>IMPROYMEC - 301</vt:lpstr>
      <vt:lpstr>SERVIGENIERIA G&amp;M - 305</vt:lpstr>
      <vt:lpstr>SERVINGENIERIA G&amp;M - 307</vt:lpstr>
      <vt:lpstr>SURTIDOR INDUSTRIAL - 308</vt:lpstr>
      <vt:lpstr>GAMBOA INGENIEROS</vt:lpstr>
      <vt:lpstr>ACQUA IQ SAS</vt:lpstr>
      <vt:lpstr>BEIMAD - 309</vt:lpstr>
      <vt:lpstr>AGROMAQUINARIAS - 310</vt:lpstr>
      <vt:lpstr>IMPROYMEC S.A.S.- 312</vt:lpstr>
      <vt:lpstr>ARE SERVICIOS - 314</vt:lpstr>
      <vt:lpstr>FORERO CONDE - 315</vt:lpstr>
      <vt:lpstr>ACQUA IQ</vt:lpstr>
      <vt:lpstr>JOSE GUTIERREZ</vt:lpstr>
      <vt:lpstr>BRONCES DEL VALLE -320</vt:lpstr>
      <vt:lpstr>ARE SERVICIOS - 322</vt:lpstr>
      <vt:lpstr>INDUMETALICAS BOLAÑOS - 324</vt:lpstr>
      <vt:lpstr>DIMARQUIM - 332</vt:lpstr>
      <vt:lpstr>BOMBAS Y FLUIDOS - 333</vt:lpstr>
      <vt:lpstr>ARTFRIGO - 334</vt:lpstr>
      <vt:lpstr>TRAPICHE LUCERNA - 335</vt:lpstr>
      <vt:lpstr>CH-OB INGENIERIA - 338</vt:lpstr>
      <vt:lpstr>ARE SERVICIOS - 341</vt:lpstr>
      <vt:lpstr>TAMETCO - 344</vt:lpstr>
      <vt:lpstr>COSMO COMPAÑIA - 347</vt:lpstr>
      <vt:lpstr>ARE SERVICIOS - 348</vt:lpstr>
      <vt:lpstr>GRUPO TEXTIL - 350</vt:lpstr>
      <vt:lpstr>DIST. PRAIN - 351</vt:lpstr>
      <vt:lpstr>BTM - 353</vt:lpstr>
      <vt:lpstr>RETENES IND. - 354</vt:lpstr>
      <vt:lpstr>COSMO - 355</vt:lpstr>
      <vt:lpstr>BRAIMM - 356</vt:lpstr>
      <vt:lpstr>PRAIN SAS - 358</vt:lpstr>
      <vt:lpstr>IMPROYMEC - 360</vt:lpstr>
      <vt:lpstr>CH-OB - 361</vt:lpstr>
      <vt:lpstr>SURT. INDUSTRIAL - 362</vt:lpstr>
      <vt:lpstr>INHISSA -367</vt:lpstr>
      <vt:lpstr>COSMO CIA. - 368</vt:lpstr>
      <vt:lpstr>EQUING S.A.S. - 372</vt:lpstr>
      <vt:lpstr>IMAD SAS - 373</vt:lpstr>
      <vt:lpstr>ACUASUR S.A.S - 378</vt:lpstr>
      <vt:lpstr>SURT. INDUSTRIAL - 379</vt:lpstr>
      <vt:lpstr>OCC. PLASTICOS - 380</vt:lpstr>
      <vt:lpstr>JIG INGENIERIA -385</vt:lpstr>
      <vt:lpstr>COSMO - 390</vt:lpstr>
      <vt:lpstr>VM TERMOCALDERAS - 391</vt:lpstr>
      <vt:lpstr>ROYAL ELIM - 1</vt:lpstr>
      <vt:lpstr>COSMO - 394</vt:lpstr>
      <vt:lpstr>COSMO - 395</vt:lpstr>
      <vt:lpstr>JAM INGENIERIA - 396</vt:lpstr>
      <vt:lpstr>FERRETODO LA 16 - 397</vt:lpstr>
      <vt:lpstr>HM INGENIERIA - 400</vt:lpstr>
      <vt:lpstr>INDUSTRIAS GER - 401</vt:lpstr>
      <vt:lpstr>COSMO - 403</vt:lpstr>
      <vt:lpstr>ARE SERVIVIOS - 404</vt:lpstr>
      <vt:lpstr>ACQUA VITRUBIO - 406</vt:lpstr>
      <vt:lpstr>COSMO - 407</vt:lpstr>
      <vt:lpstr>COSMO - 409</vt:lpstr>
      <vt:lpstr>COSMO - 410</vt:lpstr>
      <vt:lpstr>ARE SERVICIOS - 411</vt:lpstr>
      <vt:lpstr>COSMO - 415</vt:lpstr>
      <vt:lpstr>COSMO - 416</vt:lpstr>
      <vt:lpstr>PINTUZAPATA - 417</vt:lpstr>
      <vt:lpstr>METALICAS PAZ - 421</vt:lpstr>
      <vt:lpstr>M.T.M. - 422</vt:lpstr>
      <vt:lpstr>BRAIMM S.A.S. - 426</vt:lpstr>
      <vt:lpstr>PRAIN - 429</vt:lpstr>
      <vt:lpstr>LA MAPORITA - 430</vt:lpstr>
      <vt:lpstr>ARE SERVICIOS - 431</vt:lpstr>
      <vt:lpstr>QUIMICOS DEL VALLE - 434</vt:lpstr>
      <vt:lpstr>COSMO - 438</vt:lpstr>
      <vt:lpstr>LA MAPORITA - 439</vt:lpstr>
      <vt:lpstr>HIDROSTATICAS - 440</vt:lpstr>
      <vt:lpstr>INECOLMA - 441</vt:lpstr>
      <vt:lpstr>M T M - 448</vt:lpstr>
      <vt:lpstr>GLOBAL - 449</vt:lpstr>
      <vt:lpstr>JM SAS - 450</vt:lpstr>
      <vt:lpstr>DICAV - 451</vt:lpstr>
      <vt:lpstr>VALV Y SUM IND - 452</vt:lpstr>
      <vt:lpstr>CIAL DE TUBERIAS - 454</vt:lpstr>
      <vt:lpstr>VITRUVIO - 456</vt:lpstr>
      <vt:lpstr>M.T.M. - 459</vt:lpstr>
      <vt:lpstr>ARE -461</vt:lpstr>
      <vt:lpstr>CH-OB - 464</vt:lpstr>
      <vt:lpstr>IND. VILLEGAS - 470</vt:lpstr>
      <vt:lpstr>CIAL.TUB Y LAM - 471</vt:lpstr>
      <vt:lpstr>CFTM - 472</vt:lpstr>
      <vt:lpstr>M.T.M. - 475</vt:lpstr>
      <vt:lpstr>P&amp;AL - 476</vt:lpstr>
      <vt:lpstr>ACUASUR - 478</vt:lpstr>
      <vt:lpstr>D'ONE - 479</vt:lpstr>
      <vt:lpstr>G&amp;M - 481</vt:lpstr>
      <vt:lpstr>CIAL. DE TUBERIAS - 483</vt:lpstr>
      <vt:lpstr>IND. MARIN - 484</vt:lpstr>
      <vt:lpstr>ACQUA VITRUVIO - 485</vt:lpstr>
      <vt:lpstr>JAM INGENERIA - 489</vt:lpstr>
      <vt:lpstr>ARE - 491</vt:lpstr>
      <vt:lpstr>COSMO - 492-493</vt:lpstr>
      <vt:lpstr>ART FRIGO - 497</vt:lpstr>
      <vt:lpstr>M.T.M. - 498</vt:lpstr>
      <vt:lpstr>ARE SERVICIOS - 502</vt:lpstr>
      <vt:lpstr>M.T.M. - 505</vt:lpstr>
      <vt:lpstr>METAL. PAZ - 508</vt:lpstr>
      <vt:lpstr>IMAD S.A.S.- 509</vt:lpstr>
      <vt:lpstr>ARE - 510</vt:lpstr>
      <vt:lpstr>M.T.M. - 513</vt:lpstr>
      <vt:lpstr>RECYCLAPET - 514</vt:lpstr>
      <vt:lpstr>Ma. EUGENIA - 515</vt:lpstr>
      <vt:lpstr>FDO SANCHEZ - 516</vt:lpstr>
      <vt:lpstr>CURTIPIELES - 520 </vt:lpstr>
      <vt:lpstr>COSMO - 522</vt:lpstr>
      <vt:lpstr>LAMINAS Y CORTES - 524</vt:lpstr>
      <vt:lpstr>HERNAN CANDELO - 525</vt:lpstr>
      <vt:lpstr>METAL JAN - 526</vt:lpstr>
      <vt:lpstr>METAL JAN - 527</vt:lpstr>
      <vt:lpstr>JS2 - 529</vt:lpstr>
      <vt:lpstr>LAMINAS Y CORTES - 530</vt:lpstr>
      <vt:lpstr>IND AMG - 532</vt:lpstr>
      <vt:lpstr>R&amp;S - 533</vt:lpstr>
      <vt:lpstr>DIST. PRAIN - 534</vt:lpstr>
      <vt:lpstr>MAPORITA - 537</vt:lpstr>
      <vt:lpstr>EQUING S.A.S. - 538</vt:lpstr>
      <vt:lpstr>FRANCO CORAL - 540</vt:lpstr>
      <vt:lpstr>LA MAPORITA - 541</vt:lpstr>
      <vt:lpstr>Ma. EUGENIA - 542</vt:lpstr>
      <vt:lpstr>TALIND. HENAO - 544</vt:lpstr>
      <vt:lpstr>M.T.M. - 545</vt:lpstr>
      <vt:lpstr>METAL JAN - 547</vt:lpstr>
      <vt:lpstr>MAPORITA - 549</vt:lpstr>
      <vt:lpstr>METAL JAN - 551</vt:lpstr>
      <vt:lpstr>COSMO - 554</vt:lpstr>
      <vt:lpstr>RETENIND - 558</vt:lpstr>
      <vt:lpstr>CH-OB - 559</vt:lpstr>
      <vt:lpstr>ARE - 561</vt:lpstr>
      <vt:lpstr>COSMO - 564</vt:lpstr>
      <vt:lpstr>IMAD - 565</vt:lpstr>
      <vt:lpstr>COSMO - 567</vt:lpstr>
      <vt:lpstr>COSMO - 568</vt:lpstr>
      <vt:lpstr>VALV Y SUM - 571</vt:lpstr>
      <vt:lpstr>GRUPO TEXTIL - 572</vt:lpstr>
      <vt:lpstr>COSMO - 573</vt:lpstr>
      <vt:lpstr>MECHANICAL CAD - 574</vt:lpstr>
      <vt:lpstr>LAVANDERIA - 575</vt:lpstr>
      <vt:lpstr>COSMO - 577</vt:lpstr>
      <vt:lpstr>GRUPO TEXTIL - 579</vt:lpstr>
      <vt:lpstr>PMC - 580</vt:lpstr>
      <vt:lpstr>COSMO - 582</vt:lpstr>
      <vt:lpstr>MARIA E.- 585</vt:lpstr>
      <vt:lpstr>B T M  -  586</vt:lpstr>
      <vt:lpstr>COSMO - 588</vt:lpstr>
      <vt:lpstr>COSMO - 589</vt:lpstr>
      <vt:lpstr>ALBERTO SALAZAR  - S-F</vt:lpstr>
      <vt:lpstr>LOS ALMENDROS - 590</vt:lpstr>
      <vt:lpstr>TORNICOMPLE - 594</vt:lpstr>
      <vt:lpstr>RETIND SAS - 596</vt:lpstr>
      <vt:lpstr>JUAN MONTAÑO - 601</vt:lpstr>
      <vt:lpstr>BM INDUSTRIAS - 602</vt:lpstr>
      <vt:lpstr>DANFER S.A.S. - 603</vt:lpstr>
      <vt:lpstr>ENRIQUE MONTUFAR - 606</vt:lpstr>
      <vt:lpstr>PMC - 607</vt:lpstr>
      <vt:lpstr>JAVIER AREVALO - 608</vt:lpstr>
      <vt:lpstr>ALFREDO MSQUERA - 610</vt:lpstr>
      <vt:lpstr>BTM  - 611</vt:lpstr>
      <vt:lpstr>COSMO - 613</vt:lpstr>
      <vt:lpstr>IMAD - 614</vt:lpstr>
      <vt:lpstr>IMAD - 615</vt:lpstr>
      <vt:lpstr>JUAN MONTAÑO - 616</vt:lpstr>
      <vt:lpstr>PMC  - 618</vt:lpstr>
      <vt:lpstr>JAN - 621</vt:lpstr>
      <vt:lpstr>GRUPO TEXTIL - 624</vt:lpstr>
      <vt:lpstr>GRUPO TEXTIL - 625</vt:lpstr>
      <vt:lpstr>ALBERTO SALAZAR - 626</vt:lpstr>
      <vt:lpstr>MH INGENIERIA - 628</vt:lpstr>
      <vt:lpstr>FERRETODO LA 16 - 629</vt:lpstr>
      <vt:lpstr>J &amp; G - 632</vt:lpstr>
      <vt:lpstr>HIDROSTATICAS - 634</vt:lpstr>
      <vt:lpstr>IMAD - 636</vt:lpstr>
      <vt:lpstr>DICAV - 641</vt:lpstr>
      <vt:lpstr>GIGACEROS - 644</vt:lpstr>
      <vt:lpstr>IMAD - 646</vt:lpstr>
      <vt:lpstr>JUAN MONTAÑO - 650</vt:lpstr>
      <vt:lpstr>JUAN MONTAÑO - 656</vt:lpstr>
      <vt:lpstr>APONTE-RAMOS - 661</vt:lpstr>
      <vt:lpstr>SOPLAPACK - 665</vt:lpstr>
      <vt:lpstr>BTM - 667</vt:lpstr>
      <vt:lpstr>METAL JAN - 669</vt:lpstr>
      <vt:lpstr>INTERCALDERAS - 671</vt:lpstr>
      <vt:lpstr>BCM - 671</vt:lpstr>
      <vt:lpstr>STACRUZ - 675</vt:lpstr>
      <vt:lpstr>ACUASUR - 676</vt:lpstr>
      <vt:lpstr>JUAN MONTAÑO - 683</vt:lpstr>
      <vt:lpstr>CARLOS TORRES - 692</vt:lpstr>
      <vt:lpstr>ARE - 696</vt:lpstr>
      <vt:lpstr>LAMINCORTES - 698</vt:lpstr>
      <vt:lpstr>M&amp;R - 699</vt:lpstr>
      <vt:lpstr>ALBERTO SALAZAR - 709</vt:lpstr>
      <vt:lpstr>ARTFRIGO - 710</vt:lpstr>
      <vt:lpstr>ALBERTO SALAZAR - 711</vt:lpstr>
      <vt:lpstr>Hoja1</vt:lpstr>
      <vt:lpstr>HERRACIND S.A.S. - 712</vt:lpstr>
      <vt:lpstr>IND. PERDOMO - 714</vt:lpstr>
      <vt:lpstr>JORGE HDEZ - 716</vt:lpstr>
      <vt:lpstr>ALBERTO SALAZAR - 719</vt:lpstr>
      <vt:lpstr>SURT. INDUSTRIAL - 720</vt:lpstr>
      <vt:lpstr>INDUMETALICA SALAZAR - 721</vt:lpstr>
      <vt:lpstr>N T  LABS - 722</vt:lpstr>
      <vt:lpstr>GRUPO TEXTIL - 723</vt:lpstr>
      <vt:lpstr>TALLER ARMENIA - 726</vt:lpstr>
      <vt:lpstr>PMC - 728</vt:lpstr>
      <vt:lpstr>GLOVAL - 731</vt:lpstr>
      <vt:lpstr>LAMINCORTES - 732</vt:lpstr>
      <vt:lpstr>COSMO - 735</vt:lpstr>
      <vt:lpstr>GRUPO TEXTIL - 736</vt:lpstr>
      <vt:lpstr>CAMPOFRESCO - 738</vt:lpstr>
      <vt:lpstr>ARE - 739</vt:lpstr>
      <vt:lpstr>BACCA - 740</vt:lpstr>
      <vt:lpstr>ARE - 741</vt:lpstr>
      <vt:lpstr>ACUASUR - 744</vt:lpstr>
      <vt:lpstr>SERVIMETAL - 746</vt:lpstr>
      <vt:lpstr>PERDOMO - 753</vt:lpstr>
      <vt:lpstr>ACUASUR  - 754</vt:lpstr>
      <vt:lpstr>ARE - 755</vt:lpstr>
      <vt:lpstr>GRUPO TEXTIL -  758</vt:lpstr>
      <vt:lpstr>ACUASUR - 762</vt:lpstr>
      <vt:lpstr>SURTIND - 763</vt:lpstr>
      <vt:lpstr>TECNO-LAB - 765</vt:lpstr>
      <vt:lpstr>LAMINCORTES - 767</vt:lpstr>
      <vt:lpstr>COSMO - 773</vt:lpstr>
      <vt:lpstr>COSMO - 774</vt:lpstr>
      <vt:lpstr>CALDERAS HB - 781</vt:lpstr>
      <vt:lpstr>CURTIPIELES  - 785</vt:lpstr>
      <vt:lpstr>INSTRUCALD - 789</vt:lpstr>
      <vt:lpstr>COSMO - 793</vt:lpstr>
      <vt:lpstr>INDORODRIGUEZ - 794</vt:lpstr>
      <vt:lpstr>LAMINAS Y CORTES - 795</vt:lpstr>
      <vt:lpstr>LAMINAS Y CORTES - 796</vt:lpstr>
      <vt:lpstr>BTM - 799</vt:lpstr>
      <vt:lpstr>BTM - 801</vt:lpstr>
      <vt:lpstr>PRAIN - 802</vt:lpstr>
      <vt:lpstr>LAMINAS Y CORTES - 803</vt:lpstr>
      <vt:lpstr>LAMINAS Y CORTES - 805</vt:lpstr>
      <vt:lpstr>LAMINAS Y CORTES - 806</vt:lpstr>
      <vt:lpstr>LAMMINAS Y CORTES  - 807</vt:lpstr>
      <vt:lpstr>GRUPO TEXTIL - 813</vt:lpstr>
      <vt:lpstr>JCGB - 818</vt:lpstr>
      <vt:lpstr>LAMINCORTES - 820</vt:lpstr>
      <vt:lpstr>COSMO - 821</vt:lpstr>
      <vt:lpstr>INGECOAE - 824</vt:lpstr>
      <vt:lpstr>GRUPO TEXTIL - 825</vt:lpstr>
      <vt:lpstr>BTM - 826</vt:lpstr>
      <vt:lpstr>EQUING S.A.S - 829</vt:lpstr>
      <vt:lpstr>SURAMERICA - 837</vt:lpstr>
      <vt:lpstr>LAMINCORTES - 839</vt:lpstr>
      <vt:lpstr>ACUASUR - 840</vt:lpstr>
      <vt:lpstr>RETNIND - 841</vt:lpstr>
      <vt:lpstr>ARE - 842</vt:lpstr>
      <vt:lpstr>HERRACIND - 845</vt:lpstr>
      <vt:lpstr>GRUPO TEXTIL -  852</vt:lpstr>
      <vt:lpstr>ARE SERVICIOS - 856</vt:lpstr>
      <vt:lpstr>M.T.M.  -  866</vt:lpstr>
      <vt:lpstr>OZ DIST - 874</vt:lpstr>
      <vt:lpstr>M T M - 875</vt:lpstr>
      <vt:lpstr>G&amp;M  -  876</vt:lpstr>
      <vt:lpstr>SERINCI - 877</vt:lpstr>
      <vt:lpstr>ARE - 878</vt:lpstr>
      <vt:lpstr>DOSIFICANDO - 882</vt:lpstr>
      <vt:lpstr>BTM -883</vt:lpstr>
      <vt:lpstr>IMPROYMEC - 884</vt:lpstr>
      <vt:lpstr>ARE - 886</vt:lpstr>
      <vt:lpstr>CIAL TUBYLAM - 887</vt:lpstr>
      <vt:lpstr>J I G  -  888</vt:lpstr>
      <vt:lpstr>2222 - 890</vt:lpstr>
      <vt:lpstr>DIST. PRAIN  -  892</vt:lpstr>
      <vt:lpstr>M.T.M.  - 894</vt:lpstr>
      <vt:lpstr>ALFREDO - 902</vt:lpstr>
      <vt:lpstr>PRAIN - 903</vt:lpstr>
      <vt:lpstr>RETEIND - 905</vt:lpstr>
      <vt:lpstr>2222 - 906</vt:lpstr>
      <vt:lpstr>JUAN DAVID - 907</vt:lpstr>
      <vt:lpstr>D'ACERO - 912</vt:lpstr>
      <vt:lpstr>SURTIND - 913</vt:lpstr>
      <vt:lpstr>SURTIND - 914</vt:lpstr>
      <vt:lpstr>GRUPO TEXTIL - 916</vt:lpstr>
      <vt:lpstr>ACEGRALES - 921</vt:lpstr>
      <vt:lpstr>ARTFRIGO - 923</vt:lpstr>
      <vt:lpstr>AYA - 924</vt:lpstr>
      <vt:lpstr>ACOPLES IND - 931</vt:lpstr>
      <vt:lpstr>IMAD  S.A.S. - 935</vt:lpstr>
      <vt:lpstr>HERRACIND - 939</vt:lpstr>
      <vt:lpstr>FESAT - 940</vt:lpstr>
      <vt:lpstr>MECHANICAL - 941</vt:lpstr>
      <vt:lpstr>PROM - 942</vt:lpstr>
      <vt:lpstr>HYCO - 944</vt:lpstr>
      <vt:lpstr>DICAV - 746</vt:lpstr>
      <vt:lpstr>DOSIFICANDO - 949</vt:lpstr>
      <vt:lpstr>MTMTO METAL - 950</vt:lpstr>
      <vt:lpstr>ACUASUR - 954</vt:lpstr>
      <vt:lpstr>HYCO - 957</vt:lpstr>
      <vt:lpstr>VELMU - 958</vt:lpstr>
      <vt:lpstr>SURTINDUSTRIAL - 962</vt:lpstr>
      <vt:lpstr>PROM - 963</vt:lpstr>
      <vt:lpstr>AYA - 966</vt:lpstr>
      <vt:lpstr>INSTRUCALD - 967</vt:lpstr>
      <vt:lpstr>EQUING - 969</vt:lpstr>
      <vt:lpstr>BOMBAS Y FLUIDOS - 971</vt:lpstr>
      <vt:lpstr>GRUPO TEXTIL - 972</vt:lpstr>
      <vt:lpstr>EQUING - 977</vt:lpstr>
      <vt:lpstr>IMA - 978</vt:lpstr>
      <vt:lpstr>GRUPO TEXTIL - 979</vt:lpstr>
      <vt:lpstr>GALLEGO - 980</vt:lpstr>
      <vt:lpstr>CURTIPIELES - 981</vt:lpstr>
      <vt:lpstr>PRAIN - 983</vt:lpstr>
      <vt:lpstr>MECAVAL - 985</vt:lpstr>
      <vt:lpstr>COSMO - 986</vt:lpstr>
      <vt:lpstr>CHILLER - 988</vt:lpstr>
      <vt:lpstr>CHILLER - 989</vt:lpstr>
      <vt:lpstr>EQUING - 992</vt:lpstr>
      <vt:lpstr>EQUING - 994</vt:lpstr>
      <vt:lpstr>GRUPO TEXTIL - 995</vt:lpstr>
      <vt:lpstr>COSMO - 1002</vt:lpstr>
      <vt:lpstr>COSMO - 1003</vt:lpstr>
      <vt:lpstr>COSMO - 1007</vt:lpstr>
      <vt:lpstr>TAMETCO - 1008</vt:lpstr>
      <vt:lpstr>TERMOCALDERA - 1009</vt:lpstr>
      <vt:lpstr>TAMETCO - 1010</vt:lpstr>
      <vt:lpstr>CANDELO - 1014</vt:lpstr>
      <vt:lpstr>MOSAICO - 1015</vt:lpstr>
      <vt:lpstr>SMART SEAL - 1018</vt:lpstr>
      <vt:lpstr>HYCO - 1019</vt:lpstr>
      <vt:lpstr>COSMO - 1020</vt:lpstr>
      <vt:lpstr>COSMO - 1021</vt:lpstr>
      <vt:lpstr>MARIÑO - 1025</vt:lpstr>
      <vt:lpstr>COSMO - 1027</vt:lpstr>
      <vt:lpstr>AYA - 1028</vt:lpstr>
      <vt:lpstr>JUAN CAMILO - 1030</vt:lpstr>
      <vt:lpstr>PINTUZAPATA - 1035</vt:lpstr>
      <vt:lpstr>ROSA ELENA - 1038</vt:lpstr>
      <vt:lpstr>MECAVAL - 1040</vt:lpstr>
      <vt:lpstr>M T M  - 1048</vt:lpstr>
      <vt:lpstr>MECAVAL - 1049</vt:lpstr>
      <vt:lpstr>SERINCI - 1051</vt:lpstr>
      <vt:lpstr>COSMO - 1052</vt:lpstr>
      <vt:lpstr>ACUASUR - 1060</vt:lpstr>
      <vt:lpstr> MONT Y MAQ - 1066</vt:lpstr>
      <vt:lpstr>ING Y MECAN - 1068</vt:lpstr>
      <vt:lpstr>SIDELVA - 1070</vt:lpstr>
      <vt:lpstr>INSTRUCALD - 1072</vt:lpstr>
      <vt:lpstr>DICAV - 1074</vt:lpstr>
      <vt:lpstr>VITTAL - 1077</vt:lpstr>
      <vt:lpstr>ARTFRIGO - 1081</vt:lpstr>
      <vt:lpstr>CURTIPIELES -1084</vt:lpstr>
      <vt:lpstr>STACRUZ - 1085</vt:lpstr>
      <vt:lpstr>OCCIDENTAL - 1089</vt:lpstr>
      <vt:lpstr>SERGECTEC - 1091</vt:lpstr>
      <vt:lpstr>CAMPOFRESCO - 1093</vt:lpstr>
      <vt:lpstr>M.T.M. - 1096</vt:lpstr>
      <vt:lpstr>INSE - 1100</vt:lpstr>
      <vt:lpstr>D'ONE - 1106</vt:lpstr>
      <vt:lpstr>INSE - 1115</vt:lpstr>
      <vt:lpstr>COSMO - 1121</vt:lpstr>
      <vt:lpstr>AMG - 1122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Gerencia</cp:lastModifiedBy>
  <cp:lastPrinted>2024-05-16T22:34:00Z</cp:lastPrinted>
  <dcterms:created xsi:type="dcterms:W3CDTF">2024-05-16T17:54:23Z</dcterms:created>
  <dcterms:modified xsi:type="dcterms:W3CDTF">2025-09-02T22:13:04Z</dcterms:modified>
</cp:coreProperties>
</file>