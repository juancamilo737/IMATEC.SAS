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\Documents\"/>
    </mc:Choice>
  </mc:AlternateContent>
  <xr:revisionPtr revIDLastSave="0" documentId="13_ncr:1_{3473F0B0-C9BD-4793-A204-CEA1131CCF83}" xr6:coauthVersionLast="47" xr6:coauthVersionMax="47" xr10:uidLastSave="{00000000-0000-0000-0000-000000000000}"/>
  <bookViews>
    <workbookView xWindow="-120" yWindow="-120" windowWidth="19440" windowHeight="14040" xr2:uid="{CED6DCFB-07F2-4222-A5C6-FA9AAF6AFC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8" i="1" l="1"/>
  <c r="H318" i="1" s="1"/>
  <c r="G157" i="1"/>
  <c r="H157" i="1"/>
  <c r="G190" i="1"/>
  <c r="H190" i="1"/>
  <c r="G189" i="1"/>
  <c r="H189" i="1"/>
  <c r="G375" i="1"/>
  <c r="H375" i="1" s="1"/>
  <c r="G166" i="1" l="1"/>
  <c r="H166" i="1"/>
  <c r="G60" i="1"/>
  <c r="H60" i="1" s="1"/>
  <c r="G90" i="1"/>
  <c r="H90" i="1" s="1"/>
  <c r="G91" i="1"/>
  <c r="H91" i="1" s="1"/>
  <c r="G88" i="1"/>
  <c r="H88" i="1" s="1"/>
  <c r="G92" i="1"/>
  <c r="H92" i="1" s="1"/>
  <c r="G89" i="1"/>
  <c r="H89" i="1" s="1"/>
  <c r="G93" i="1"/>
  <c r="H93" i="1" s="1"/>
  <c r="G94" i="1"/>
  <c r="H94" i="1" s="1"/>
  <c r="G95" i="1"/>
  <c r="H95" i="1" s="1"/>
  <c r="G416" i="1"/>
  <c r="H416" i="1"/>
  <c r="G415" i="1"/>
  <c r="H415" i="1"/>
  <c r="G417" i="1"/>
  <c r="H417" i="1" s="1"/>
  <c r="G530" i="1"/>
  <c r="H530" i="1" s="1"/>
  <c r="G531" i="1"/>
  <c r="H531" i="1" s="1"/>
  <c r="G532" i="1"/>
  <c r="H532" i="1" s="1"/>
  <c r="G529" i="1"/>
  <c r="H529" i="1" s="1"/>
  <c r="G158" i="1"/>
  <c r="H158" i="1" s="1"/>
  <c r="G156" i="1"/>
  <c r="H156" i="1" s="1"/>
  <c r="G106" i="1" l="1"/>
  <c r="H106" i="1" s="1"/>
  <c r="G105" i="1"/>
  <c r="H105" i="1" s="1"/>
  <c r="G161" i="1"/>
  <c r="H161" i="1"/>
  <c r="G22" i="1"/>
  <c r="H22" i="1"/>
  <c r="G242" i="1"/>
  <c r="H242" i="1"/>
  <c r="G521" i="1"/>
  <c r="G522" i="1"/>
  <c r="H522" i="1" s="1"/>
  <c r="G523" i="1"/>
  <c r="H523" i="1" s="1"/>
  <c r="G524" i="1"/>
  <c r="H524" i="1" s="1"/>
  <c r="G395" i="1"/>
  <c r="H395" i="1"/>
  <c r="G394" i="1"/>
  <c r="H394" i="1"/>
  <c r="G238" i="1"/>
  <c r="H238" i="1"/>
  <c r="G460" i="1"/>
  <c r="H460" i="1"/>
  <c r="G459" i="1"/>
  <c r="H459" i="1"/>
  <c r="G77" i="1"/>
  <c r="H77" i="1"/>
  <c r="G495" i="1"/>
  <c r="H495" i="1"/>
  <c r="G494" i="1"/>
  <c r="H494" i="1"/>
  <c r="G433" i="1"/>
  <c r="H433" i="1"/>
  <c r="G432" i="1"/>
  <c r="H432" i="1"/>
  <c r="G374" i="1" l="1"/>
  <c r="H374" i="1" s="1"/>
  <c r="G143" i="1" l="1"/>
  <c r="G144" i="1"/>
  <c r="H143" i="1"/>
  <c r="H144" i="1"/>
  <c r="G142" i="1"/>
  <c r="H142" i="1" s="1"/>
  <c r="G141" i="1"/>
  <c r="H141" i="1"/>
  <c r="G140" i="1"/>
  <c r="H140" i="1"/>
  <c r="G487" i="1"/>
  <c r="H487" i="1" s="1"/>
  <c r="G486" i="1"/>
  <c r="H486" i="1" s="1"/>
  <c r="G287" i="1"/>
  <c r="H287" i="1"/>
  <c r="G286" i="1"/>
  <c r="H286" i="1"/>
  <c r="G285" i="1"/>
  <c r="H285" i="1"/>
  <c r="G284" i="1"/>
  <c r="H284" i="1"/>
  <c r="G283" i="1"/>
  <c r="H283" i="1"/>
  <c r="G282" i="1"/>
  <c r="H282" i="1"/>
  <c r="G276" i="1" l="1"/>
  <c r="H276" i="1"/>
  <c r="G275" i="1"/>
  <c r="H275" i="1"/>
  <c r="G274" i="1"/>
  <c r="H274" i="1"/>
  <c r="G273" i="1"/>
  <c r="H273" i="1"/>
  <c r="G272" i="1"/>
  <c r="H272" i="1"/>
  <c r="G271" i="1"/>
  <c r="H271" i="1"/>
  <c r="G270" i="1"/>
  <c r="H270" i="1"/>
  <c r="G269" i="1"/>
  <c r="H269" i="1"/>
  <c r="G268" i="1"/>
  <c r="H268" i="1"/>
  <c r="G267" i="1"/>
  <c r="H267" i="1"/>
  <c r="G266" i="1"/>
  <c r="H266" i="1"/>
  <c r="G265" i="1"/>
  <c r="H265" i="1"/>
  <c r="G264" i="1"/>
  <c r="H264" i="1"/>
  <c r="G263" i="1"/>
  <c r="H263" i="1"/>
  <c r="G262" i="1"/>
  <c r="H262" i="1"/>
  <c r="G261" i="1"/>
  <c r="H261" i="1"/>
  <c r="G260" i="1"/>
  <c r="H260" i="1"/>
  <c r="G259" i="1"/>
  <c r="H259" i="1"/>
  <c r="G258" i="1"/>
  <c r="H258" i="1"/>
  <c r="G257" i="1"/>
  <c r="H257" i="1"/>
  <c r="G249" i="1"/>
  <c r="H249" i="1" s="1"/>
  <c r="G248" i="1"/>
  <c r="H248" i="1"/>
  <c r="G247" i="1"/>
  <c r="H247" i="1"/>
  <c r="G246" i="1"/>
  <c r="H246" i="1"/>
  <c r="G533" i="1"/>
  <c r="H533" i="1" s="1"/>
  <c r="G534" i="1"/>
  <c r="H534" i="1" s="1"/>
  <c r="G535" i="1"/>
  <c r="H535" i="1" s="1"/>
  <c r="G291" i="1"/>
  <c r="H291" i="1" s="1"/>
  <c r="G292" i="1"/>
  <c r="H292" i="1" s="1"/>
  <c r="G293" i="1"/>
  <c r="H293" i="1" s="1"/>
  <c r="G289" i="1"/>
  <c r="H289" i="1" s="1"/>
  <c r="G493" i="1"/>
  <c r="H493" i="1" s="1"/>
  <c r="G177" i="1" l="1"/>
  <c r="H177" i="1" s="1"/>
  <c r="G123" i="1"/>
  <c r="H123" i="1" s="1"/>
  <c r="G462" i="1"/>
  <c r="H462" i="1"/>
  <c r="G107" i="1"/>
  <c r="H107" i="1"/>
  <c r="G122" i="1" l="1"/>
  <c r="H122" i="1"/>
  <c r="G121" i="1"/>
  <c r="H121" i="1"/>
  <c r="G120" i="1"/>
  <c r="H120" i="1"/>
  <c r="G115" i="1"/>
  <c r="H115" i="1" s="1"/>
  <c r="G236" i="1"/>
  <c r="H236" i="1"/>
  <c r="G235" i="1"/>
  <c r="H235" i="1"/>
  <c r="G234" i="1"/>
  <c r="H234" i="1"/>
  <c r="G180" i="1"/>
  <c r="H180" i="1"/>
  <c r="G393" i="1"/>
  <c r="H393" i="1"/>
  <c r="G347" i="1" l="1"/>
  <c r="H347" i="1"/>
  <c r="G346" i="1"/>
  <c r="H346" i="1"/>
  <c r="G345" i="1"/>
  <c r="H345" i="1"/>
  <c r="G344" i="1"/>
  <c r="H344" i="1"/>
  <c r="G343" i="1"/>
  <c r="H343" i="1"/>
  <c r="G306" i="1"/>
  <c r="H306" i="1" s="1"/>
  <c r="G182" i="1" l="1"/>
  <c r="H182" i="1"/>
  <c r="G244" i="1"/>
  <c r="H244" i="1"/>
  <c r="G437" i="1"/>
  <c r="H437" i="1"/>
  <c r="G436" i="1"/>
  <c r="H436" i="1"/>
  <c r="G435" i="1"/>
  <c r="H435" i="1"/>
  <c r="G434" i="1"/>
  <c r="H434" i="1"/>
  <c r="G137" i="1"/>
  <c r="H137" i="1"/>
  <c r="G136" i="1"/>
  <c r="H136" i="1"/>
  <c r="G135" i="1"/>
  <c r="H135" i="1"/>
  <c r="G134" i="1"/>
  <c r="H134" i="1"/>
  <c r="G133" i="1"/>
  <c r="H133" i="1"/>
  <c r="G132" i="1"/>
  <c r="H132" i="1"/>
  <c r="G131" i="1"/>
  <c r="H131" i="1"/>
  <c r="G130" i="1"/>
  <c r="H130" i="1"/>
  <c r="G129" i="1"/>
  <c r="H129" i="1"/>
  <c r="G301" i="1"/>
  <c r="H301" i="1"/>
  <c r="G300" i="1"/>
  <c r="H300" i="1"/>
  <c r="G299" i="1"/>
  <c r="H299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421" i="1"/>
  <c r="H421" i="1"/>
  <c r="G420" i="1"/>
  <c r="H420" i="1"/>
  <c r="G419" i="1"/>
  <c r="H419" i="1"/>
  <c r="G418" i="1"/>
  <c r="H418" i="1"/>
  <c r="G503" i="1" l="1"/>
  <c r="H503" i="1" s="1"/>
  <c r="G504" i="1"/>
  <c r="H504" i="1" s="1"/>
  <c r="G505" i="1"/>
  <c r="H505" i="1" s="1"/>
  <c r="G506" i="1"/>
  <c r="H506" i="1" s="1"/>
  <c r="G507" i="1"/>
  <c r="H507" i="1" s="1"/>
  <c r="G502" i="1"/>
  <c r="H502" i="1"/>
  <c r="G501" i="1"/>
  <c r="H501" i="1"/>
  <c r="G500" i="1"/>
  <c r="H500" i="1"/>
  <c r="G499" i="1"/>
  <c r="H499" i="1"/>
  <c r="G498" i="1"/>
  <c r="H498" i="1"/>
  <c r="G497" i="1"/>
  <c r="H497" i="1"/>
  <c r="G496" i="1"/>
  <c r="H496" i="1"/>
  <c r="G440" i="1"/>
  <c r="H440" i="1"/>
  <c r="G165" i="1" l="1"/>
  <c r="H165" i="1" s="1"/>
  <c r="G164" i="1"/>
  <c r="H164" i="1" s="1"/>
  <c r="G163" i="1"/>
  <c r="H163" i="1" s="1"/>
  <c r="G160" i="1"/>
  <c r="H160" i="1" s="1"/>
  <c r="G159" i="1"/>
  <c r="H159" i="1" s="1"/>
  <c r="G174" i="1" l="1"/>
  <c r="H174" i="1" s="1"/>
  <c r="G173" i="1"/>
  <c r="H173" i="1" s="1"/>
  <c r="G172" i="1"/>
  <c r="H172" i="1"/>
  <c r="G171" i="1"/>
  <c r="H171" i="1"/>
  <c r="G170" i="1"/>
  <c r="H170" i="1"/>
  <c r="G169" i="1"/>
  <c r="H169" i="1"/>
  <c r="G438" i="1"/>
  <c r="H438" i="1"/>
  <c r="G513" i="1"/>
  <c r="H513" i="1"/>
  <c r="G414" i="1" l="1"/>
  <c r="H414" i="1"/>
  <c r="G413" i="1"/>
  <c r="H413" i="1"/>
  <c r="G412" i="1"/>
  <c r="H412" i="1"/>
  <c r="G411" i="1"/>
  <c r="H411" i="1"/>
  <c r="G410" i="1"/>
  <c r="H410" i="1"/>
  <c r="G119" i="1" l="1"/>
  <c r="H119" i="1" s="1"/>
  <c r="G399" i="1"/>
  <c r="H399" i="1" s="1"/>
  <c r="G461" i="1" l="1"/>
  <c r="H461" i="1" s="1"/>
  <c r="G439" i="1"/>
  <c r="H439" i="1"/>
  <c r="G350" i="1"/>
  <c r="H350" i="1" s="1"/>
  <c r="G351" i="1"/>
  <c r="H351" i="1" s="1"/>
  <c r="G352" i="1"/>
  <c r="H352" i="1" s="1"/>
  <c r="G339" i="1"/>
  <c r="H339" i="1" s="1"/>
  <c r="G338" i="1"/>
  <c r="H338" i="1" s="1"/>
  <c r="G337" i="1"/>
  <c r="H337" i="1" s="1"/>
  <c r="G336" i="1"/>
  <c r="H336" i="1" s="1"/>
  <c r="G335" i="1"/>
  <c r="H335" i="1" s="1"/>
  <c r="G334" i="1"/>
  <c r="H334" i="1" s="1"/>
  <c r="G333" i="1"/>
  <c r="H333" i="1" s="1"/>
  <c r="G332" i="1"/>
  <c r="H332" i="1" s="1"/>
  <c r="G331" i="1"/>
  <c r="H331" i="1" s="1"/>
  <c r="G330" i="1"/>
  <c r="H330" i="1" s="1"/>
  <c r="G329" i="1"/>
  <c r="H329" i="1" s="1"/>
  <c r="G328" i="1"/>
  <c r="H328" i="1" s="1"/>
  <c r="G327" i="1"/>
  <c r="H327" i="1" s="1"/>
  <c r="G326" i="1"/>
  <c r="H326" i="1" s="1"/>
  <c r="G325" i="1"/>
  <c r="H325" i="1" s="1"/>
  <c r="G324" i="1"/>
  <c r="H324" i="1" s="1"/>
  <c r="G322" i="1"/>
  <c r="H322" i="1" s="1"/>
  <c r="G321" i="1"/>
  <c r="H321" i="1" s="1"/>
  <c r="G320" i="1"/>
  <c r="H320" i="1" s="1"/>
  <c r="G319" i="1"/>
  <c r="H319" i="1" s="1"/>
  <c r="G317" i="1"/>
  <c r="H317" i="1" s="1"/>
  <c r="G316" i="1"/>
  <c r="H316" i="1" s="1"/>
  <c r="G315" i="1"/>
  <c r="H315" i="1" s="1"/>
  <c r="G314" i="1"/>
  <c r="H314" i="1" s="1"/>
  <c r="G313" i="1"/>
  <c r="H313" i="1" s="1"/>
  <c r="G312" i="1"/>
  <c r="H312" i="1" s="1"/>
  <c r="G311" i="1"/>
  <c r="H311" i="1" s="1"/>
  <c r="G310" i="1"/>
  <c r="H310" i="1" s="1"/>
  <c r="G309" i="1"/>
  <c r="H309" i="1" s="1"/>
  <c r="G308" i="1"/>
  <c r="H308" i="1" s="1"/>
  <c r="G307" i="1"/>
  <c r="H307" i="1" s="1"/>
  <c r="G58" i="1"/>
  <c r="H58" i="1" s="1"/>
  <c r="G511" i="1"/>
  <c r="H511" i="1" s="1"/>
  <c r="G188" i="1"/>
  <c r="H188" i="1"/>
  <c r="G241" i="1"/>
  <c r="H241" i="1"/>
  <c r="G396" i="1"/>
  <c r="H396" i="1" s="1"/>
  <c r="G237" i="1"/>
  <c r="H237" i="1" s="1"/>
  <c r="G357" i="1" l="1"/>
  <c r="H357" i="1" s="1"/>
  <c r="G367" i="1"/>
  <c r="H367" i="1" s="1"/>
  <c r="G373" i="1"/>
  <c r="H373" i="1" s="1"/>
  <c r="G372" i="1"/>
  <c r="H372" i="1" s="1"/>
  <c r="G370" i="1"/>
  <c r="H370" i="1" s="1"/>
  <c r="G368" i="1"/>
  <c r="H368" i="1" s="1"/>
  <c r="G366" i="1"/>
  <c r="H366" i="1" s="1"/>
  <c r="G363" i="1"/>
  <c r="H363" i="1" s="1"/>
  <c r="G362" i="1"/>
  <c r="H362" i="1" s="1"/>
  <c r="G353" i="1"/>
  <c r="H353" i="1" s="1"/>
  <c r="G354" i="1"/>
  <c r="H354" i="1" s="1"/>
  <c r="G517" i="1" l="1"/>
  <c r="G525" i="1"/>
  <c r="G526" i="1"/>
  <c r="G528" i="1"/>
  <c r="G369" i="1"/>
  <c r="H369" i="1" s="1"/>
  <c r="G544" i="1"/>
  <c r="H544" i="1" s="1"/>
  <c r="G543" i="1"/>
  <c r="H543" i="1" s="1"/>
  <c r="G430" i="1"/>
  <c r="H430" i="1" s="1"/>
  <c r="G409" i="1"/>
  <c r="H409" i="1"/>
  <c r="G408" i="1"/>
  <c r="H408" i="1"/>
  <c r="G407" i="1"/>
  <c r="H407" i="1"/>
  <c r="G406" i="1"/>
  <c r="H406" i="1"/>
  <c r="G405" i="1"/>
  <c r="H405" i="1"/>
  <c r="G295" i="1"/>
  <c r="H295" i="1"/>
  <c r="G294" i="1"/>
  <c r="H294" i="1"/>
  <c r="G233" i="1"/>
  <c r="H233" i="1"/>
  <c r="G232" i="1"/>
  <c r="H232" i="1"/>
  <c r="G231" i="1"/>
  <c r="H231" i="1"/>
  <c r="G230" i="1"/>
  <c r="H230" i="1"/>
  <c r="G229" i="1"/>
  <c r="H229" i="1"/>
  <c r="G228" i="1"/>
  <c r="H228" i="1"/>
  <c r="G227" i="1"/>
  <c r="H227" i="1"/>
  <c r="G213" i="1"/>
  <c r="H213" i="1" s="1"/>
  <c r="G226" i="1"/>
  <c r="H226" i="1"/>
  <c r="G225" i="1"/>
  <c r="H225" i="1"/>
  <c r="G224" i="1"/>
  <c r="H224" i="1"/>
  <c r="G223" i="1"/>
  <c r="H223" i="1"/>
  <c r="G222" i="1"/>
  <c r="H222" i="1"/>
  <c r="G221" i="1"/>
  <c r="H221" i="1"/>
  <c r="G220" i="1"/>
  <c r="H220" i="1"/>
  <c r="G219" i="1"/>
  <c r="H219" i="1"/>
  <c r="G218" i="1"/>
  <c r="H218" i="1"/>
  <c r="G217" i="1"/>
  <c r="H217" i="1"/>
  <c r="G216" i="1"/>
  <c r="H216" i="1"/>
  <c r="G215" i="1"/>
  <c r="H215" i="1"/>
  <c r="G214" i="1"/>
  <c r="H214" i="1"/>
  <c r="G210" i="1"/>
  <c r="H210" i="1" s="1"/>
  <c r="G212" i="1"/>
  <c r="H212" i="1"/>
  <c r="G211" i="1"/>
  <c r="H211" i="1"/>
  <c r="G209" i="1"/>
  <c r="H209" i="1"/>
  <c r="G208" i="1"/>
  <c r="H208" i="1"/>
  <c r="G207" i="1"/>
  <c r="H207" i="1"/>
  <c r="G206" i="1"/>
  <c r="H206" i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28" i="1"/>
  <c r="H128" i="1" s="1"/>
  <c r="G127" i="1"/>
  <c r="H127" i="1" s="1"/>
  <c r="G126" i="1"/>
  <c r="H126" i="1" s="1"/>
  <c r="G125" i="1"/>
  <c r="H125" i="1" s="1"/>
  <c r="G76" i="1"/>
  <c r="H76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545" i="1"/>
  <c r="H545" i="1"/>
  <c r="G26" i="1"/>
  <c r="H26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476" i="1" l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75" i="1"/>
  <c r="H475" i="1"/>
  <c r="G474" i="1"/>
  <c r="H474" i="1"/>
  <c r="G113" i="1"/>
  <c r="H113" i="1" s="1"/>
  <c r="G63" i="1"/>
  <c r="H63" i="1" s="1"/>
  <c r="G62" i="1"/>
  <c r="H62" i="1" s="1"/>
  <c r="G390" i="1"/>
  <c r="H390" i="1" s="1"/>
  <c r="G391" i="1"/>
  <c r="H391" i="1" s="1"/>
  <c r="G392" i="1"/>
  <c r="H392" i="1" s="1"/>
  <c r="G389" i="1"/>
  <c r="H389" i="1"/>
  <c r="G388" i="1"/>
  <c r="H388" i="1"/>
  <c r="G387" i="1"/>
  <c r="H387" i="1"/>
  <c r="G386" i="1"/>
  <c r="H386" i="1"/>
  <c r="G385" i="1"/>
  <c r="H385" i="1"/>
  <c r="G384" i="1"/>
  <c r="H384" i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72" i="1"/>
  <c r="H472" i="1" s="1"/>
  <c r="G471" i="1"/>
  <c r="H471" i="1" s="1"/>
  <c r="G467" i="1"/>
  <c r="H467" i="1" s="1"/>
  <c r="G466" i="1"/>
  <c r="H466" i="1" s="1"/>
  <c r="G464" i="1"/>
  <c r="H464" i="1" s="1"/>
  <c r="G463" i="1"/>
  <c r="H463" i="1" s="1"/>
  <c r="G323" i="1" l="1"/>
  <c r="H323" i="1" s="1"/>
  <c r="G104" i="1"/>
  <c r="H104" i="1" s="1"/>
  <c r="G100" i="1"/>
  <c r="H100" i="1" s="1"/>
  <c r="G103" i="1"/>
  <c r="H103" i="1" s="1"/>
  <c r="G102" i="1"/>
  <c r="H102" i="1" s="1"/>
  <c r="G97" i="1"/>
  <c r="H97" i="1" s="1"/>
  <c r="G101" i="1"/>
  <c r="H101" i="1" s="1"/>
  <c r="G290" i="1" l="1"/>
  <c r="H290" i="1" s="1"/>
  <c r="G239" i="1"/>
  <c r="H239" i="1" s="1"/>
  <c r="G12" i="1"/>
  <c r="H12" i="1" s="1"/>
  <c r="G25" i="1"/>
  <c r="H25" i="1" s="1"/>
  <c r="G23" i="1"/>
  <c r="H23" i="1" s="1"/>
  <c r="G17" i="1"/>
  <c r="H17" i="1" s="1"/>
  <c r="G201" i="1" l="1"/>
  <c r="G202" i="1"/>
  <c r="G203" i="1"/>
  <c r="G204" i="1"/>
  <c r="G197" i="1"/>
  <c r="G538" i="1"/>
  <c r="G118" i="1"/>
  <c r="H517" i="1"/>
  <c r="H519" i="1"/>
  <c r="H446" i="1"/>
  <c r="H445" i="1"/>
  <c r="H447" i="1"/>
  <c r="H118" i="1"/>
  <c r="H538" i="1"/>
  <c r="H201" i="1"/>
  <c r="H202" i="1"/>
  <c r="H203" i="1"/>
  <c r="H204" i="1"/>
  <c r="H197" i="1"/>
  <c r="H518" i="1"/>
  <c r="G288" i="1" l="1"/>
  <c r="H288" i="1"/>
  <c r="G579" i="1"/>
  <c r="H579" i="1" s="1"/>
  <c r="G578" i="1"/>
  <c r="H578" i="1" s="1"/>
  <c r="G577" i="1"/>
  <c r="H577" i="1" s="1"/>
  <c r="G576" i="1"/>
  <c r="H576" i="1" s="1"/>
  <c r="G575" i="1"/>
  <c r="H575" i="1" s="1"/>
  <c r="G574" i="1"/>
  <c r="H574" i="1" s="1"/>
  <c r="G573" i="1"/>
  <c r="H573" i="1" s="1"/>
  <c r="G572" i="1"/>
  <c r="H572" i="1" s="1"/>
  <c r="G571" i="1"/>
  <c r="H571" i="1" s="1"/>
  <c r="G570" i="1"/>
  <c r="H570" i="1" s="1"/>
  <c r="G569" i="1"/>
  <c r="H569" i="1" s="1"/>
  <c r="G568" i="1"/>
  <c r="H568" i="1" s="1"/>
  <c r="G567" i="1"/>
  <c r="H567" i="1" s="1"/>
  <c r="G566" i="1"/>
  <c r="H566" i="1" s="1"/>
  <c r="G565" i="1"/>
  <c r="H565" i="1" s="1"/>
  <c r="G564" i="1"/>
  <c r="H564" i="1" s="1"/>
  <c r="G563" i="1"/>
  <c r="H563" i="1" s="1"/>
  <c r="G562" i="1"/>
  <c r="H562" i="1" s="1"/>
  <c r="G561" i="1"/>
  <c r="H561" i="1" s="1"/>
  <c r="G560" i="1"/>
  <c r="H560" i="1" s="1"/>
  <c r="G559" i="1"/>
  <c r="H559" i="1" s="1"/>
  <c r="G558" i="1"/>
  <c r="H558" i="1" s="1"/>
  <c r="G557" i="1"/>
  <c r="H557" i="1" s="1"/>
  <c r="G556" i="1"/>
  <c r="H556" i="1" s="1"/>
  <c r="G555" i="1"/>
  <c r="H555" i="1" s="1"/>
  <c r="G554" i="1"/>
  <c r="H554" i="1" s="1"/>
  <c r="G553" i="1"/>
  <c r="H553" i="1" s="1"/>
  <c r="G552" i="1"/>
  <c r="H552" i="1" s="1"/>
  <c r="G551" i="1"/>
  <c r="H551" i="1" s="1"/>
  <c r="G550" i="1"/>
  <c r="H550" i="1" s="1"/>
  <c r="G549" i="1"/>
  <c r="H549" i="1" s="1"/>
  <c r="G548" i="1"/>
  <c r="H548" i="1" s="1"/>
  <c r="G547" i="1"/>
  <c r="H547" i="1" s="1"/>
  <c r="G546" i="1"/>
  <c r="H546" i="1" s="1"/>
  <c r="G536" i="1"/>
  <c r="H536" i="1" s="1"/>
  <c r="G398" i="1"/>
  <c r="H398" i="1" s="1"/>
  <c r="G111" i="1"/>
  <c r="H111" i="1" s="1"/>
  <c r="G110" i="1"/>
  <c r="H110" i="1" s="1"/>
  <c r="G175" i="1"/>
  <c r="H175" i="1" s="1"/>
  <c r="G99" i="1"/>
  <c r="H99" i="1" s="1"/>
  <c r="G98" i="1"/>
  <c r="H98" i="1" s="1"/>
  <c r="G539" i="1"/>
  <c r="H539" i="1" s="1"/>
  <c r="G540" i="1"/>
  <c r="H540" i="1" s="1"/>
  <c r="G542" i="1"/>
  <c r="H542" i="1" s="1"/>
  <c r="G541" i="1"/>
  <c r="H541" i="1" s="1"/>
  <c r="G167" i="1"/>
  <c r="H167" i="1" s="1"/>
  <c r="G155" i="1"/>
  <c r="H155" i="1" s="1"/>
  <c r="G255" i="1"/>
  <c r="H255" i="1" s="1"/>
  <c r="G254" i="1"/>
  <c r="H254" i="1" s="1"/>
  <c r="G253" i="1"/>
  <c r="H253" i="1" s="1"/>
  <c r="G252" i="1"/>
  <c r="H252" i="1" s="1"/>
  <c r="G361" i="1"/>
  <c r="H361" i="1" s="1"/>
  <c r="G509" i="1"/>
  <c r="H509" i="1" s="1"/>
  <c r="G381" i="1"/>
  <c r="H381" i="1" s="1"/>
  <c r="G277" i="1"/>
  <c r="H277" i="1" s="1"/>
  <c r="G181" i="1"/>
  <c r="H181" i="1" s="1"/>
  <c r="G187" i="1"/>
  <c r="H187" i="1" s="1"/>
  <c r="G186" i="1"/>
  <c r="H186" i="1" s="1"/>
  <c r="G185" i="1"/>
  <c r="H185" i="1" s="1"/>
  <c r="G184" i="1"/>
  <c r="H184" i="1" s="1"/>
  <c r="G537" i="1"/>
  <c r="H537" i="1" s="1"/>
  <c r="G38" i="1"/>
  <c r="H38" i="1" s="1"/>
  <c r="G397" i="1"/>
  <c r="H397" i="1" s="1"/>
  <c r="G24" i="1"/>
  <c r="H24" i="1" s="1"/>
  <c r="G402" i="1"/>
  <c r="H402" i="1" s="1"/>
  <c r="G195" i="1"/>
  <c r="H195" i="1" s="1"/>
  <c r="G191" i="1"/>
  <c r="H191" i="1" s="1"/>
  <c r="G194" i="1"/>
  <c r="H194" i="1" s="1"/>
  <c r="G193" i="1"/>
  <c r="H193" i="1" s="1"/>
  <c r="G192" i="1"/>
  <c r="H192" i="1" s="1"/>
  <c r="G196" i="1"/>
  <c r="H196" i="1" s="1"/>
  <c r="G199" i="1"/>
  <c r="H199" i="1" s="1"/>
  <c r="G200" i="1"/>
  <c r="H200" i="1" s="1"/>
  <c r="G198" i="1"/>
  <c r="H198" i="1" s="1"/>
  <c r="H441" i="1"/>
  <c r="H521" i="1"/>
  <c r="G296" i="1"/>
  <c r="H296" i="1" s="1"/>
  <c r="G281" i="1"/>
  <c r="H281" i="1" s="1"/>
  <c r="G57" i="1"/>
  <c r="H57" i="1" s="1"/>
  <c r="G61" i="1"/>
  <c r="H61" i="1" s="1"/>
  <c r="G21" i="1"/>
  <c r="H21" i="1" s="1"/>
  <c r="G16" i="1"/>
  <c r="H16" i="1" s="1"/>
  <c r="G183" i="1"/>
  <c r="H183" i="1" s="1"/>
  <c r="G449" i="1"/>
  <c r="H449" i="1" s="1"/>
  <c r="G87" i="1"/>
  <c r="H87" i="1" s="1"/>
  <c r="G298" i="1"/>
  <c r="H298" i="1" s="1"/>
  <c r="G302" i="1"/>
  <c r="H302" i="1" s="1"/>
  <c r="G243" i="1"/>
  <c r="H243" i="1" s="1"/>
  <c r="G168" i="1"/>
  <c r="H168" i="1" s="1"/>
  <c r="G256" i="1"/>
  <c r="H256" i="1" s="1"/>
  <c r="G176" i="1"/>
  <c r="H176" i="1" s="1"/>
  <c r="G485" i="1"/>
  <c r="H485" i="1" s="1"/>
  <c r="G403" i="1"/>
  <c r="H403" i="1" s="1"/>
  <c r="G64" i="1"/>
  <c r="H64" i="1" s="1"/>
  <c r="G425" i="1"/>
  <c r="H425" i="1" s="1"/>
  <c r="G426" i="1"/>
  <c r="H426" i="1" s="1"/>
  <c r="G400" i="1"/>
  <c r="H400" i="1" s="1"/>
  <c r="G179" i="1"/>
  <c r="H179" i="1" s="1"/>
  <c r="G59" i="1"/>
  <c r="H59" i="1" s="1"/>
  <c r="G15" i="1"/>
  <c r="H15" i="1" s="1"/>
  <c r="G162" i="1"/>
  <c r="H162" i="1" s="1"/>
  <c r="G109" i="1"/>
  <c r="H109" i="1" s="1"/>
  <c r="G19" i="1"/>
  <c r="H19" i="1" s="1"/>
  <c r="G20" i="1"/>
  <c r="H20" i="1" s="1"/>
  <c r="G305" i="1"/>
  <c r="H305" i="1" s="1"/>
  <c r="G37" i="1"/>
  <c r="H37" i="1" s="1"/>
  <c r="G13" i="1"/>
  <c r="H13" i="1" s="1"/>
  <c r="G429" i="1"/>
  <c r="H429" i="1" s="1"/>
  <c r="G508" i="1"/>
  <c r="H508" i="1" s="1"/>
  <c r="G303" i="1"/>
  <c r="H303" i="1" s="1"/>
  <c r="G83" i="1"/>
  <c r="H83" i="1" s="1"/>
  <c r="G84" i="1"/>
  <c r="H84" i="1" s="1"/>
  <c r="G178" i="1"/>
  <c r="H178" i="1" s="1"/>
  <c r="G401" i="1"/>
  <c r="H401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42" i="1"/>
  <c r="H342" i="1" s="1"/>
  <c r="G53" i="1"/>
  <c r="H53" i="1" s="1"/>
  <c r="G52" i="1"/>
  <c r="H52" i="1" s="1"/>
  <c r="G340" i="1"/>
  <c r="H340" i="1" s="1"/>
  <c r="G278" i="1"/>
  <c r="H278" i="1" s="1"/>
  <c r="G297" i="1"/>
  <c r="H297" i="1" s="1"/>
  <c r="G245" i="1"/>
  <c r="H245" i="1" s="1"/>
  <c r="G341" i="1"/>
  <c r="H341" i="1" s="1"/>
  <c r="G51" i="1"/>
  <c r="H51" i="1" s="1"/>
  <c r="G428" i="1"/>
  <c r="H428" i="1" s="1"/>
  <c r="G427" i="1"/>
  <c r="H427" i="1" s="1"/>
  <c r="G117" i="1"/>
  <c r="H117" i="1" s="1"/>
  <c r="G11" i="1"/>
  <c r="H11" i="1" s="1"/>
  <c r="G56" i="1"/>
  <c r="H56" i="1" s="1"/>
  <c r="G279" i="1"/>
  <c r="H279" i="1" s="1"/>
  <c r="G108" i="1"/>
  <c r="H108" i="1" s="1"/>
  <c r="G54" i="1"/>
  <c r="H54" i="1" s="1"/>
  <c r="G348" i="1"/>
  <c r="H348" i="1" s="1"/>
  <c r="G349" i="1"/>
  <c r="H349" i="1" s="1"/>
  <c r="G422" i="1"/>
  <c r="H422" i="1" s="1"/>
  <c r="G139" i="1"/>
  <c r="H139" i="1" s="1"/>
  <c r="G492" i="1"/>
  <c r="H492" i="1" s="1"/>
  <c r="G491" i="1"/>
  <c r="H491" i="1" s="1"/>
  <c r="G490" i="1"/>
  <c r="H490" i="1" s="1"/>
  <c r="G489" i="1"/>
  <c r="H489" i="1" s="1"/>
  <c r="G488" i="1"/>
  <c r="H488" i="1" s="1"/>
  <c r="G473" i="1"/>
  <c r="H473" i="1" s="1"/>
  <c r="G470" i="1"/>
  <c r="H470" i="1" s="1"/>
  <c r="G469" i="1"/>
  <c r="H469" i="1" s="1"/>
  <c r="G468" i="1"/>
  <c r="H468" i="1" s="1"/>
  <c r="G465" i="1"/>
  <c r="H465" i="1" s="1"/>
  <c r="G50" i="1"/>
  <c r="H50" i="1" s="1"/>
  <c r="G280" i="1"/>
  <c r="H280" i="1" s="1"/>
  <c r="G112" i="1"/>
  <c r="H112" i="1" s="1"/>
  <c r="G14" i="1"/>
  <c r="H14" i="1" s="1"/>
  <c r="G18" i="1"/>
  <c r="H18" i="1" s="1"/>
  <c r="G250" i="1"/>
  <c r="H250" i="1" s="1"/>
  <c r="G251" i="1"/>
  <c r="H251" i="1" s="1"/>
  <c r="G371" i="1"/>
  <c r="H371" i="1" s="1"/>
  <c r="G365" i="1"/>
  <c r="H365" i="1" s="1"/>
  <c r="G364" i="1"/>
  <c r="H364" i="1" s="1"/>
  <c r="G359" i="1"/>
  <c r="H359" i="1" s="1"/>
  <c r="G358" i="1"/>
  <c r="H358" i="1" s="1"/>
  <c r="G356" i="1"/>
  <c r="H356" i="1" s="1"/>
  <c r="G355" i="1"/>
  <c r="H355" i="1" s="1"/>
  <c r="G360" i="1"/>
  <c r="H360" i="1" s="1"/>
  <c r="G304" i="1"/>
  <c r="H304" i="1" s="1"/>
  <c r="G4" i="1"/>
  <c r="H4" i="1" s="1"/>
  <c r="G510" i="1"/>
  <c r="H510" i="1" s="1"/>
  <c r="G431" i="1"/>
  <c r="H431" i="1" s="1"/>
  <c r="G404" i="1"/>
  <c r="H404" i="1" s="1"/>
  <c r="G423" i="1"/>
  <c r="H423" i="1" s="1"/>
  <c r="G512" i="1"/>
  <c r="H512" i="1" s="1"/>
  <c r="G116" i="1"/>
  <c r="H116" i="1" s="1"/>
  <c r="G376" i="1"/>
  <c r="H376" i="1" s="1"/>
  <c r="G380" i="1"/>
  <c r="H380" i="1" s="1"/>
  <c r="G378" i="1"/>
  <c r="H378" i="1" s="1"/>
  <c r="G379" i="1"/>
  <c r="H379" i="1" s="1"/>
  <c r="G114" i="1"/>
  <c r="H114" i="1" s="1"/>
  <c r="G86" i="1"/>
  <c r="H86" i="1" s="1"/>
  <c r="G75" i="1"/>
  <c r="H75" i="1" s="1"/>
  <c r="G240" i="1"/>
  <c r="H240" i="1" s="1"/>
  <c r="G96" i="1"/>
  <c r="H96" i="1" s="1"/>
  <c r="G205" i="1"/>
  <c r="H205" i="1" s="1"/>
  <c r="G124" i="1"/>
  <c r="H124" i="1" s="1"/>
  <c r="G448" i="1"/>
  <c r="H448" i="1" s="1"/>
  <c r="G85" i="1"/>
  <c r="H85" i="1" s="1"/>
  <c r="G55" i="1"/>
  <c r="H55" i="1" s="1"/>
  <c r="G424" i="1"/>
  <c r="H424" i="1" s="1"/>
  <c r="G382" i="1"/>
  <c r="H382" i="1" s="1"/>
  <c r="G377" i="1"/>
  <c r="H377" i="1" s="1"/>
  <c r="G383" i="1"/>
  <c r="H383" i="1" s="1"/>
  <c r="G78" i="1"/>
  <c r="H78" i="1" s="1"/>
  <c r="G81" i="1"/>
  <c r="H81" i="1" s="1"/>
  <c r="G80" i="1"/>
  <c r="H80" i="1" s="1"/>
  <c r="G79" i="1"/>
  <c r="H79" i="1" s="1"/>
  <c r="G82" i="1"/>
  <c r="H82" i="1" s="1"/>
  <c r="G444" i="1"/>
  <c r="H444" i="1" s="1"/>
  <c r="G443" i="1"/>
  <c r="H443" i="1" s="1"/>
  <c r="G442" i="1"/>
  <c r="H442" i="1" s="1"/>
  <c r="G514" i="1"/>
  <c r="H514" i="1" s="1"/>
  <c r="G516" i="1"/>
  <c r="H516" i="1" s="1"/>
  <c r="G515" i="1"/>
  <c r="H515" i="1" s="1"/>
  <c r="H528" i="1"/>
  <c r="G527" i="1"/>
  <c r="H527" i="1" s="1"/>
  <c r="H526" i="1"/>
  <c r="H525" i="1"/>
  <c r="G520" i="1"/>
  <c r="H520" i="1" s="1"/>
</calcChain>
</file>

<file path=xl/sharedStrings.xml><?xml version="1.0" encoding="utf-8"?>
<sst xmlns="http://schemas.openxmlformats.org/spreadsheetml/2006/main" count="1009" uniqueCount="377">
  <si>
    <t xml:space="preserve">LISTADO DE PRECIOS  -  IMATEC S.A.S.  </t>
  </si>
  <si>
    <t>DESCRIPCION DEL PRODUCTO</t>
  </si>
  <si>
    <t>UNIDAD</t>
  </si>
  <si>
    <t>IVA</t>
  </si>
  <si>
    <t>COSTO</t>
  </si>
  <si>
    <t>VR.  FINAL</t>
  </si>
  <si>
    <t>VALVULA DE PIE ESTANDAR ALUM. FLANCHADA  6*</t>
  </si>
  <si>
    <t>VALVULA DE SEGURIDAD PARA AIRE 1/4  *</t>
  </si>
  <si>
    <t>VALVULA DE SEGURIDAD PARA AIRE 1/2  *</t>
  </si>
  <si>
    <t>VALVULA DE PIE CANASTILLA PLASTICA 1 *</t>
  </si>
  <si>
    <t>VALVULA DE PIE CANASTILLA PLASTICA 1 1/2 *</t>
  </si>
  <si>
    <t>VALVULA DE PIE CANASTILLA PLASTICA  2 *</t>
  </si>
  <si>
    <t>FERRETERIA INDUSTRIAL</t>
  </si>
  <si>
    <t>VALVULA CHEQUE ESTANDAR BRONCE 1 *</t>
  </si>
  <si>
    <t>VALVULA CHEQUE ESTANDAR BRONCE 1 1/2 *</t>
  </si>
  <si>
    <t>VALVULA CHEQUE ESTANDAR BRONCE 2 *</t>
  </si>
  <si>
    <t>CHEQUE CORTINA  TIPO RW  BRONCE 1/2 *</t>
  </si>
  <si>
    <t>CHEQUE CORTINA  TIPO RW  BRONCE  3/4 *</t>
  </si>
  <si>
    <t>CHEQUE CORTINA  TIPO RW  BRONCE 1 *</t>
  </si>
  <si>
    <t>CHEQUE CORTINA  TIPO RW  BRONCE 1 1/2 *</t>
  </si>
  <si>
    <t>CHEQUE CORTINA  TIPO RW  BRONCE  2 *</t>
  </si>
  <si>
    <t>METRO LINEAL</t>
  </si>
  <si>
    <t>TUBO GALVANIZADO GAS ROSCADO  3/4 *</t>
  </si>
  <si>
    <t>TUBO  AC/INOX 304 SCH 40  1 1/4 *</t>
  </si>
  <si>
    <t>TUBO AC/INOX 316  SCH 40  1 1/2 *</t>
  </si>
  <si>
    <t>UNIVERSAL AC/INOX 304 NPT X 150 PSI  1/2 *</t>
  </si>
  <si>
    <t>BRIDA SLIP ON CS  X  300 LBS  18 *</t>
  </si>
  <si>
    <t>CHEQUE CORTINA AC/INOX CF8  2 *</t>
  </si>
  <si>
    <t>VALVULA COMPUERTA BRONCE JAGUAR 2 *</t>
  </si>
  <si>
    <t>NIPLE AC/INOX 304  4 * X 5 *</t>
  </si>
  <si>
    <t>REDUCCION MECANICA 4 * RANURA X   2 *  ROSCA</t>
  </si>
  <si>
    <t>BUSHING GALVANIZADO  2 * X  1 1/4 *</t>
  </si>
  <si>
    <t>CHEQUE CORTINA AC/INOX ROSCADO 1 1/4 *  X  150 L</t>
  </si>
  <si>
    <t>TUBO AC/INOX 304 CUADRADO 1 1/2 * CAL 18</t>
  </si>
  <si>
    <t>TUBO AC/INOX 304 CUADRADO 1 * CAL 18</t>
  </si>
  <si>
    <t>TUBO AC/INOX 304 REDONDO  1 1/2* SCH 40</t>
  </si>
  <si>
    <t>TUBO  AC/INOX 304 REDONDO 1 * SCH 40</t>
  </si>
  <si>
    <t>VALVULA DE BOLA CROMADA 4 *</t>
  </si>
  <si>
    <t>UNIVERSAL  AC/INOX 304 ROSCADO 1 * X 150 LBS</t>
  </si>
  <si>
    <t>UNION AC/INOX 304 ROSCADA 1/2 * X 150 LBS</t>
  </si>
  <si>
    <t xml:space="preserve">UNIVERSAL GALVANIZADO  2* </t>
  </si>
  <si>
    <t>ABRAZADERA  AC/INOX 304 SANITARIA 1 1/2 *</t>
  </si>
  <si>
    <t>TEE AC/INOX  1/2 *  OD</t>
  </si>
  <si>
    <t>BRIDA  AC/INOX 304 SLIP ON  2 1/2 *</t>
  </si>
  <si>
    <t>TUBERIA HR  CUADRADA 1 1/2 * CAL 20</t>
  </si>
  <si>
    <t>TUBERIA HR  3 * X  1 1/2 * CAL 20</t>
  </si>
  <si>
    <t>BRIDA PVC SCH 80  2 1/2 *  FIJA</t>
  </si>
  <si>
    <t>TEE  AC/INOX 304  ROSCADA  3/4 *  X 150 LBS</t>
  </si>
  <si>
    <t>BUSHIN AC/INOX 304  ROSCADO  3/4 *  X 150 LBS</t>
  </si>
  <si>
    <t>BRIDA AC/INOX  304  SLIP ON  2 *</t>
  </si>
  <si>
    <t>KILO</t>
  </si>
  <si>
    <t xml:space="preserve">SOLDADURA 6011  1/8 * </t>
  </si>
  <si>
    <t>TEE HIERRO MALEABLE 1 *  X  300 LBS</t>
  </si>
  <si>
    <t>TAPON MACHO A / C  1 1/4 * X 300 LBS</t>
  </si>
  <si>
    <t>BRIDA CIEGA  A / C  14 *  X  300 LBS</t>
  </si>
  <si>
    <t>BRIDA CIEGA  A / C  18 *  X  300 LBS</t>
  </si>
  <si>
    <t>TUBERIA ESTRUCTURAL 70 X 70  2,0 mm</t>
  </si>
  <si>
    <t>TUBO X 6 MTS</t>
  </si>
  <si>
    <t>BRIDA  AC/INOX 304 SLIP ON   1/2 *</t>
  </si>
  <si>
    <t>BRIDA  AC/INOX 304 SLIP ON   3/4 *</t>
  </si>
  <si>
    <t>BRIDA  AC/INOX 304 SLIP ON   1 *</t>
  </si>
  <si>
    <t>BRIDA  AC/INOX 304 SLIP ON   1 1/4 *</t>
  </si>
  <si>
    <t xml:space="preserve">BRIDA  AC/INOX 304 SLIP ON   1 1/2 * </t>
  </si>
  <si>
    <t>BRIDA  AC/INOX 304 SLIP ON   2 *</t>
  </si>
  <si>
    <t>BRIDA  AC/INOX 304 SLIP ON   2 1/2 *</t>
  </si>
  <si>
    <t>BRIDA  AC/INOX 304 SLIP ON   3 *</t>
  </si>
  <si>
    <t>BRIDA  AC/INOX 304 SLIP ON   4 *</t>
  </si>
  <si>
    <t>BRIDA  AC/INOX 304 SLIP ON   6 *</t>
  </si>
  <si>
    <t>BRIDA  AC/INOX 304 SLIP ON   8 *</t>
  </si>
  <si>
    <t>UNION AC/INOX 304  1 * X  150 LBS</t>
  </si>
  <si>
    <t>CHEQUE CORTINA A / C  NPT  1/2 * X  800 LBS</t>
  </si>
  <si>
    <t>CHEQUE CORTINA A / C  NPT  1 * X  800 LBS</t>
  </si>
  <si>
    <t>TRAMPA FILTRO TLB 1 1/2 *  MODELO A3N</t>
  </si>
  <si>
    <t>VALVULA DE BOLA 3 VIAS AC/INOX 316  1 *</t>
  </si>
  <si>
    <t>BRIDA  A / C CIEGA  6 *  X  150 LBS</t>
  </si>
  <si>
    <t>BUSHING A / C  1 1/4 *  X  1 *  X  3000 LBS</t>
  </si>
  <si>
    <t>UNION AC/INOX  304  3/4 * X 15O LBS NPT</t>
  </si>
  <si>
    <t>UNIVERSAL AC/INOX  304  1 * X  150 LBS  NPT</t>
  </si>
  <si>
    <t>UNIVERSAL AC/INOX  304  3/4 * X  150 LBS  NPT</t>
  </si>
  <si>
    <t>UNION AC/INOX 304 ROSCADA 1 * X 150 LBS</t>
  </si>
  <si>
    <t>SELLANTE SHELLAC  X  2 OZ</t>
  </si>
  <si>
    <t>TEFLON INDUSTRIAL  3/4 *  X  15 MTS</t>
  </si>
  <si>
    <t>TEE MECANICA 3G 6 * RANURA  1 1/2 *</t>
  </si>
  <si>
    <t>CHEQUE CORTINA NAPOLI  1 1/4 *</t>
  </si>
  <si>
    <t>VALVULA COMPUERTA NAPOLI  1 1/4 *</t>
  </si>
  <si>
    <t>MANOMETRO ASTRA  1 1/2 * X  300 PSI</t>
  </si>
  <si>
    <t>TEE HIERRO MALEABLE  1 1/4 *  150L</t>
  </si>
  <si>
    <t>BUSHING  HIERRO MALEABLE  2 *  X  1 1/4 * 150 L</t>
  </si>
  <si>
    <t>VALVULA DE PIE ESTANDAR ALUMINIO FLANCHADO 6*</t>
  </si>
  <si>
    <t>VALVULA CHEQUE ESTANDAR BRONCE  2 *</t>
  </si>
  <si>
    <t>VALVULA DE PIE DOMESTICA CANASTILLA PLASTICA 1*</t>
  </si>
  <si>
    <t>VALVULA DE PIE DOMESTICA CANASTILLA PLASTICA 1 1/2 *</t>
  </si>
  <si>
    <t>VALVULA DE PIE DOMESTICA CANASTILLA PLASTICA 2 *</t>
  </si>
  <si>
    <t>VALVULA CHEQUE TIPO ESTANDAR BRONCE  1*</t>
  </si>
  <si>
    <t>VALVULA CHEQUE TIPO ESTANDAR BRONCE  1 1/2 *</t>
  </si>
  <si>
    <t>VALVULA CHEQUE TIPO ESTANDAR BRONCE  2*</t>
  </si>
  <si>
    <t>VALVULA MARIPOSA SUPERVISADA 6 * X  300 LBS</t>
  </si>
  <si>
    <t>NIPLE  A /C  SCH 40  3/4   *  X  3 *</t>
  </si>
  <si>
    <t>NIPLE  A /C  SCH 40  3/4   *  X  4 *</t>
  </si>
  <si>
    <t>NIPLE  A /C  SCH 40  3/4   *  X  5 *</t>
  </si>
  <si>
    <t>NIPLE  A /C  SCH 40  3/4   *  X  6 *</t>
  </si>
  <si>
    <t>NIPLE  A /C  SCH 40  1/2   *  X  3 *</t>
  </si>
  <si>
    <t>NIPLE  A /C  SCH 40  1/2  *  X  3 *</t>
  </si>
  <si>
    <t>NIPLE  A / C  SCH 40  1 *  X  3 *</t>
  </si>
  <si>
    <t>NIPLE  A / C  SCH 40  1 *  X   4 *</t>
  </si>
  <si>
    <t>NIPLE  A / C  SCH 40  1 *  X   5 *</t>
  </si>
  <si>
    <t>NIPLE  A / C  SCH 40  1 *  X   6 *</t>
  </si>
  <si>
    <t>NIPLE  A / C  SCH 40  1 *  X   21 CMTS</t>
  </si>
  <si>
    <t>NIPLE  A / C  SCH 40  1 *  X   7  CMTS</t>
  </si>
  <si>
    <t>UNION AC/INOX 304  8 *  X  300 LBS</t>
  </si>
  <si>
    <t>UNION A / C  1/2 *  X  3000 LBS</t>
  </si>
  <si>
    <t>BRIDA  A / C SLIP ON  8 * X  150 LBS</t>
  </si>
  <si>
    <t>VALVULA MARIPOSA AC/INOX 304 SANITARIO  2 1/2 *</t>
  </si>
  <si>
    <t>MANOMETRO ASTRA GLICERINA 2 1/2 * 0-100 PSI</t>
  </si>
  <si>
    <t>MANOMETRO ASTRA GLICERINA 2 1/2 * 0-150 PSI</t>
  </si>
  <si>
    <t>MANOMETRO ASTRA GLICERINA 2 1/2 * 0-200 PSI</t>
  </si>
  <si>
    <t>MANOMETRO ASTRA GLICERINA 2 1/2 * 0-5000 PSI</t>
  </si>
  <si>
    <t>JUNTA ANTI VIBRATORIA BRIDADA 3 *</t>
  </si>
  <si>
    <t xml:space="preserve">TAPON LISO AC/INOX 304  REDONDO 2* X  3/16 * CAL 16 </t>
  </si>
  <si>
    <t>TUBO AC/INOX 304 REDONDO 2 *  CAL 16 ORNAMENTAL</t>
  </si>
  <si>
    <t>VALVULA DE BOLA A / C  NPT  2 *</t>
  </si>
  <si>
    <t xml:space="preserve">TAPON CAP A / C  </t>
  </si>
  <si>
    <t>1 1/2 *</t>
  </si>
  <si>
    <t>2 *</t>
  </si>
  <si>
    <t>3 *</t>
  </si>
  <si>
    <t>4 *</t>
  </si>
  <si>
    <t>VENTOSA PURGADOR AIRE BR 1/2 * RBM</t>
  </si>
  <si>
    <t>VENTOSA PURGADOR AIRE BR 3/4 * RBM</t>
  </si>
  <si>
    <t>VENTOSA PURGADOR AIRE BR  1 *  RBM</t>
  </si>
  <si>
    <t>VALVULA SEGURIDAD MARMITA 3/4  X  30  LBS</t>
  </si>
  <si>
    <t>UNION A / C  1 1/2 *  X  3000 LBS</t>
  </si>
  <si>
    <t>VALVULA MARIPOSA 3 * X 150 LBS  EPDM</t>
  </si>
  <si>
    <t>TUBERIA  PVC  C900  DR18  4 "</t>
  </si>
  <si>
    <t>CODO  PVC  C900  4 "  X  90 º</t>
  </si>
  <si>
    <t>LUBRICANTE PARA PVC  X  500 GRS</t>
  </si>
  <si>
    <t xml:space="preserve">VALVULA DE BOLA  AC/INOX 316  VERONI  2 * </t>
  </si>
  <si>
    <t>VALVULA DE BOLA  AC/INOX 316  VERONI  4 *</t>
  </si>
  <si>
    <t>VALVULA DE BOLA  AC/INOX 316 VERONI 1 1/2 *</t>
  </si>
  <si>
    <t>VALVULA DE BOLA  AC/INOX 316  VERONI 1 1/4 *</t>
  </si>
  <si>
    <t>VALVULA DE BOLA  AC/INOX 316  VERONI 1/2 *</t>
  </si>
  <si>
    <t>VALVULA DE BOLA AC/INOX 304 BALL VALVES  2 *</t>
  </si>
  <si>
    <t>VALVULA 2PC 304 NPT  3/4 *  X  1000 LBS</t>
  </si>
  <si>
    <t>VALVULA 2PC 304 NPT  1 *  X  1000 LBS</t>
  </si>
  <si>
    <t>VALVULA 2PC 304 NPT  2 *  X  1000 LBS</t>
  </si>
  <si>
    <t>GASTOP SELLANTE FUERZA ALTA X 36 ML</t>
  </si>
  <si>
    <t xml:space="preserve">VALVULA DE BOLA  AC/INOX 316  VERONI  1/4 * </t>
  </si>
  <si>
    <t xml:space="preserve">VALVULA DE BOLA  AC/INOX 316  VERONI  3/8 * </t>
  </si>
  <si>
    <t>VALVULA DE BOLA  AC/INOX 316  VERONI 3/4 *</t>
  </si>
  <si>
    <t>VALVULA DE BOLA  AC/INOX 316  VERONI 1 *</t>
  </si>
  <si>
    <t xml:space="preserve">VALVULA DE BOLA  AC/INOX 316  VERONI  2 1/2 * </t>
  </si>
  <si>
    <t xml:space="preserve">VALVULA DE BOLA  AC/INOX 316  VERONI  3 * </t>
  </si>
  <si>
    <t>1/2 *</t>
  </si>
  <si>
    <t xml:space="preserve">VALVULA CORTINA BRONCE </t>
  </si>
  <si>
    <t>3/4 *</t>
  </si>
  <si>
    <t>1 *</t>
  </si>
  <si>
    <t>1 1/4 *</t>
  </si>
  <si>
    <t>2 1/2 *</t>
  </si>
  <si>
    <t>UNION AC/INOX 304 X 150 LBS REFORZADA</t>
  </si>
  <si>
    <t xml:space="preserve">2 * </t>
  </si>
  <si>
    <t>VALVULA DE BOLA AC/INOX 304    1/4 *</t>
  </si>
  <si>
    <t>VALVULA DE BOLA AC/INOX 304   3/8 *</t>
  </si>
  <si>
    <t>VALVULA DE BOLA AC/INOX 304   1/2 *</t>
  </si>
  <si>
    <t>VALVULA DE BOLA AC/INOX 304   1 1/4 *</t>
  </si>
  <si>
    <t>VALVULA DE BOLA AC/INOX 304   1 1/2 *</t>
  </si>
  <si>
    <t>VALVULA DE BOLA AC/INOX 304   2 *</t>
  </si>
  <si>
    <t>VALVULA DE BOLA AC/INOX 304   2 1/2 *</t>
  </si>
  <si>
    <t>VALVULA DE BOLA AC/INOX 304   3 *</t>
  </si>
  <si>
    <t>VALVULA DE BOLA AC/INOX 304   4 *</t>
  </si>
  <si>
    <t>YEE GALVANIZADA  2 "</t>
  </si>
  <si>
    <t>BUSHING GALVANIZADO 1/2 * X   1/4 *</t>
  </si>
  <si>
    <t>BUSHING GALVANIZADO  1/2 * X  3/8 *</t>
  </si>
  <si>
    <t>BUSHING GALVANIZADO  3/4 * X   1/2 *</t>
  </si>
  <si>
    <t>BUSHING GALVANIZADO  3/4 * X  1/4 *</t>
  </si>
  <si>
    <t>BUSHING GALVANIZADO  1 * X  1/2 *</t>
  </si>
  <si>
    <t>BUSHING GALVANIZADO  1 * X  3/4 *</t>
  </si>
  <si>
    <t>BUSHING GALVANIZADO 1 1/2 * X  1/2 *</t>
  </si>
  <si>
    <t>BUSHING GALVANIZADO 1 1/2 * X  1 *</t>
  </si>
  <si>
    <t>BUSHING GALVANIZADO  2 * X  1/2 *</t>
  </si>
  <si>
    <t>BUSHING GALVANIZADO  2 * X  1 *</t>
  </si>
  <si>
    <t>BUSHING GALVANIZADO  2 * X  1 1/2 *</t>
  </si>
  <si>
    <t>COPA GALVANIZADA</t>
  </si>
  <si>
    <t>1/2 * - 1/4 *</t>
  </si>
  <si>
    <t>1/2 * - 3/8 *</t>
  </si>
  <si>
    <t>3/4 * - 1/2 *</t>
  </si>
  <si>
    <t>1 * - 1/2 *</t>
  </si>
  <si>
    <t>1 * - 3/4 *</t>
  </si>
  <si>
    <t>1 1/2 * - 1 *</t>
  </si>
  <si>
    <t>1 1/2 * - 1/2 *</t>
  </si>
  <si>
    <t>1 1/2 * - 3/4 *</t>
  </si>
  <si>
    <t>2 * - 1  *</t>
  </si>
  <si>
    <t>2 * - 2 1/2 *</t>
  </si>
  <si>
    <t>NIPLE GALVANIZADO SCH 40</t>
  </si>
  <si>
    <t xml:space="preserve">1/4 * - 3 * </t>
  </si>
  <si>
    <t>1/4 * - 4 *</t>
  </si>
  <si>
    <t>1/4 * - 2 *</t>
  </si>
  <si>
    <t>1/4 * - 6 *</t>
  </si>
  <si>
    <t>3/8 * - 3 *</t>
  </si>
  <si>
    <t>3/8 * - 4 *</t>
  </si>
  <si>
    <t>3/8 * - 2 *</t>
  </si>
  <si>
    <t>1/2 * -2 *</t>
  </si>
  <si>
    <t>1/2 * - 3 *</t>
  </si>
  <si>
    <t>1/2 * - 4 *</t>
  </si>
  <si>
    <t>1/2 * - 6 *</t>
  </si>
  <si>
    <t>3/4 * - 1 1/2 *</t>
  </si>
  <si>
    <t>3/4 * - 2 *</t>
  </si>
  <si>
    <t>3/4 * - 3 *</t>
  </si>
  <si>
    <t>3/4 * - 4 *</t>
  </si>
  <si>
    <t>3/4 * - 6 *</t>
  </si>
  <si>
    <t>1 * - 2 *</t>
  </si>
  <si>
    <t>1 * - 3 *</t>
  </si>
  <si>
    <t xml:space="preserve">1 * - 4 * </t>
  </si>
  <si>
    <t>1 * - 6 *</t>
  </si>
  <si>
    <t>1/2 * - 1 1/2 *</t>
  </si>
  <si>
    <t>1 1/2 * - 3 *</t>
  </si>
  <si>
    <t>1 1/2 * - 4 *</t>
  </si>
  <si>
    <t>1 1/2 * - 6 *</t>
  </si>
  <si>
    <t xml:space="preserve">2 * - 3 * </t>
  </si>
  <si>
    <t>2 * - 4 *</t>
  </si>
  <si>
    <t>2 * - 6 *</t>
  </si>
  <si>
    <t>4 * - 6 *</t>
  </si>
  <si>
    <t>TEE GALVANIZADA 1 /2 *</t>
  </si>
  <si>
    <t>TEE GALVANIZADA 3/4 *</t>
  </si>
  <si>
    <t>UNION GALVANIZADA</t>
  </si>
  <si>
    <t>UNIVERSAL GALVANIZADO  1/2 *</t>
  </si>
  <si>
    <t>UNIVERSAL GALVANIZADO  1 *</t>
  </si>
  <si>
    <t>YEE GALVANIZADA  1 "</t>
  </si>
  <si>
    <t>YEE GALVANIZADA1 1/ 2 "</t>
  </si>
  <si>
    <t>REDUCCION COPA  A / C  4 * X 3 * NPT X 150 LBS</t>
  </si>
  <si>
    <t>MEDIDOR  AGUA 1 1/2 * D'QUA</t>
  </si>
  <si>
    <t>VALVULA DE BOLA CROMADA 3 *</t>
  </si>
  <si>
    <t>BUSHING  HIERRO MALEABLE  2 *  X  1 1/2 * 150 L</t>
  </si>
  <si>
    <t xml:space="preserve">TUBERIA  AC/INOX 304  SCH  10 </t>
  </si>
  <si>
    <t>5 *</t>
  </si>
  <si>
    <t>6 *</t>
  </si>
  <si>
    <t>8 *</t>
  </si>
  <si>
    <t>10 *</t>
  </si>
  <si>
    <t>12 *</t>
  </si>
  <si>
    <t>14 *</t>
  </si>
  <si>
    <t>16 *</t>
  </si>
  <si>
    <t xml:space="preserve">TUBERIA  AC/INOX 304  SCH  40 </t>
  </si>
  <si>
    <t xml:space="preserve">TUBING AC/INOX 316  </t>
  </si>
  <si>
    <t>1/4 *</t>
  </si>
  <si>
    <t>3/8 *</t>
  </si>
  <si>
    <t>UNIVERSAL PVC SCH 80 EPDM  3 "</t>
  </si>
  <si>
    <t>UNION AC/INOX  304  1/4 * X 15O LBS NPT</t>
  </si>
  <si>
    <t>VALVULA DE BOLA AC/INOX 304   3/4 *</t>
  </si>
  <si>
    <t>VALVULA DE BOLA AC/INOX 304   1 *</t>
  </si>
  <si>
    <t xml:space="preserve"> </t>
  </si>
  <si>
    <t>UNION LISA  A / C  NPT  300 L</t>
  </si>
  <si>
    <t>VALVULA DE PIE BRONCE  3 "</t>
  </si>
  <si>
    <t>UNIVERSAL PVC SCH 40  P/S  3 *</t>
  </si>
  <si>
    <t xml:space="preserve">EMPAQUE SILICONA  </t>
  </si>
  <si>
    <t xml:space="preserve">VALVULA CHEQUE COMPUERTA A / C  3 * X 150 </t>
  </si>
  <si>
    <t>VALVULA DE BOLA PVC  ROSCAR</t>
  </si>
  <si>
    <t>VALVULA DE BOLA PVC SOLDAR</t>
  </si>
  <si>
    <t>UNIVERSAL AC/INOX 304 NPT  1 1/2*  X  150 LBS</t>
  </si>
  <si>
    <t>UNIVERSAL AC/INOX 304 NPT  2 *  X  150 LBS</t>
  </si>
  <si>
    <t xml:space="preserve">UNION PVC PRESION </t>
  </si>
  <si>
    <t>ADAPTADOR HEMBRA PVC PRESION</t>
  </si>
  <si>
    <t>ADAPTADOR MACHO  PVC  PRESION</t>
  </si>
  <si>
    <t>TEE PV C PRESION</t>
  </si>
  <si>
    <t>UNIVERSAL PVC SOLDAR</t>
  </si>
  <si>
    <t>SOLDADURA PVC VERDE GERFOR</t>
  </si>
  <si>
    <t>1/4 GALON</t>
  </si>
  <si>
    <t>LIMPIADOR PVC - CPVC  GERFOR</t>
  </si>
  <si>
    <t>TUBO X 5,80</t>
  </si>
  <si>
    <t xml:space="preserve">TUBERIA  AC/INOX 304 SANITARIO 1,5 mm </t>
  </si>
  <si>
    <t xml:space="preserve">TUBERIA  AC/INOX 304  SCH  80  </t>
  </si>
  <si>
    <t xml:space="preserve">TUBERIA AC/INOX 304 SANITARIA  1,5  mm  </t>
  </si>
  <si>
    <t>TUBERIA ESTRUCTURAL 70 X 70  1,5 mm</t>
  </si>
  <si>
    <t>TUBERIA GALVANIZADA ROSCADA  AGUA</t>
  </si>
  <si>
    <t>TUBO  X  5,80</t>
  </si>
  <si>
    <t>1/2*</t>
  </si>
  <si>
    <t>UNION AC/INOX 304 X3000 LBS  NPT</t>
  </si>
  <si>
    <t>FILTRO EN Y  AC/INOX  316  NPT</t>
  </si>
  <si>
    <t>REDUCCION COPA AC/INOX 304  X  150 LBS</t>
  </si>
  <si>
    <t>1 1/2 * X 1 *</t>
  </si>
  <si>
    <t>2 * X 1 *</t>
  </si>
  <si>
    <t>3 * X  2 *</t>
  </si>
  <si>
    <t>CODO AC/INOX 304 NPT  X 150 LBS</t>
  </si>
  <si>
    <t>CODO AC/INOX 304 NPT  X  150 LBS</t>
  </si>
  <si>
    <t>CODO  AC/INOX 304  SCH 40  X  90 º</t>
  </si>
  <si>
    <t>CODO  A / C  SCH 80  X  90 º</t>
  </si>
  <si>
    <t xml:space="preserve">VALVULA DE BOLA  A / C  NPT  X 1000 LBS </t>
  </si>
  <si>
    <t xml:space="preserve">FERULA AC/INOX 304 SANITARIA  SOLDAR  </t>
  </si>
  <si>
    <t xml:space="preserve">FERULA AC/INOX 304 SANITARIA  SOLDAR </t>
  </si>
  <si>
    <t xml:space="preserve">VALVULA DE BOLA  AC/INOX 316 4 TORNILLOS  </t>
  </si>
  <si>
    <t>VALVULA DE BOLA  AC/INOX 316   X  1000 LBS</t>
  </si>
  <si>
    <t xml:space="preserve">TEE A / C   X  3000 LBS </t>
  </si>
  <si>
    <t xml:space="preserve">TEE A / C   SCH 40 </t>
  </si>
  <si>
    <t xml:space="preserve">TEE A / C   SCH 40   </t>
  </si>
  <si>
    <t>VALVULA GLOBO  A / C   X  800 LBS</t>
  </si>
  <si>
    <t xml:space="preserve">  </t>
  </si>
  <si>
    <t>SOPORTE TIPO  PERA</t>
  </si>
  <si>
    <t xml:space="preserve">   </t>
  </si>
  <si>
    <t xml:space="preserve">TAPA CAMLOCK HEMBRA AC/INOX   </t>
  </si>
  <si>
    <t xml:space="preserve">TAPA CAMLOCK HEMBRA AC/INOX </t>
  </si>
  <si>
    <t>TAPON  HEMBRA AC/INOX   304</t>
  </si>
  <si>
    <t xml:space="preserve">TAPON MACHO  AC/INOX 304 </t>
  </si>
  <si>
    <t>TEE AC/INOX  304  NPT X 150 LBS</t>
  </si>
  <si>
    <t>TEE AC/INOX 304   NPT X 150 LBS</t>
  </si>
  <si>
    <t xml:space="preserve">VALVULA FLOTADORA BRONCE COMPLETA </t>
  </si>
  <si>
    <t xml:space="preserve">TUBO  A / C  SCH 80 S/C  </t>
  </si>
  <si>
    <t xml:space="preserve">TUBO  A / C  SCH 80  S/C  </t>
  </si>
  <si>
    <t xml:space="preserve">TUBO  A / C  SCH 80 S/C   </t>
  </si>
  <si>
    <t xml:space="preserve">TUBO  A / C  SCH 40 S/C  </t>
  </si>
  <si>
    <t xml:space="preserve">TUBO  A / C  SCH 40 S/C   </t>
  </si>
  <si>
    <t xml:space="preserve">TUBO  A / C  SCH 40 S/C </t>
  </si>
  <si>
    <t>TUBO  A / C  SCH 40 S/C</t>
  </si>
  <si>
    <t xml:space="preserve">TUBO  A / C   SCH 40 S/C  </t>
  </si>
  <si>
    <t xml:space="preserve">TAPON CLAMP AC/INOX 304  SANITARIO </t>
  </si>
  <si>
    <t xml:space="preserve">VALVULA DE BOLA  AC/INOX 304 4 TORNILLOS  </t>
  </si>
  <si>
    <t xml:space="preserve">COPA  A / C  </t>
  </si>
  <si>
    <t>1 1/2 * X  1/2 *</t>
  </si>
  <si>
    <t>2 *  X  1/2 *</t>
  </si>
  <si>
    <t xml:space="preserve">2 *   X  3/4 * </t>
  </si>
  <si>
    <t xml:space="preserve">2 *  X  1 * </t>
  </si>
  <si>
    <t>2 *  X  1 1/4 *</t>
  </si>
  <si>
    <t>UNIVERSAL HO  X  150  LBS</t>
  </si>
  <si>
    <t xml:space="preserve">1 * </t>
  </si>
  <si>
    <t>VALVULA DE BOLA BRONCE CROMADA</t>
  </si>
  <si>
    <t>BUSHING GALVANIZADO  3 *  X  2 *</t>
  </si>
  <si>
    <t xml:space="preserve">REDUCCION COPA CONCENTRICA  A / C SCH 40 </t>
  </si>
  <si>
    <t>1 1/2 *  X  1/2 *</t>
  </si>
  <si>
    <t>1 1/2 * X 1 1/4 *</t>
  </si>
  <si>
    <t>UNION A / C     NPT X  150 LBS</t>
  </si>
  <si>
    <t>UNION  A / C  NPT  X  3000 LBS</t>
  </si>
  <si>
    <t>UNION  A / C  NPT  X  300 LBS</t>
  </si>
  <si>
    <t>VALVULA FLOTADORA BRONCE BOLA PLASTICA</t>
  </si>
  <si>
    <t xml:space="preserve">SEMICODO A / C  SCH 40  </t>
  </si>
  <si>
    <t>SEMICODO A / C  X  3000 LBS</t>
  </si>
  <si>
    <t xml:space="preserve">BRIDA AC/INOX 304  NIKO ROSCADA NPT </t>
  </si>
  <si>
    <t xml:space="preserve">BRIDA  A / C  CIEGA   X  150 LBS </t>
  </si>
  <si>
    <t>BRIDA  A / C  CIEGA   X  150 LBS</t>
  </si>
  <si>
    <t>BRIDA  A / C  SLIP ON    X  150 LBS</t>
  </si>
  <si>
    <t>BRIDA  A / C  SLIP ON   X  150 LBS</t>
  </si>
  <si>
    <t xml:space="preserve">18 * </t>
  </si>
  <si>
    <t xml:space="preserve">20 * </t>
  </si>
  <si>
    <t>24 *</t>
  </si>
  <si>
    <t>30 *</t>
  </si>
  <si>
    <t>BRIDA  A / C  SLIP ON    X  300 LBS</t>
  </si>
  <si>
    <t>EMPAQUE FLEXITALICO    X  150 LBS</t>
  </si>
  <si>
    <t xml:space="preserve">EMPAQUE PARA UNIVERSAL SANITARIA  </t>
  </si>
  <si>
    <t>EMPAQUE FLEXITALICO    X  300 LBS</t>
  </si>
  <si>
    <t xml:space="preserve">FERULA  AC/INOX 316  SANITARIA  </t>
  </si>
  <si>
    <t xml:space="preserve">FERULA CORTA AC/INOX 304 SANITARIA  </t>
  </si>
  <si>
    <t>FLANCHE  PVC  SCH  80  2  X  150 LBS</t>
  </si>
  <si>
    <t>VALVULA GLOBO BRONCE NAPOLI</t>
  </si>
  <si>
    <t>UNION MECANICA RIGIDA RANURADA HD</t>
  </si>
  <si>
    <t>CHEQUE GLOBO A / C  SIGMA  NPT</t>
  </si>
  <si>
    <t>1/2 * X  1/4 *</t>
  </si>
  <si>
    <t>BUSHING AC/INOX 304  NPT 150 L</t>
  </si>
  <si>
    <t>1 *  X  1/2 *</t>
  </si>
  <si>
    <t>1 *  X  3/4 *</t>
  </si>
  <si>
    <t>1/2 *  X  3/8 *</t>
  </si>
  <si>
    <t>1 1/2 *  X  3/4 *</t>
  </si>
  <si>
    <t>EMPAQUE NEOPRENO PARA BRIDA X 150 LBS</t>
  </si>
  <si>
    <t>CODO PVC PRESION  X  45 º</t>
  </si>
  <si>
    <t>CODO PVC PRESION SOLDAR  X  90 º</t>
  </si>
  <si>
    <t>CODO GALVANIZADO  X  90 º</t>
  </si>
  <si>
    <t>CODO PVC PRESION SOLDAR  X  45 º</t>
  </si>
  <si>
    <t>COUPLING  A / C   X  3000 LBS NPT</t>
  </si>
  <si>
    <t>CODO AC/INOX 304 SCH 10  X  90º</t>
  </si>
  <si>
    <t>CODO A / C  SCH 40   X  90 º</t>
  </si>
  <si>
    <t>CODO  A / C  P/S SCH 40 X 90 º  CHINO</t>
  </si>
  <si>
    <t>6*</t>
  </si>
  <si>
    <t>CODO  AC/INOX 304  SCH 10 X  90 º</t>
  </si>
  <si>
    <t>CODO  AC/INOX 304 SANITARIO SOLDAR X  90 º</t>
  </si>
  <si>
    <t>CHEQUE VERTICAL AC/INOX ROSCA X  200 LBS</t>
  </si>
  <si>
    <t xml:space="preserve"> 1 1/2 *</t>
  </si>
  <si>
    <t xml:space="preserve">CHEQUE CORTINA TIPO RW  BRONCE </t>
  </si>
  <si>
    <t>CODO  AC/INOX  304  NPT  X  150 LBS</t>
  </si>
  <si>
    <t xml:space="preserve">TUBO  A / C  SCH 160  S/C  </t>
  </si>
  <si>
    <t>NIPLE AC/INOX 304</t>
  </si>
  <si>
    <t>1 * X 2 *</t>
  </si>
  <si>
    <t>2 * X 2 *</t>
  </si>
  <si>
    <t xml:space="preserve">TUBERIA  AC/INOX 316 SCH  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</si>
</sst>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0" fillId="0" borderId="8" xfId="0" applyBorder="1" applyAlignment="1">
      <alignment horizontal="center"/>
    </xf>
    <xf numFmtId="0" fontId="0" fillId="0" borderId="9" xfId="0" applyBorder="1"/>
    <xf numFmtId="164" fontId="0" fillId="0" borderId="8" xfId="0" applyNumberFormat="1" applyBorder="1"/>
    <xf numFmtId="1" fontId="0" fillId="0" borderId="8" xfId="0" applyNumberFormat="1" applyBorder="1"/>
    <xf numFmtId="2" fontId="0" fillId="0" borderId="8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412C-8F93-4BE8-B63D-AF529848C47E}">
  <dimension ref="A1:J579"/>
  <sheetViews>
    <sheetView tabSelected="1" topLeftCell="A349" zoomScaleNormal="100" workbookViewId="0">
      <selection activeCell="D106" sqref="D106"/>
    </sheetView>
  </sheetViews>
  <sheetFormatPr baseColWidth="10" defaultRowHeight="15" x14ac:dyDescent="0.25"/>
  <cols>
    <col min="1" max="2" width="12.7109375" customWidth="1"/>
    <col min="3" max="3" width="16.140625" customWidth="1"/>
    <col min="4" max="4" width="14.140625" customWidth="1"/>
    <col min="5" max="5" width="13.28515625" customWidth="1"/>
    <col min="8" max="8" width="15" customWidth="1"/>
  </cols>
  <sheetData>
    <row r="1" spans="1:8" ht="23.25" x14ac:dyDescent="0.35">
      <c r="A1" s="12" t="s">
        <v>0</v>
      </c>
      <c r="F1" s="12" t="s">
        <v>12</v>
      </c>
    </row>
    <row r="2" spans="1:8" ht="15.75" thickBot="1" x14ac:dyDescent="0.3"/>
    <row r="3" spans="1:8" ht="21.75" thickBot="1" x14ac:dyDescent="0.4">
      <c r="A3" s="4" t="s">
        <v>1</v>
      </c>
      <c r="B3" s="5"/>
      <c r="C3" s="5"/>
      <c r="D3" s="6"/>
      <c r="E3" s="8" t="s">
        <v>2</v>
      </c>
      <c r="F3" s="9" t="s">
        <v>4</v>
      </c>
      <c r="G3" s="10" t="s">
        <v>3</v>
      </c>
      <c r="H3" s="11" t="s">
        <v>5</v>
      </c>
    </row>
    <row r="4" spans="1:8" x14ac:dyDescent="0.25">
      <c r="A4" s="1" t="s">
        <v>41</v>
      </c>
      <c r="B4" s="2"/>
      <c r="C4" s="2"/>
      <c r="D4" s="3"/>
      <c r="E4" s="7"/>
      <c r="F4" s="7">
        <v>10523</v>
      </c>
      <c r="G4" s="7">
        <f t="shared" ref="G4:G87" si="0">F4*0.19</f>
        <v>1999.3700000000001</v>
      </c>
      <c r="H4" s="7">
        <f t="shared" ref="H4:H116" si="1">F4+G4</f>
        <v>12522.37</v>
      </c>
    </row>
    <row r="5" spans="1:8" x14ac:dyDescent="0.25">
      <c r="A5" s="1" t="s">
        <v>258</v>
      </c>
      <c r="B5" s="2"/>
      <c r="C5" s="2"/>
      <c r="D5" s="3" t="s">
        <v>151</v>
      </c>
      <c r="E5" s="7"/>
      <c r="F5" s="7">
        <v>258</v>
      </c>
      <c r="G5" s="7">
        <f t="shared" si="0"/>
        <v>49.02</v>
      </c>
      <c r="H5" s="7">
        <f t="shared" si="1"/>
        <v>307.02</v>
      </c>
    </row>
    <row r="6" spans="1:8" x14ac:dyDescent="0.25">
      <c r="A6" s="1" t="s">
        <v>258</v>
      </c>
      <c r="B6" s="2"/>
      <c r="C6" s="2"/>
      <c r="D6" s="3" t="s">
        <v>153</v>
      </c>
      <c r="E6" s="7"/>
      <c r="F6" s="7">
        <v>614</v>
      </c>
      <c r="G6" s="7">
        <f t="shared" si="0"/>
        <v>116.66</v>
      </c>
      <c r="H6" s="7">
        <f t="shared" si="1"/>
        <v>730.66</v>
      </c>
    </row>
    <row r="7" spans="1:8" x14ac:dyDescent="0.25">
      <c r="A7" s="1" t="s">
        <v>258</v>
      </c>
      <c r="B7" s="2"/>
      <c r="C7" s="2"/>
      <c r="D7" s="3" t="s">
        <v>154</v>
      </c>
      <c r="E7" s="7"/>
      <c r="F7" s="7">
        <v>1341.4</v>
      </c>
      <c r="G7" s="7">
        <f t="shared" si="0"/>
        <v>254.86600000000001</v>
      </c>
      <c r="H7" s="15">
        <f t="shared" si="1"/>
        <v>1596.2660000000001</v>
      </c>
    </row>
    <row r="8" spans="1:8" x14ac:dyDescent="0.25">
      <c r="A8" s="1" t="s">
        <v>258</v>
      </c>
      <c r="B8" s="2"/>
      <c r="C8" s="2"/>
      <c r="D8" s="3" t="s">
        <v>123</v>
      </c>
      <c r="E8" s="7"/>
      <c r="F8" s="7">
        <v>5952</v>
      </c>
      <c r="G8" s="7">
        <f t="shared" si="0"/>
        <v>1130.8800000000001</v>
      </c>
      <c r="H8" s="7">
        <f t="shared" si="1"/>
        <v>7082.88</v>
      </c>
    </row>
    <row r="9" spans="1:8" x14ac:dyDescent="0.25">
      <c r="A9" s="1" t="s">
        <v>259</v>
      </c>
      <c r="B9" s="2"/>
      <c r="C9" s="2"/>
      <c r="D9" s="3" t="s">
        <v>151</v>
      </c>
      <c r="E9" s="7"/>
      <c r="F9" s="7">
        <v>226</v>
      </c>
      <c r="G9" s="7">
        <f t="shared" si="0"/>
        <v>42.94</v>
      </c>
      <c r="H9" s="7">
        <f t="shared" si="1"/>
        <v>268.94</v>
      </c>
    </row>
    <row r="10" spans="1:8" x14ac:dyDescent="0.25">
      <c r="A10" s="1" t="s">
        <v>259</v>
      </c>
      <c r="B10" s="2"/>
      <c r="C10" s="2"/>
      <c r="D10" s="3" t="s">
        <v>153</v>
      </c>
      <c r="E10" s="7"/>
      <c r="F10" s="7">
        <v>413</v>
      </c>
      <c r="G10" s="7">
        <f t="shared" si="0"/>
        <v>78.47</v>
      </c>
      <c r="H10" s="7">
        <f t="shared" si="1"/>
        <v>491.47</v>
      </c>
    </row>
    <row r="11" spans="1:8" x14ac:dyDescent="0.25">
      <c r="A11" s="1" t="s">
        <v>331</v>
      </c>
      <c r="B11" s="2"/>
      <c r="C11" s="2"/>
      <c r="D11" s="3" t="s">
        <v>123</v>
      </c>
      <c r="E11" s="7"/>
      <c r="F11" s="7">
        <v>99450</v>
      </c>
      <c r="G11" s="7">
        <f t="shared" si="0"/>
        <v>18895.5</v>
      </c>
      <c r="H11" s="7">
        <f t="shared" si="1"/>
        <v>118345.5</v>
      </c>
    </row>
    <row r="12" spans="1:8" x14ac:dyDescent="0.25">
      <c r="A12" s="1" t="s">
        <v>332</v>
      </c>
      <c r="B12" s="2"/>
      <c r="C12" s="2"/>
      <c r="D12" s="3" t="s">
        <v>151</v>
      </c>
      <c r="E12" s="7"/>
      <c r="F12" s="7">
        <v>7215</v>
      </c>
      <c r="G12" s="7">
        <f t="shared" ref="G12" si="2">F12*0.19</f>
        <v>1370.85</v>
      </c>
      <c r="H12" s="7">
        <f t="shared" ref="H12" si="3">F12+G12</f>
        <v>8585.85</v>
      </c>
    </row>
    <row r="13" spans="1:8" x14ac:dyDescent="0.25">
      <c r="A13" s="1" t="s">
        <v>332</v>
      </c>
      <c r="B13" s="2"/>
      <c r="C13" s="2"/>
      <c r="D13" s="3" t="s">
        <v>154</v>
      </c>
      <c r="E13" s="7"/>
      <c r="F13" s="7">
        <v>6820</v>
      </c>
      <c r="G13" s="7">
        <f t="shared" si="0"/>
        <v>1295.8</v>
      </c>
      <c r="H13" s="7">
        <f t="shared" si="1"/>
        <v>8115.8</v>
      </c>
    </row>
    <row r="14" spans="1:8" x14ac:dyDescent="0.25">
      <c r="A14" s="1" t="s">
        <v>333</v>
      </c>
      <c r="B14" s="2"/>
      <c r="C14" s="2"/>
      <c r="D14" s="3" t="s">
        <v>123</v>
      </c>
      <c r="E14" s="7"/>
      <c r="F14" s="7">
        <v>33000</v>
      </c>
      <c r="G14" s="7">
        <f t="shared" si="0"/>
        <v>6270</v>
      </c>
      <c r="H14" s="7">
        <f t="shared" si="1"/>
        <v>39270</v>
      </c>
    </row>
    <row r="15" spans="1:8" x14ac:dyDescent="0.25">
      <c r="A15" s="1" t="s">
        <v>333</v>
      </c>
      <c r="B15" s="2"/>
      <c r="C15" s="2"/>
      <c r="D15" s="3" t="s">
        <v>233</v>
      </c>
      <c r="E15" s="7"/>
      <c r="F15" s="7">
        <v>84379.5</v>
      </c>
      <c r="G15" s="7">
        <f t="shared" si="0"/>
        <v>16032.105</v>
      </c>
      <c r="H15" s="7">
        <f t="shared" si="1"/>
        <v>100411.605</v>
      </c>
    </row>
    <row r="16" spans="1:8" x14ac:dyDescent="0.25">
      <c r="A16" s="1" t="s">
        <v>334</v>
      </c>
      <c r="B16" s="2"/>
      <c r="C16" s="2"/>
      <c r="D16" s="3" t="s">
        <v>151</v>
      </c>
      <c r="E16" s="7"/>
      <c r="F16" s="7">
        <v>5227.5</v>
      </c>
      <c r="G16" s="7">
        <f t="shared" si="0"/>
        <v>993.22500000000002</v>
      </c>
      <c r="H16" s="7">
        <f t="shared" si="1"/>
        <v>6220.7250000000004</v>
      </c>
    </row>
    <row r="17" spans="1:8" x14ac:dyDescent="0.25">
      <c r="A17" s="1" t="s">
        <v>335</v>
      </c>
      <c r="B17" s="2"/>
      <c r="C17" s="2"/>
      <c r="D17" s="3" t="s">
        <v>153</v>
      </c>
      <c r="E17" s="7"/>
      <c r="F17" s="7">
        <v>7387.5</v>
      </c>
      <c r="G17" s="7">
        <f t="shared" si="0"/>
        <v>1403.625</v>
      </c>
      <c r="H17" s="7">
        <f t="shared" si="1"/>
        <v>8791.125</v>
      </c>
    </row>
    <row r="18" spans="1:8" x14ac:dyDescent="0.25">
      <c r="A18" s="1" t="s">
        <v>335</v>
      </c>
      <c r="B18" s="2"/>
      <c r="C18" s="2"/>
      <c r="D18" s="3" t="s">
        <v>154</v>
      </c>
      <c r="E18" s="7"/>
      <c r="F18" s="7">
        <v>8737.5</v>
      </c>
      <c r="G18" s="7">
        <f t="shared" si="0"/>
        <v>1660.125</v>
      </c>
      <c r="H18" s="7">
        <f t="shared" si="1"/>
        <v>10397.625</v>
      </c>
    </row>
    <row r="19" spans="1:8" x14ac:dyDescent="0.25">
      <c r="A19" s="1" t="s">
        <v>334</v>
      </c>
      <c r="B19" s="2"/>
      <c r="C19" s="2"/>
      <c r="D19" s="3" t="s">
        <v>155</v>
      </c>
      <c r="E19" s="7"/>
      <c r="F19" s="7">
        <v>9750</v>
      </c>
      <c r="G19" s="7">
        <f t="shared" si="0"/>
        <v>1852.5</v>
      </c>
      <c r="H19" s="7">
        <f t="shared" si="1"/>
        <v>11602.5</v>
      </c>
    </row>
    <row r="20" spans="1:8" x14ac:dyDescent="0.25">
      <c r="A20" s="1" t="s">
        <v>334</v>
      </c>
      <c r="B20" s="2"/>
      <c r="C20" s="2"/>
      <c r="D20" s="3" t="s">
        <v>122</v>
      </c>
      <c r="E20" s="7"/>
      <c r="F20" s="7">
        <v>12165</v>
      </c>
      <c r="G20" s="7">
        <f t="shared" si="0"/>
        <v>2311.35</v>
      </c>
      <c r="H20" s="7">
        <f t="shared" si="1"/>
        <v>14476.35</v>
      </c>
    </row>
    <row r="21" spans="1:8" x14ac:dyDescent="0.25">
      <c r="A21" s="1" t="s">
        <v>334</v>
      </c>
      <c r="B21" s="2"/>
      <c r="C21" s="2"/>
      <c r="D21" s="3" t="s">
        <v>123</v>
      </c>
      <c r="E21" s="7"/>
      <c r="F21" s="7">
        <v>17670</v>
      </c>
      <c r="G21" s="7">
        <f t="shared" si="0"/>
        <v>3357.3</v>
      </c>
      <c r="H21" s="7">
        <f t="shared" si="1"/>
        <v>21027.3</v>
      </c>
    </row>
    <row r="22" spans="1:8" x14ac:dyDescent="0.25">
      <c r="A22" s="1" t="s">
        <v>340</v>
      </c>
      <c r="B22" s="2"/>
      <c r="C22" s="2"/>
      <c r="D22" s="3" t="s">
        <v>123</v>
      </c>
      <c r="E22" s="7"/>
      <c r="F22" s="7">
        <v>34000</v>
      </c>
      <c r="G22" s="7">
        <f t="shared" si="0"/>
        <v>6460</v>
      </c>
      <c r="H22" s="7">
        <f t="shared" si="1"/>
        <v>40460</v>
      </c>
    </row>
    <row r="23" spans="1:8" x14ac:dyDescent="0.25">
      <c r="A23" s="1" t="s">
        <v>334</v>
      </c>
      <c r="B23" s="2"/>
      <c r="C23" s="2"/>
      <c r="D23" s="3" t="s">
        <v>156</v>
      </c>
      <c r="E23" s="7"/>
      <c r="F23" s="7">
        <v>22920</v>
      </c>
      <c r="G23" s="7">
        <f t="shared" si="0"/>
        <v>4354.8</v>
      </c>
      <c r="H23" s="7">
        <f t="shared" si="1"/>
        <v>27274.799999999999</v>
      </c>
    </row>
    <row r="24" spans="1:8" x14ac:dyDescent="0.25">
      <c r="A24" s="1" t="s">
        <v>334</v>
      </c>
      <c r="B24" s="2"/>
      <c r="C24" s="2"/>
      <c r="D24" s="3" t="s">
        <v>124</v>
      </c>
      <c r="E24" s="7"/>
      <c r="F24" s="7">
        <v>26587.5</v>
      </c>
      <c r="G24" s="7">
        <f t="shared" si="0"/>
        <v>5051.625</v>
      </c>
      <c r="H24" s="7">
        <f t="shared" si="1"/>
        <v>31639.125</v>
      </c>
    </row>
    <row r="25" spans="1:8" x14ac:dyDescent="0.25">
      <c r="A25" s="1" t="s">
        <v>334</v>
      </c>
      <c r="B25" s="2"/>
      <c r="C25" s="2"/>
      <c r="D25" s="3" t="s">
        <v>125</v>
      </c>
      <c r="E25" s="7"/>
      <c r="F25" s="7">
        <v>38467.5</v>
      </c>
      <c r="G25" s="7">
        <f t="shared" ref="G25" si="4">F25*0.19</f>
        <v>7308.8249999999998</v>
      </c>
      <c r="H25" s="7">
        <f t="shared" ref="H25" si="5">F25+G25</f>
        <v>45776.324999999997</v>
      </c>
    </row>
    <row r="26" spans="1:8" x14ac:dyDescent="0.25">
      <c r="A26" s="1" t="s">
        <v>334</v>
      </c>
      <c r="B26" s="2"/>
      <c r="C26" s="2"/>
      <c r="D26" s="3" t="s">
        <v>232</v>
      </c>
      <c r="E26" s="7"/>
      <c r="F26" s="7">
        <v>46095</v>
      </c>
      <c r="G26" s="7">
        <f t="shared" ref="G26" si="6">F26*0.19</f>
        <v>8758.0499999999993</v>
      </c>
      <c r="H26" s="7">
        <f t="shared" ref="H26" si="7">F26+G26</f>
        <v>54853.05</v>
      </c>
    </row>
    <row r="27" spans="1:8" x14ac:dyDescent="0.25">
      <c r="A27" s="1" t="s">
        <v>334</v>
      </c>
      <c r="B27" s="2"/>
      <c r="C27" s="2"/>
      <c r="D27" s="3" t="s">
        <v>233</v>
      </c>
      <c r="E27" s="7"/>
      <c r="F27" s="7">
        <v>52080</v>
      </c>
      <c r="G27" s="7">
        <f t="shared" ref="G27:G36" si="8">F27*0.19</f>
        <v>9895.2000000000007</v>
      </c>
      <c r="H27" s="7">
        <f t="shared" ref="H27:H36" si="9">F27+G27</f>
        <v>61975.199999999997</v>
      </c>
    </row>
    <row r="28" spans="1:8" x14ac:dyDescent="0.25">
      <c r="A28" s="1" t="s">
        <v>334</v>
      </c>
      <c r="B28" s="2"/>
      <c r="C28" s="2"/>
      <c r="D28" s="3" t="s">
        <v>234</v>
      </c>
      <c r="E28" s="7"/>
      <c r="F28" s="7">
        <v>84825</v>
      </c>
      <c r="G28" s="7">
        <f t="shared" si="8"/>
        <v>16116.75</v>
      </c>
      <c r="H28" s="7">
        <f t="shared" si="9"/>
        <v>100941.75</v>
      </c>
    </row>
    <row r="29" spans="1:8" x14ac:dyDescent="0.25">
      <c r="A29" s="1" t="s">
        <v>334</v>
      </c>
      <c r="B29" s="2"/>
      <c r="C29" s="2"/>
      <c r="D29" s="3" t="s">
        <v>235</v>
      </c>
      <c r="E29" s="7"/>
      <c r="F29" s="7">
        <v>119460</v>
      </c>
      <c r="G29" s="7">
        <f t="shared" si="8"/>
        <v>22697.4</v>
      </c>
      <c r="H29" s="7">
        <f t="shared" si="9"/>
        <v>142157.4</v>
      </c>
    </row>
    <row r="30" spans="1:8" x14ac:dyDescent="0.25">
      <c r="A30" s="1" t="s">
        <v>334</v>
      </c>
      <c r="B30" s="2"/>
      <c r="C30" s="2"/>
      <c r="D30" s="3" t="s">
        <v>236</v>
      </c>
      <c r="E30" s="7"/>
      <c r="F30" s="7">
        <v>185100</v>
      </c>
      <c r="G30" s="7">
        <f t="shared" si="8"/>
        <v>35169</v>
      </c>
      <c r="H30" s="7">
        <f t="shared" si="9"/>
        <v>220269</v>
      </c>
    </row>
    <row r="31" spans="1:8" x14ac:dyDescent="0.25">
      <c r="A31" s="1" t="s">
        <v>334</v>
      </c>
      <c r="B31" s="2"/>
      <c r="C31" s="2"/>
      <c r="D31" s="3" t="s">
        <v>237</v>
      </c>
      <c r="E31" s="7"/>
      <c r="F31" s="7">
        <v>253320</v>
      </c>
      <c r="G31" s="7">
        <f t="shared" si="8"/>
        <v>48130.8</v>
      </c>
      <c r="H31" s="7">
        <f t="shared" si="9"/>
        <v>301450.8</v>
      </c>
    </row>
    <row r="32" spans="1:8" x14ac:dyDescent="0.25">
      <c r="A32" s="1" t="s">
        <v>334</v>
      </c>
      <c r="B32" s="2"/>
      <c r="C32" s="2"/>
      <c r="D32" s="3" t="s">
        <v>238</v>
      </c>
      <c r="E32" s="7"/>
      <c r="F32" s="7">
        <v>333855</v>
      </c>
      <c r="G32" s="7">
        <f t="shared" si="8"/>
        <v>63432.450000000004</v>
      </c>
      <c r="H32" s="7">
        <f t="shared" si="9"/>
        <v>397287.45</v>
      </c>
    </row>
    <row r="33" spans="1:8" x14ac:dyDescent="0.25">
      <c r="A33" s="1" t="s">
        <v>334</v>
      </c>
      <c r="B33" s="2"/>
      <c r="C33" s="2"/>
      <c r="D33" s="3" t="s">
        <v>336</v>
      </c>
      <c r="E33" s="7"/>
      <c r="F33" s="7"/>
      <c r="G33" s="7">
        <f t="shared" si="8"/>
        <v>0</v>
      </c>
      <c r="H33" s="7">
        <f t="shared" si="9"/>
        <v>0</v>
      </c>
    </row>
    <row r="34" spans="1:8" x14ac:dyDescent="0.25">
      <c r="A34" s="1" t="s">
        <v>334</v>
      </c>
      <c r="B34" s="2"/>
      <c r="C34" s="2"/>
      <c r="D34" s="3" t="s">
        <v>337</v>
      </c>
      <c r="E34" s="7"/>
      <c r="F34" s="7">
        <v>475898</v>
      </c>
      <c r="G34" s="7">
        <f t="shared" si="8"/>
        <v>90420.62</v>
      </c>
      <c r="H34" s="7">
        <f t="shared" si="9"/>
        <v>566318.62</v>
      </c>
    </row>
    <row r="35" spans="1:8" x14ac:dyDescent="0.25">
      <c r="A35" s="1" t="s">
        <v>334</v>
      </c>
      <c r="B35" s="2"/>
      <c r="C35" s="2"/>
      <c r="D35" s="3" t="s">
        <v>338</v>
      </c>
      <c r="E35" s="7"/>
      <c r="F35" s="7">
        <v>677760</v>
      </c>
      <c r="G35" s="7">
        <f t="shared" si="8"/>
        <v>128774.40000000001</v>
      </c>
      <c r="H35" s="7">
        <f t="shared" si="9"/>
        <v>806534.4</v>
      </c>
    </row>
    <row r="36" spans="1:8" x14ac:dyDescent="0.25">
      <c r="A36" s="1" t="s">
        <v>334</v>
      </c>
      <c r="B36" s="2"/>
      <c r="C36" s="2"/>
      <c r="D36" s="3" t="s">
        <v>339</v>
      </c>
      <c r="E36" s="7"/>
      <c r="F36" s="7">
        <v>1163670</v>
      </c>
      <c r="G36" s="7">
        <f t="shared" si="8"/>
        <v>221097.3</v>
      </c>
      <c r="H36" s="7">
        <f t="shared" si="9"/>
        <v>1384767.3</v>
      </c>
    </row>
    <row r="37" spans="1:8" x14ac:dyDescent="0.25">
      <c r="A37" s="1" t="s">
        <v>74</v>
      </c>
      <c r="B37" s="2"/>
      <c r="C37" s="2"/>
      <c r="D37" s="3"/>
      <c r="E37" s="7"/>
      <c r="F37" s="7">
        <v>82504</v>
      </c>
      <c r="G37" s="7">
        <f t="shared" si="0"/>
        <v>15675.76</v>
      </c>
      <c r="H37" s="7">
        <f t="shared" si="1"/>
        <v>98179.76</v>
      </c>
    </row>
    <row r="38" spans="1:8" x14ac:dyDescent="0.25">
      <c r="A38" s="1" t="s">
        <v>111</v>
      </c>
      <c r="B38" s="2"/>
      <c r="C38" s="2"/>
      <c r="D38" s="3"/>
      <c r="E38" s="7"/>
      <c r="F38" s="7">
        <v>105096</v>
      </c>
      <c r="G38" s="7">
        <f t="shared" si="0"/>
        <v>19968.240000000002</v>
      </c>
      <c r="H38" s="7">
        <f t="shared" si="1"/>
        <v>125064.24</v>
      </c>
    </row>
    <row r="39" spans="1:8" x14ac:dyDescent="0.25">
      <c r="A39" s="1" t="s">
        <v>58</v>
      </c>
      <c r="B39" s="2"/>
      <c r="C39" s="2"/>
      <c r="D39" s="3"/>
      <c r="E39" s="7"/>
      <c r="F39" s="7">
        <v>11307</v>
      </c>
      <c r="G39" s="7">
        <f t="shared" ref="G39:G46" si="10">F39*0.19</f>
        <v>2148.33</v>
      </c>
      <c r="H39" s="7">
        <f t="shared" ref="H39:H46" si="11">F39+G39</f>
        <v>13455.33</v>
      </c>
    </row>
    <row r="40" spans="1:8" x14ac:dyDescent="0.25">
      <c r="A40" s="1" t="s">
        <v>59</v>
      </c>
      <c r="B40" s="2"/>
      <c r="C40" s="2"/>
      <c r="D40" s="3"/>
      <c r="E40" s="7"/>
      <c r="F40" s="7">
        <v>13784</v>
      </c>
      <c r="G40" s="7">
        <f t="shared" si="10"/>
        <v>2618.96</v>
      </c>
      <c r="H40" s="7">
        <f t="shared" si="11"/>
        <v>16402.96</v>
      </c>
    </row>
    <row r="41" spans="1:8" x14ac:dyDescent="0.25">
      <c r="A41" s="1" t="s">
        <v>60</v>
      </c>
      <c r="B41" s="2"/>
      <c r="C41" s="2"/>
      <c r="D41" s="3"/>
      <c r="E41" s="7"/>
      <c r="F41" s="7">
        <v>18413</v>
      </c>
      <c r="G41" s="7">
        <f t="shared" si="10"/>
        <v>3498.4700000000003</v>
      </c>
      <c r="H41" s="7">
        <f t="shared" si="11"/>
        <v>21911.47</v>
      </c>
    </row>
    <row r="42" spans="1:8" x14ac:dyDescent="0.25">
      <c r="A42" s="1" t="s">
        <v>61</v>
      </c>
      <c r="B42" s="2"/>
      <c r="C42" s="2"/>
      <c r="D42" s="3"/>
      <c r="E42" s="7"/>
      <c r="F42" s="7">
        <v>22175</v>
      </c>
      <c r="G42" s="7">
        <f t="shared" si="10"/>
        <v>4213.25</v>
      </c>
      <c r="H42" s="7">
        <f t="shared" si="11"/>
        <v>26388.25</v>
      </c>
    </row>
    <row r="43" spans="1:8" x14ac:dyDescent="0.25">
      <c r="A43" s="1" t="s">
        <v>62</v>
      </c>
      <c r="B43" s="2"/>
      <c r="C43" s="2"/>
      <c r="D43" s="3"/>
      <c r="E43" s="7"/>
      <c r="F43" s="7">
        <v>24443</v>
      </c>
      <c r="G43" s="7">
        <f t="shared" si="10"/>
        <v>4644.17</v>
      </c>
      <c r="H43" s="7">
        <f t="shared" si="11"/>
        <v>29087.17</v>
      </c>
    </row>
    <row r="44" spans="1:8" x14ac:dyDescent="0.25">
      <c r="A44" s="1" t="s">
        <v>63</v>
      </c>
      <c r="B44" s="2"/>
      <c r="C44" s="2"/>
      <c r="D44" s="3"/>
      <c r="E44" s="7"/>
      <c r="F44" s="7">
        <v>35844</v>
      </c>
      <c r="G44" s="7">
        <f t="shared" si="10"/>
        <v>6810.36</v>
      </c>
      <c r="H44" s="7">
        <f t="shared" si="11"/>
        <v>42654.36</v>
      </c>
    </row>
    <row r="45" spans="1:8" x14ac:dyDescent="0.25">
      <c r="A45" s="1" t="s">
        <v>64</v>
      </c>
      <c r="B45" s="2"/>
      <c r="C45" s="2"/>
      <c r="D45" s="3"/>
      <c r="E45" s="7"/>
      <c r="F45" s="7">
        <v>50912</v>
      </c>
      <c r="G45" s="7">
        <f t="shared" si="10"/>
        <v>9673.2800000000007</v>
      </c>
      <c r="H45" s="7">
        <f t="shared" si="11"/>
        <v>60585.279999999999</v>
      </c>
    </row>
    <row r="46" spans="1:8" x14ac:dyDescent="0.25">
      <c r="A46" s="1" t="s">
        <v>65</v>
      </c>
      <c r="B46" s="2"/>
      <c r="C46" s="2"/>
      <c r="D46" s="3"/>
      <c r="E46" s="7"/>
      <c r="F46" s="7">
        <v>59199</v>
      </c>
      <c r="G46" s="7">
        <f t="shared" si="10"/>
        <v>11247.81</v>
      </c>
      <c r="H46" s="7">
        <f t="shared" si="11"/>
        <v>70446.81</v>
      </c>
    </row>
    <row r="47" spans="1:8" x14ac:dyDescent="0.25">
      <c r="A47" s="1" t="s">
        <v>66</v>
      </c>
      <c r="B47" s="2"/>
      <c r="C47" s="2"/>
      <c r="D47" s="3"/>
      <c r="E47" s="7"/>
      <c r="F47" s="7">
        <v>90204</v>
      </c>
      <c r="G47" s="7">
        <f t="shared" si="0"/>
        <v>17138.759999999998</v>
      </c>
      <c r="H47" s="7">
        <f t="shared" si="1"/>
        <v>107342.76</v>
      </c>
    </row>
    <row r="48" spans="1:8" x14ac:dyDescent="0.25">
      <c r="A48" s="1" t="s">
        <v>67</v>
      </c>
      <c r="B48" s="2"/>
      <c r="C48" s="2"/>
      <c r="D48" s="3"/>
      <c r="E48" s="7"/>
      <c r="F48" s="7">
        <v>125724</v>
      </c>
      <c r="G48" s="7">
        <f t="shared" si="0"/>
        <v>23887.56</v>
      </c>
      <c r="H48" s="7">
        <f t="shared" si="1"/>
        <v>149611.56</v>
      </c>
    </row>
    <row r="49" spans="1:8" x14ac:dyDescent="0.25">
      <c r="A49" s="1" t="s">
        <v>68</v>
      </c>
      <c r="B49" s="2"/>
      <c r="C49" s="2"/>
      <c r="D49" s="3"/>
      <c r="E49" s="7"/>
      <c r="F49" s="7">
        <v>197515</v>
      </c>
      <c r="G49" s="7">
        <f t="shared" si="0"/>
        <v>37527.85</v>
      </c>
      <c r="H49" s="7">
        <f t="shared" si="1"/>
        <v>235042.85</v>
      </c>
    </row>
    <row r="50" spans="1:8" x14ac:dyDescent="0.25">
      <c r="A50" s="1" t="s">
        <v>43</v>
      </c>
      <c r="B50" s="2"/>
      <c r="C50" s="2"/>
      <c r="D50" s="3"/>
      <c r="E50" s="7"/>
      <c r="F50" s="7">
        <v>50912</v>
      </c>
      <c r="G50" s="7">
        <f t="shared" si="0"/>
        <v>9673.2800000000007</v>
      </c>
      <c r="H50" s="7">
        <f t="shared" si="1"/>
        <v>60585.279999999999</v>
      </c>
    </row>
    <row r="51" spans="1:8" x14ac:dyDescent="0.25">
      <c r="A51" s="1" t="s">
        <v>49</v>
      </c>
      <c r="B51" s="2"/>
      <c r="C51" s="2"/>
      <c r="D51" s="3"/>
      <c r="E51" s="7"/>
      <c r="F51" s="7">
        <v>35844</v>
      </c>
      <c r="G51" s="7">
        <f t="shared" si="0"/>
        <v>6810.36</v>
      </c>
      <c r="H51" s="7">
        <f t="shared" si="1"/>
        <v>42654.36</v>
      </c>
    </row>
    <row r="52" spans="1:8" x14ac:dyDescent="0.25">
      <c r="A52" s="1" t="s">
        <v>54</v>
      </c>
      <c r="B52" s="2"/>
      <c r="C52" s="2"/>
      <c r="D52" s="3"/>
      <c r="E52" s="7"/>
      <c r="F52" s="7">
        <v>630045</v>
      </c>
      <c r="G52" s="7">
        <f t="shared" si="0"/>
        <v>119708.55</v>
      </c>
      <c r="H52" s="7">
        <f t="shared" si="1"/>
        <v>749753.55</v>
      </c>
    </row>
    <row r="53" spans="1:8" x14ac:dyDescent="0.25">
      <c r="A53" s="1" t="s">
        <v>55</v>
      </c>
      <c r="B53" s="2"/>
      <c r="C53" s="2"/>
      <c r="D53" s="3"/>
      <c r="E53" s="7"/>
      <c r="F53" s="7">
        <v>1041960</v>
      </c>
      <c r="G53" s="7">
        <f t="shared" si="0"/>
        <v>197972.4</v>
      </c>
      <c r="H53" s="7">
        <f t="shared" si="1"/>
        <v>1239932.3999999999</v>
      </c>
    </row>
    <row r="54" spans="1:8" x14ac:dyDescent="0.25">
      <c r="A54" s="1" t="s">
        <v>46</v>
      </c>
      <c r="B54" s="2"/>
      <c r="C54" s="2"/>
      <c r="D54" s="3"/>
      <c r="E54" s="7"/>
      <c r="F54" s="7">
        <v>23000</v>
      </c>
      <c r="G54" s="7">
        <f t="shared" si="0"/>
        <v>4370</v>
      </c>
      <c r="H54" s="7">
        <f t="shared" si="1"/>
        <v>27370</v>
      </c>
    </row>
    <row r="55" spans="1:8" x14ac:dyDescent="0.25">
      <c r="A55" s="1" t="s">
        <v>26</v>
      </c>
      <c r="B55" s="2"/>
      <c r="C55" s="2"/>
      <c r="D55" s="3"/>
      <c r="E55" s="7"/>
      <c r="F55" s="7">
        <v>2090000</v>
      </c>
      <c r="G55" s="7">
        <f t="shared" si="0"/>
        <v>397100</v>
      </c>
      <c r="H55" s="7">
        <f t="shared" si="1"/>
        <v>2487100</v>
      </c>
    </row>
    <row r="56" spans="1:8" x14ac:dyDescent="0.25">
      <c r="A56" s="1" t="s">
        <v>48</v>
      </c>
      <c r="B56" s="2"/>
      <c r="C56" s="2"/>
      <c r="D56" s="3"/>
      <c r="E56" s="7"/>
      <c r="F56" s="7">
        <v>5112</v>
      </c>
      <c r="G56" s="7">
        <f t="shared" si="0"/>
        <v>971.28</v>
      </c>
      <c r="H56" s="7">
        <f t="shared" si="1"/>
        <v>6083.28</v>
      </c>
    </row>
    <row r="57" spans="1:8" x14ac:dyDescent="0.25">
      <c r="A57" s="1" t="s">
        <v>87</v>
      </c>
      <c r="B57" s="2"/>
      <c r="C57" s="2"/>
      <c r="D57" s="3"/>
      <c r="E57" s="7"/>
      <c r="F57" s="7">
        <v>6600</v>
      </c>
      <c r="G57" s="7">
        <f t="shared" si="0"/>
        <v>1254</v>
      </c>
      <c r="H57" s="7">
        <f t="shared" si="1"/>
        <v>7854</v>
      </c>
    </row>
    <row r="58" spans="1:8" x14ac:dyDescent="0.25">
      <c r="A58" s="1" t="s">
        <v>230</v>
      </c>
      <c r="B58" s="2"/>
      <c r="C58" s="2"/>
      <c r="D58" s="3"/>
      <c r="E58" s="7"/>
      <c r="F58" s="7">
        <v>5544</v>
      </c>
      <c r="G58" s="7">
        <f t="shared" ref="G58" si="12">F58*0.19</f>
        <v>1053.3599999999999</v>
      </c>
      <c r="H58" s="7">
        <f t="shared" ref="H58" si="13">F58+G58</f>
        <v>6597.36</v>
      </c>
    </row>
    <row r="59" spans="1:8" x14ac:dyDescent="0.25">
      <c r="A59" s="1" t="s">
        <v>75</v>
      </c>
      <c r="B59" s="2"/>
      <c r="C59" s="2"/>
      <c r="D59" s="3"/>
      <c r="E59" s="7"/>
      <c r="F59" s="7">
        <v>9856</v>
      </c>
      <c r="G59" s="7">
        <f t="shared" si="0"/>
        <v>1872.64</v>
      </c>
      <c r="H59" s="7">
        <f t="shared" si="1"/>
        <v>11728.64</v>
      </c>
    </row>
    <row r="60" spans="1:8" x14ac:dyDescent="0.25">
      <c r="A60" s="1" t="s">
        <v>351</v>
      </c>
      <c r="B60" s="2"/>
      <c r="C60" s="2"/>
      <c r="D60" s="3" t="s">
        <v>354</v>
      </c>
      <c r="E60" s="7"/>
      <c r="F60" s="7">
        <v>1990</v>
      </c>
      <c r="G60" s="7">
        <f t="shared" ref="G60" si="14">F60*0.19</f>
        <v>378.1</v>
      </c>
      <c r="H60" s="7">
        <f t="shared" ref="H60" si="15">F60+G60</f>
        <v>2368.1</v>
      </c>
    </row>
    <row r="61" spans="1:8" x14ac:dyDescent="0.25">
      <c r="A61" s="1" t="s">
        <v>351</v>
      </c>
      <c r="B61" s="2"/>
      <c r="C61" s="2"/>
      <c r="D61" s="3" t="s">
        <v>350</v>
      </c>
      <c r="E61" s="7"/>
      <c r="F61" s="7">
        <v>2992</v>
      </c>
      <c r="G61" s="7">
        <f t="shared" si="0"/>
        <v>568.48</v>
      </c>
      <c r="H61" s="7">
        <f t="shared" si="1"/>
        <v>3560.48</v>
      </c>
    </row>
    <row r="62" spans="1:8" x14ac:dyDescent="0.25">
      <c r="A62" s="1" t="s">
        <v>351</v>
      </c>
      <c r="B62" s="2"/>
      <c r="C62" s="2"/>
      <c r="D62" s="3" t="s">
        <v>352</v>
      </c>
      <c r="E62" s="7"/>
      <c r="F62" s="7">
        <v>4034.1</v>
      </c>
      <c r="G62" s="15">
        <f t="shared" ref="G62:G63" si="16">F62*0.19</f>
        <v>766.47900000000004</v>
      </c>
      <c r="H62" s="15">
        <f t="shared" ref="H62:H63" si="17">F62+G62</f>
        <v>4800.5789999999997</v>
      </c>
    </row>
    <row r="63" spans="1:8" x14ac:dyDescent="0.25">
      <c r="A63" s="1" t="s">
        <v>351</v>
      </c>
      <c r="B63" s="2"/>
      <c r="C63" s="2"/>
      <c r="D63" s="3" t="s">
        <v>353</v>
      </c>
      <c r="E63" s="7"/>
      <c r="F63" s="7">
        <v>3507.1</v>
      </c>
      <c r="G63" s="15">
        <f t="shared" si="16"/>
        <v>666.34900000000005</v>
      </c>
      <c r="H63" s="15">
        <f t="shared" si="17"/>
        <v>4173.4489999999996</v>
      </c>
    </row>
    <row r="64" spans="1:8" x14ac:dyDescent="0.25">
      <c r="A64" s="1" t="s">
        <v>351</v>
      </c>
      <c r="B64" s="2"/>
      <c r="C64" s="2"/>
      <c r="D64" s="3" t="s">
        <v>355</v>
      </c>
      <c r="E64" s="7"/>
      <c r="F64" s="7">
        <v>9467.2999999999993</v>
      </c>
      <c r="G64" s="7">
        <f t="shared" si="0"/>
        <v>1798.7869999999998</v>
      </c>
      <c r="H64" s="7">
        <f t="shared" si="1"/>
        <v>11266.087</v>
      </c>
    </row>
    <row r="65" spans="1:8" x14ac:dyDescent="0.25">
      <c r="A65" s="1" t="s">
        <v>169</v>
      </c>
      <c r="B65" s="2"/>
      <c r="C65" s="2"/>
      <c r="D65" s="3"/>
      <c r="E65" s="7"/>
      <c r="F65" s="7">
        <v>1175</v>
      </c>
      <c r="G65" s="7">
        <f t="shared" ref="G65:G74" si="18">F65*0.19</f>
        <v>223.25</v>
      </c>
      <c r="H65" s="7">
        <f t="shared" ref="H65:H74" si="19">F65+G65</f>
        <v>1398.25</v>
      </c>
    </row>
    <row r="66" spans="1:8" x14ac:dyDescent="0.25">
      <c r="A66" s="1" t="s">
        <v>170</v>
      </c>
      <c r="B66" s="2"/>
      <c r="C66" s="2"/>
      <c r="D66" s="3"/>
      <c r="E66" s="7"/>
      <c r="F66" s="7">
        <v>1175</v>
      </c>
      <c r="G66" s="7">
        <f t="shared" si="18"/>
        <v>223.25</v>
      </c>
      <c r="H66" s="7">
        <f t="shared" si="19"/>
        <v>1398.25</v>
      </c>
    </row>
    <row r="67" spans="1:8" x14ac:dyDescent="0.25">
      <c r="A67" s="1" t="s">
        <v>171</v>
      </c>
      <c r="B67" s="2"/>
      <c r="C67" s="2"/>
      <c r="D67" s="3"/>
      <c r="E67" s="7"/>
      <c r="F67" s="7">
        <v>1105.55</v>
      </c>
      <c r="G67" s="15">
        <f t="shared" si="18"/>
        <v>210.05449999999999</v>
      </c>
      <c r="H67" s="15">
        <f t="shared" si="19"/>
        <v>1315.6044999999999</v>
      </c>
    </row>
    <row r="68" spans="1:8" x14ac:dyDescent="0.25">
      <c r="A68" s="1" t="s">
        <v>172</v>
      </c>
      <c r="B68" s="2"/>
      <c r="C68" s="2"/>
      <c r="D68" s="3"/>
      <c r="E68" s="7"/>
      <c r="F68" s="7">
        <v>1575.71</v>
      </c>
      <c r="G68" s="15">
        <f t="shared" si="18"/>
        <v>299.38490000000002</v>
      </c>
      <c r="H68" s="15">
        <f t="shared" si="19"/>
        <v>1875.0949000000001</v>
      </c>
    </row>
    <row r="69" spans="1:8" x14ac:dyDescent="0.25">
      <c r="A69" s="1" t="s">
        <v>173</v>
      </c>
      <c r="B69" s="2"/>
      <c r="C69" s="2"/>
      <c r="D69" s="3"/>
      <c r="E69" s="7"/>
      <c r="F69" s="7">
        <v>1789</v>
      </c>
      <c r="G69" s="15">
        <f t="shared" si="18"/>
        <v>339.91</v>
      </c>
      <c r="H69" s="15">
        <f t="shared" si="19"/>
        <v>2128.91</v>
      </c>
    </row>
    <row r="70" spans="1:8" x14ac:dyDescent="0.25">
      <c r="A70" s="1" t="s">
        <v>174</v>
      </c>
      <c r="B70" s="2"/>
      <c r="C70" s="2"/>
      <c r="D70" s="3"/>
      <c r="E70" s="7"/>
      <c r="F70" s="7">
        <v>1697.5</v>
      </c>
      <c r="G70" s="15">
        <f t="shared" si="18"/>
        <v>322.52499999999998</v>
      </c>
      <c r="H70" s="16">
        <f t="shared" si="19"/>
        <v>2020.0250000000001</v>
      </c>
    </row>
    <row r="71" spans="1:8" x14ac:dyDescent="0.25">
      <c r="A71" s="1" t="s">
        <v>175</v>
      </c>
      <c r="B71" s="2"/>
      <c r="C71" s="2"/>
      <c r="D71" s="3"/>
      <c r="E71" s="7"/>
      <c r="F71" s="7">
        <v>3175</v>
      </c>
      <c r="G71" s="7">
        <f t="shared" si="18"/>
        <v>603.25</v>
      </c>
      <c r="H71" s="7">
        <f t="shared" si="19"/>
        <v>3778.25</v>
      </c>
    </row>
    <row r="72" spans="1:8" x14ac:dyDescent="0.25">
      <c r="A72" s="1" t="s">
        <v>176</v>
      </c>
      <c r="B72" s="2"/>
      <c r="C72" s="2"/>
      <c r="D72" s="3"/>
      <c r="E72" s="7"/>
      <c r="F72" s="7">
        <v>3262</v>
      </c>
      <c r="G72" s="16">
        <f t="shared" si="18"/>
        <v>619.78</v>
      </c>
      <c r="H72" s="16">
        <f t="shared" si="19"/>
        <v>3881.7799999999997</v>
      </c>
    </row>
    <row r="73" spans="1:8" x14ac:dyDescent="0.25">
      <c r="A73" s="1" t="s">
        <v>177</v>
      </c>
      <c r="B73" s="2"/>
      <c r="C73" s="2"/>
      <c r="D73" s="3"/>
      <c r="E73" s="7"/>
      <c r="F73" s="7">
        <v>4428</v>
      </c>
      <c r="G73" s="7">
        <f t="shared" si="18"/>
        <v>841.32</v>
      </c>
      <c r="H73" s="7">
        <f t="shared" si="19"/>
        <v>5269.32</v>
      </c>
    </row>
    <row r="74" spans="1:8" x14ac:dyDescent="0.25">
      <c r="A74" s="1" t="s">
        <v>178</v>
      </c>
      <c r="B74" s="2"/>
      <c r="C74" s="2"/>
      <c r="D74" s="3"/>
      <c r="E74" s="7"/>
      <c r="F74" s="7">
        <v>4520</v>
      </c>
      <c r="G74" s="7">
        <f t="shared" si="18"/>
        <v>858.8</v>
      </c>
      <c r="H74" s="7">
        <f t="shared" si="19"/>
        <v>5378.8</v>
      </c>
    </row>
    <row r="75" spans="1:8" x14ac:dyDescent="0.25">
      <c r="A75" s="1" t="s">
        <v>31</v>
      </c>
      <c r="B75" s="2"/>
      <c r="C75" s="2"/>
      <c r="D75" s="3"/>
      <c r="E75" s="7"/>
      <c r="F75" s="7">
        <v>7461</v>
      </c>
      <c r="G75" s="7">
        <f t="shared" si="0"/>
        <v>1417.59</v>
      </c>
      <c r="H75" s="7">
        <f t="shared" si="1"/>
        <v>8878.59</v>
      </c>
    </row>
    <row r="76" spans="1:8" x14ac:dyDescent="0.25">
      <c r="A76" s="1" t="s">
        <v>179</v>
      </c>
      <c r="B76" s="2"/>
      <c r="C76" s="2"/>
      <c r="D76" s="3"/>
      <c r="E76" s="7"/>
      <c r="F76" s="7">
        <v>5400</v>
      </c>
      <c r="G76" s="7">
        <f t="shared" ref="G76:G77" si="20">F76*0.19</f>
        <v>1026</v>
      </c>
      <c r="H76" s="7">
        <f t="shared" ref="H76:H77" si="21">F76+G76</f>
        <v>6426</v>
      </c>
    </row>
    <row r="77" spans="1:8" x14ac:dyDescent="0.25">
      <c r="A77" s="1" t="s">
        <v>321</v>
      </c>
      <c r="B77" s="2"/>
      <c r="C77" s="2"/>
      <c r="D77" s="3"/>
      <c r="E77" s="7"/>
      <c r="F77" s="7">
        <v>14872</v>
      </c>
      <c r="G77" s="7">
        <f t="shared" si="20"/>
        <v>2825.68</v>
      </c>
      <c r="H77" s="7">
        <f t="shared" si="21"/>
        <v>17697.68</v>
      </c>
    </row>
    <row r="78" spans="1:8" x14ac:dyDescent="0.25">
      <c r="A78" s="1" t="s">
        <v>20</v>
      </c>
      <c r="B78" s="2"/>
      <c r="C78" s="2"/>
      <c r="D78" s="3"/>
      <c r="E78" s="7"/>
      <c r="F78" s="7">
        <v>249162.2</v>
      </c>
      <c r="G78" s="15">
        <f t="shared" si="0"/>
        <v>47340.817999999999</v>
      </c>
      <c r="H78" s="15">
        <f t="shared" si="1"/>
        <v>296503.01800000004</v>
      </c>
    </row>
    <row r="79" spans="1:8" x14ac:dyDescent="0.25">
      <c r="A79" s="1" t="s">
        <v>17</v>
      </c>
      <c r="B79" s="2"/>
      <c r="C79" s="2"/>
      <c r="D79" s="3"/>
      <c r="E79" s="7"/>
      <c r="F79" s="7">
        <v>47520</v>
      </c>
      <c r="G79" s="7">
        <f t="shared" si="0"/>
        <v>9028.7999999999993</v>
      </c>
      <c r="H79" s="7">
        <f t="shared" si="1"/>
        <v>56548.800000000003</v>
      </c>
    </row>
    <row r="80" spans="1:8" x14ac:dyDescent="0.25">
      <c r="A80" s="1" t="s">
        <v>18</v>
      </c>
      <c r="B80" s="2"/>
      <c r="C80" s="2"/>
      <c r="D80" s="3"/>
      <c r="E80" s="7"/>
      <c r="F80" s="7">
        <v>68860</v>
      </c>
      <c r="G80" s="7">
        <f t="shared" si="0"/>
        <v>13083.4</v>
      </c>
      <c r="H80" s="7">
        <f t="shared" si="1"/>
        <v>81943.399999999994</v>
      </c>
    </row>
    <row r="81" spans="1:8" x14ac:dyDescent="0.25">
      <c r="A81" s="1" t="s">
        <v>19</v>
      </c>
      <c r="B81" s="2"/>
      <c r="C81" s="2"/>
      <c r="D81" s="3"/>
      <c r="E81" s="7"/>
      <c r="F81" s="7">
        <v>181565</v>
      </c>
      <c r="G81" s="7">
        <f t="shared" si="0"/>
        <v>34497.35</v>
      </c>
      <c r="H81" s="7">
        <f t="shared" si="1"/>
        <v>216062.35</v>
      </c>
    </row>
    <row r="82" spans="1:8" x14ac:dyDescent="0.25">
      <c r="A82" s="1" t="s">
        <v>16</v>
      </c>
      <c r="B82" s="2"/>
      <c r="C82" s="2"/>
      <c r="D82" s="3"/>
      <c r="E82" s="7"/>
      <c r="F82" s="7">
        <v>30855</v>
      </c>
      <c r="G82" s="7">
        <f t="shared" si="0"/>
        <v>5862.45</v>
      </c>
      <c r="H82" s="7">
        <f t="shared" si="1"/>
        <v>36717.449999999997</v>
      </c>
    </row>
    <row r="83" spans="1:8" x14ac:dyDescent="0.25">
      <c r="A83" s="1" t="s">
        <v>71</v>
      </c>
      <c r="B83" s="2"/>
      <c r="C83" s="2"/>
      <c r="D83" s="3"/>
      <c r="E83" s="7"/>
      <c r="F83" s="7">
        <v>121725</v>
      </c>
      <c r="G83" s="7">
        <f t="shared" si="0"/>
        <v>23127.75</v>
      </c>
      <c r="H83" s="7">
        <f t="shared" si="1"/>
        <v>144852.75</v>
      </c>
    </row>
    <row r="84" spans="1:8" x14ac:dyDescent="0.25">
      <c r="A84" s="1" t="s">
        <v>70</v>
      </c>
      <c r="B84" s="2"/>
      <c r="C84" s="2"/>
      <c r="D84" s="3"/>
      <c r="E84" s="7"/>
      <c r="F84" s="7">
        <v>80200</v>
      </c>
      <c r="G84" s="7">
        <f t="shared" si="0"/>
        <v>15238</v>
      </c>
      <c r="H84" s="7">
        <f t="shared" si="1"/>
        <v>95438</v>
      </c>
    </row>
    <row r="85" spans="1:8" x14ac:dyDescent="0.25">
      <c r="A85" s="1" t="s">
        <v>27</v>
      </c>
      <c r="B85" s="2"/>
      <c r="C85" s="2"/>
      <c r="D85" s="3"/>
      <c r="E85" s="7"/>
      <c r="F85" s="7">
        <v>11680</v>
      </c>
      <c r="G85" s="7">
        <f t="shared" si="0"/>
        <v>2219.1999999999998</v>
      </c>
      <c r="H85" s="7">
        <f t="shared" si="1"/>
        <v>13899.2</v>
      </c>
    </row>
    <row r="86" spans="1:8" x14ac:dyDescent="0.25">
      <c r="A86" s="1" t="s">
        <v>32</v>
      </c>
      <c r="B86" s="2"/>
      <c r="C86" s="2"/>
      <c r="D86" s="3"/>
      <c r="E86" s="7"/>
      <c r="F86" s="7">
        <v>80000</v>
      </c>
      <c r="G86" s="7">
        <f t="shared" si="0"/>
        <v>15200</v>
      </c>
      <c r="H86" s="7">
        <f t="shared" si="1"/>
        <v>95200</v>
      </c>
    </row>
    <row r="87" spans="1:8" x14ac:dyDescent="0.25">
      <c r="A87" s="1" t="s">
        <v>83</v>
      </c>
      <c r="B87" s="2"/>
      <c r="C87" s="2"/>
      <c r="D87" s="3"/>
      <c r="E87" s="7"/>
      <c r="F87" s="7">
        <v>73950</v>
      </c>
      <c r="G87" s="7">
        <f t="shared" si="0"/>
        <v>14050.5</v>
      </c>
      <c r="H87" s="7">
        <f t="shared" si="1"/>
        <v>88000.5</v>
      </c>
    </row>
    <row r="88" spans="1:8" x14ac:dyDescent="0.25">
      <c r="A88" s="1" t="s">
        <v>370</v>
      </c>
      <c r="B88" s="2"/>
      <c r="C88" s="2"/>
      <c r="D88" s="3" t="s">
        <v>151</v>
      </c>
      <c r="E88" s="7"/>
      <c r="F88" s="7">
        <v>29313</v>
      </c>
      <c r="G88" s="7">
        <f>F88*0.19</f>
        <v>5569.47</v>
      </c>
      <c r="H88" s="7">
        <f>F88+G88</f>
        <v>34882.47</v>
      </c>
    </row>
    <row r="89" spans="1:8" x14ac:dyDescent="0.25">
      <c r="A89" s="1" t="s">
        <v>370</v>
      </c>
      <c r="B89" s="2"/>
      <c r="C89" s="2"/>
      <c r="D89" s="3" t="s">
        <v>153</v>
      </c>
      <c r="E89" s="7"/>
      <c r="F89" s="7">
        <v>45144</v>
      </c>
      <c r="G89" s="7">
        <f>F89*0.19</f>
        <v>8577.36</v>
      </c>
      <c r="H89" s="7">
        <f>F89+G89</f>
        <v>53721.36</v>
      </c>
    </row>
    <row r="90" spans="1:8" x14ac:dyDescent="0.25">
      <c r="A90" s="1" t="s">
        <v>370</v>
      </c>
      <c r="B90" s="2"/>
      <c r="C90" s="2"/>
      <c r="D90" s="3" t="s">
        <v>154</v>
      </c>
      <c r="E90" s="7"/>
      <c r="F90" s="7">
        <v>65417</v>
      </c>
      <c r="G90" s="7">
        <f>F90*0.19</f>
        <v>12429.23</v>
      </c>
      <c r="H90" s="7">
        <f>F90+G90</f>
        <v>77846.23</v>
      </c>
    </row>
    <row r="91" spans="1:8" x14ac:dyDescent="0.25">
      <c r="A91" s="1" t="s">
        <v>370</v>
      </c>
      <c r="B91" s="2"/>
      <c r="C91" s="2"/>
      <c r="D91" s="3" t="s">
        <v>369</v>
      </c>
      <c r="E91" s="7"/>
      <c r="F91" s="7">
        <v>150167</v>
      </c>
      <c r="G91" s="7">
        <f>F91*0.19</f>
        <v>28531.73</v>
      </c>
      <c r="H91" s="7">
        <f>F91+G91</f>
        <v>178698.73</v>
      </c>
    </row>
    <row r="92" spans="1:8" x14ac:dyDescent="0.25">
      <c r="A92" s="1" t="s">
        <v>370</v>
      </c>
      <c r="B92" s="2"/>
      <c r="C92" s="2"/>
      <c r="D92" s="3" t="s">
        <v>123</v>
      </c>
      <c r="E92" s="7"/>
      <c r="F92" s="7">
        <v>206074</v>
      </c>
      <c r="G92" s="7">
        <f t="shared" ref="G92:G95" si="22">F92*0.19</f>
        <v>39154.06</v>
      </c>
      <c r="H92" s="7">
        <f t="shared" si="1"/>
        <v>245228.06</v>
      </c>
    </row>
    <row r="93" spans="1:8" x14ac:dyDescent="0.25">
      <c r="A93" s="1" t="s">
        <v>349</v>
      </c>
      <c r="B93" s="2"/>
      <c r="C93" s="2"/>
      <c r="D93" s="3" t="s">
        <v>151</v>
      </c>
      <c r="E93" s="7"/>
      <c r="F93" s="7">
        <v>77520</v>
      </c>
      <c r="G93" s="7">
        <f t="shared" si="22"/>
        <v>14728.8</v>
      </c>
      <c r="H93" s="7">
        <f t="shared" si="1"/>
        <v>92248.8</v>
      </c>
    </row>
    <row r="94" spans="1:8" x14ac:dyDescent="0.25">
      <c r="A94" s="1" t="s">
        <v>349</v>
      </c>
      <c r="B94" s="2"/>
      <c r="C94" s="2"/>
      <c r="D94" s="3" t="s">
        <v>154</v>
      </c>
      <c r="E94" s="7"/>
      <c r="F94" s="7">
        <v>113600</v>
      </c>
      <c r="G94" s="7">
        <f t="shared" si="22"/>
        <v>21584</v>
      </c>
      <c r="H94" s="7">
        <f t="shared" si="1"/>
        <v>135184</v>
      </c>
    </row>
    <row r="95" spans="1:8" x14ac:dyDescent="0.25">
      <c r="A95" s="1" t="s">
        <v>349</v>
      </c>
      <c r="B95" s="2"/>
      <c r="C95" s="2"/>
      <c r="D95" s="3" t="s">
        <v>122</v>
      </c>
      <c r="E95" s="7"/>
      <c r="F95" s="7">
        <v>224000</v>
      </c>
      <c r="G95" s="7">
        <f t="shared" si="22"/>
        <v>42560</v>
      </c>
      <c r="H95" s="7">
        <f t="shared" si="1"/>
        <v>266560</v>
      </c>
    </row>
    <row r="96" spans="1:8" x14ac:dyDescent="0.25">
      <c r="A96" s="1" t="s">
        <v>368</v>
      </c>
      <c r="B96" s="2"/>
      <c r="C96" s="2"/>
      <c r="D96" s="3" t="s">
        <v>123</v>
      </c>
      <c r="E96" s="7"/>
      <c r="F96" s="7">
        <v>135850</v>
      </c>
      <c r="G96" s="7">
        <f t="shared" ref="G96:G193" si="23">F96*0.19</f>
        <v>25811.5</v>
      </c>
      <c r="H96" s="7">
        <f t="shared" si="1"/>
        <v>161661.5</v>
      </c>
    </row>
    <row r="97" spans="1:8" x14ac:dyDescent="0.25">
      <c r="A97" s="1" t="s">
        <v>364</v>
      </c>
      <c r="B97" s="2"/>
      <c r="C97" s="2"/>
      <c r="D97" s="14" t="s">
        <v>151</v>
      </c>
      <c r="E97" s="7"/>
      <c r="F97" s="7">
        <v>960</v>
      </c>
      <c r="G97" s="7">
        <f>F97*0.19</f>
        <v>182.4</v>
      </c>
      <c r="H97" s="7">
        <f>F97+G97</f>
        <v>1142.4000000000001</v>
      </c>
    </row>
    <row r="98" spans="1:8" x14ac:dyDescent="0.25">
      <c r="A98" s="1" t="s">
        <v>364</v>
      </c>
      <c r="B98" s="2"/>
      <c r="C98" s="2"/>
      <c r="D98" s="14" t="s">
        <v>153</v>
      </c>
      <c r="E98" s="7"/>
      <c r="F98" s="7">
        <v>1125</v>
      </c>
      <c r="G98" s="7">
        <f>F98*0.19</f>
        <v>213.75</v>
      </c>
      <c r="H98" s="7">
        <f>F98+G98</f>
        <v>1338.75</v>
      </c>
    </row>
    <row r="99" spans="1:8" x14ac:dyDescent="0.25">
      <c r="A99" s="1" t="s">
        <v>364</v>
      </c>
      <c r="B99" s="2"/>
      <c r="C99" s="2"/>
      <c r="D99" s="14" t="s">
        <v>154</v>
      </c>
      <c r="E99" s="7"/>
      <c r="F99" s="7">
        <v>1485</v>
      </c>
      <c r="G99" s="7">
        <f>F99*0.19</f>
        <v>282.14999999999998</v>
      </c>
      <c r="H99" s="7">
        <f>F99+G99</f>
        <v>1767.15</v>
      </c>
    </row>
    <row r="100" spans="1:8" x14ac:dyDescent="0.25">
      <c r="A100" s="1" t="s">
        <v>364</v>
      </c>
      <c r="B100" s="2"/>
      <c r="C100" s="2"/>
      <c r="D100" s="14" t="s">
        <v>155</v>
      </c>
      <c r="E100" s="7"/>
      <c r="F100" s="7">
        <v>2265</v>
      </c>
      <c r="G100" s="7">
        <f>F100*0.19</f>
        <v>430.35</v>
      </c>
      <c r="H100" s="7">
        <f>F100+G100</f>
        <v>2695.35</v>
      </c>
    </row>
    <row r="101" spans="1:8" x14ac:dyDescent="0.25">
      <c r="A101" s="1" t="s">
        <v>364</v>
      </c>
      <c r="B101" s="2"/>
      <c r="C101" s="2"/>
      <c r="D101" s="14" t="s">
        <v>122</v>
      </c>
      <c r="E101" s="7"/>
      <c r="F101" s="7">
        <v>3340</v>
      </c>
      <c r="G101" s="7">
        <f t="shared" si="23"/>
        <v>634.6</v>
      </c>
      <c r="H101" s="7">
        <f t="shared" si="1"/>
        <v>3974.6</v>
      </c>
    </row>
    <row r="102" spans="1:8" x14ac:dyDescent="0.25">
      <c r="A102" s="1" t="s">
        <v>364</v>
      </c>
      <c r="B102" s="2"/>
      <c r="C102" s="2"/>
      <c r="D102" s="14" t="s">
        <v>123</v>
      </c>
      <c r="E102" s="7"/>
      <c r="F102" s="7">
        <v>4365</v>
      </c>
      <c r="G102" s="7">
        <f t="shared" ref="G102:G103" si="24">F102*0.19</f>
        <v>829.35</v>
      </c>
      <c r="H102" s="7">
        <f t="shared" ref="H102:H103" si="25">F102+G102</f>
        <v>5194.3500000000004</v>
      </c>
    </row>
    <row r="103" spans="1:8" x14ac:dyDescent="0.25">
      <c r="A103" s="1" t="s">
        <v>364</v>
      </c>
      <c r="B103" s="2"/>
      <c r="C103" s="2"/>
      <c r="D103" s="14" t="s">
        <v>156</v>
      </c>
      <c r="E103" s="7"/>
      <c r="F103" s="7">
        <v>9525</v>
      </c>
      <c r="G103" s="7">
        <f t="shared" si="24"/>
        <v>1809.75</v>
      </c>
      <c r="H103" s="7">
        <f t="shared" si="25"/>
        <v>11334.75</v>
      </c>
    </row>
    <row r="104" spans="1:8" x14ac:dyDescent="0.25">
      <c r="A104" s="1" t="s">
        <v>364</v>
      </c>
      <c r="B104" s="2"/>
      <c r="C104" s="2"/>
      <c r="D104" s="14" t="s">
        <v>124</v>
      </c>
      <c r="E104" s="7"/>
      <c r="F104" s="7">
        <v>12998</v>
      </c>
      <c r="G104" s="7">
        <f t="shared" ref="G104:G107" si="26">F104*0.19</f>
        <v>2469.62</v>
      </c>
      <c r="H104" s="7">
        <f t="shared" ref="H104:H107" si="27">F104+G104</f>
        <v>15467.619999999999</v>
      </c>
    </row>
    <row r="105" spans="1:8" x14ac:dyDescent="0.25">
      <c r="A105" s="1" t="s">
        <v>364</v>
      </c>
      <c r="B105" s="2"/>
      <c r="C105" s="2"/>
      <c r="D105" s="14" t="s">
        <v>125</v>
      </c>
      <c r="E105" s="7"/>
      <c r="F105" s="7">
        <v>24038</v>
      </c>
      <c r="G105" s="7">
        <f t="shared" ref="G105:G106" si="28">F105*0.19</f>
        <v>4567.22</v>
      </c>
      <c r="H105" s="7">
        <f t="shared" ref="H105:H106" si="29">F105+G105</f>
        <v>28605.22</v>
      </c>
    </row>
    <row r="106" spans="1:8" x14ac:dyDescent="0.25">
      <c r="A106" s="1" t="s">
        <v>364</v>
      </c>
      <c r="B106" s="2"/>
      <c r="C106" s="2"/>
      <c r="D106" s="14" t="s">
        <v>365</v>
      </c>
      <c r="E106" s="7"/>
      <c r="F106" s="7">
        <v>57923</v>
      </c>
      <c r="G106" s="7">
        <f t="shared" si="28"/>
        <v>11005.37</v>
      </c>
      <c r="H106" s="7">
        <f t="shared" si="29"/>
        <v>68928.37</v>
      </c>
    </row>
    <row r="107" spans="1:8" x14ac:dyDescent="0.25">
      <c r="A107" s="1" t="s">
        <v>282</v>
      </c>
      <c r="B107" s="2"/>
      <c r="C107" s="2"/>
      <c r="D107" s="14" t="s">
        <v>151</v>
      </c>
      <c r="E107" s="7"/>
      <c r="F107" s="7">
        <v>8800</v>
      </c>
      <c r="G107" s="7">
        <f t="shared" si="26"/>
        <v>1672</v>
      </c>
      <c r="H107" s="7">
        <f t="shared" si="27"/>
        <v>10472</v>
      </c>
    </row>
    <row r="108" spans="1:8" x14ac:dyDescent="0.25">
      <c r="A108" s="1" t="s">
        <v>371</v>
      </c>
      <c r="B108" s="2"/>
      <c r="C108" s="2"/>
      <c r="D108" s="3" t="s">
        <v>153</v>
      </c>
      <c r="E108" s="7"/>
      <c r="F108" s="7">
        <v>5845</v>
      </c>
      <c r="G108" s="7">
        <f t="shared" si="23"/>
        <v>1110.55</v>
      </c>
      <c r="H108" s="7">
        <f t="shared" si="1"/>
        <v>6955.55</v>
      </c>
    </row>
    <row r="109" spans="1:8" x14ac:dyDescent="0.25">
      <c r="A109" s="1" t="s">
        <v>366</v>
      </c>
      <c r="B109" s="2"/>
      <c r="C109" s="2"/>
      <c r="D109" s="3" t="s">
        <v>156</v>
      </c>
      <c r="E109" s="7"/>
      <c r="F109" s="7">
        <v>34740</v>
      </c>
      <c r="G109" s="7">
        <f t="shared" si="23"/>
        <v>6600.6</v>
      </c>
      <c r="H109" s="7">
        <f t="shared" si="1"/>
        <v>41340.6</v>
      </c>
    </row>
    <row r="110" spans="1:8" x14ac:dyDescent="0.25">
      <c r="A110" s="1" t="s">
        <v>367</v>
      </c>
      <c r="B110" s="2"/>
      <c r="C110" s="2"/>
      <c r="D110" s="3" t="s">
        <v>122</v>
      </c>
      <c r="E110" s="7"/>
      <c r="F110" s="17">
        <v>6537.1660000000002</v>
      </c>
      <c r="G110" s="15">
        <f t="shared" si="23"/>
        <v>1242.0615400000002</v>
      </c>
      <c r="H110" s="15">
        <f t="shared" si="1"/>
        <v>7779.2275399999999</v>
      </c>
    </row>
    <row r="111" spans="1:8" x14ac:dyDescent="0.25">
      <c r="A111" s="1" t="s">
        <v>367</v>
      </c>
      <c r="B111" s="2"/>
      <c r="C111" s="2"/>
      <c r="D111" s="3" t="s">
        <v>123</v>
      </c>
      <c r="E111" s="7"/>
      <c r="F111" s="7">
        <v>14220</v>
      </c>
      <c r="G111" s="7">
        <f t="shared" si="23"/>
        <v>2701.8</v>
      </c>
      <c r="H111" s="7">
        <f t="shared" si="1"/>
        <v>16921.8</v>
      </c>
    </row>
    <row r="112" spans="1:8" x14ac:dyDescent="0.25">
      <c r="A112" s="1" t="s">
        <v>363</v>
      </c>
      <c r="B112" s="2"/>
      <c r="C112" s="2"/>
      <c r="D112" s="3" t="s">
        <v>124</v>
      </c>
      <c r="E112" s="7"/>
      <c r="F112" s="7">
        <v>20240</v>
      </c>
      <c r="G112" s="7">
        <f t="shared" si="23"/>
        <v>3845.6</v>
      </c>
      <c r="H112" s="7">
        <f t="shared" si="1"/>
        <v>24085.599999999999</v>
      </c>
    </row>
    <row r="113" spans="1:8" x14ac:dyDescent="0.25">
      <c r="A113" s="1" t="s">
        <v>363</v>
      </c>
      <c r="B113" s="2"/>
      <c r="C113" s="2"/>
      <c r="D113" s="3" t="s">
        <v>125</v>
      </c>
      <c r="E113" s="7"/>
      <c r="F113" s="7">
        <v>26640</v>
      </c>
      <c r="G113" s="7">
        <f t="shared" ref="G113" si="30">F113*0.19</f>
        <v>5061.6000000000004</v>
      </c>
      <c r="H113" s="7">
        <f t="shared" ref="H113" si="31">F113+G113</f>
        <v>31701.599999999999</v>
      </c>
    </row>
    <row r="114" spans="1:8" x14ac:dyDescent="0.25">
      <c r="A114" s="1" t="s">
        <v>279</v>
      </c>
      <c r="B114" s="2"/>
      <c r="C114" s="2"/>
      <c r="D114" s="3" t="s">
        <v>155</v>
      </c>
      <c r="E114" s="7"/>
      <c r="F114" s="7">
        <v>9103.5</v>
      </c>
      <c r="G114" s="15">
        <f>F114*0.19</f>
        <v>1729.665</v>
      </c>
      <c r="H114" s="15">
        <f>F114+G114</f>
        <v>10833.165000000001</v>
      </c>
    </row>
    <row r="115" spans="1:8" x14ac:dyDescent="0.25">
      <c r="A115" s="1" t="s">
        <v>279</v>
      </c>
      <c r="B115" s="2"/>
      <c r="C115" s="2"/>
      <c r="D115" s="3" t="s">
        <v>122</v>
      </c>
      <c r="E115" s="7"/>
      <c r="F115" s="7">
        <v>12186.45</v>
      </c>
      <c r="G115" s="15">
        <f>F115*0.19</f>
        <v>2315.4255000000003</v>
      </c>
      <c r="H115" s="15">
        <f>F115+G115</f>
        <v>14501.875500000002</v>
      </c>
    </row>
    <row r="116" spans="1:8" x14ac:dyDescent="0.25">
      <c r="A116" s="1" t="s">
        <v>280</v>
      </c>
      <c r="B116" s="2"/>
      <c r="C116" s="2"/>
      <c r="D116" s="3" t="s">
        <v>123</v>
      </c>
      <c r="E116" s="7"/>
      <c r="F116" s="7">
        <v>26312</v>
      </c>
      <c r="G116" s="7">
        <f t="shared" si="23"/>
        <v>4999.28</v>
      </c>
      <c r="H116" s="7">
        <f t="shared" si="1"/>
        <v>31311.279999999999</v>
      </c>
    </row>
    <row r="117" spans="1:8" x14ac:dyDescent="0.25">
      <c r="A117" s="1" t="s">
        <v>362</v>
      </c>
      <c r="B117" s="2"/>
      <c r="C117" s="2"/>
      <c r="D117" s="3" t="s">
        <v>156</v>
      </c>
      <c r="E117" s="7"/>
      <c r="F117" s="7">
        <v>34277</v>
      </c>
      <c r="G117" s="7">
        <f t="shared" si="23"/>
        <v>6512.63</v>
      </c>
      <c r="H117" s="7">
        <f t="shared" ref="H117:H348" si="32">F117+G117</f>
        <v>40789.629999999997</v>
      </c>
    </row>
    <row r="118" spans="1:8" x14ac:dyDescent="0.25">
      <c r="A118" s="1" t="s">
        <v>362</v>
      </c>
      <c r="B118" s="2"/>
      <c r="C118" s="2"/>
      <c r="D118" s="3" t="s">
        <v>125</v>
      </c>
      <c r="E118" s="7"/>
      <c r="F118" s="7">
        <v>67706</v>
      </c>
      <c r="G118" s="7">
        <f t="shared" si="23"/>
        <v>12864.14</v>
      </c>
      <c r="H118" s="7">
        <f t="shared" si="32"/>
        <v>80570.14</v>
      </c>
    </row>
    <row r="119" spans="1:8" x14ac:dyDescent="0.25">
      <c r="A119" s="1" t="s">
        <v>362</v>
      </c>
      <c r="B119" s="2"/>
      <c r="C119" s="2"/>
      <c r="D119" s="3" t="s">
        <v>235</v>
      </c>
      <c r="E119" s="7"/>
      <c r="F119" s="7">
        <v>371268</v>
      </c>
      <c r="G119" s="7">
        <f t="shared" ref="G119:G122" si="33">F119*0.19</f>
        <v>70540.92</v>
      </c>
      <c r="H119" s="7">
        <f t="shared" ref="H119:H122" si="34">F119+G119</f>
        <v>441808.92</v>
      </c>
    </row>
    <row r="120" spans="1:8" x14ac:dyDescent="0.25">
      <c r="A120" s="1" t="s">
        <v>281</v>
      </c>
      <c r="B120" s="2"/>
      <c r="C120" s="2"/>
      <c r="D120" s="3" t="s">
        <v>151</v>
      </c>
      <c r="E120" s="7"/>
      <c r="F120" s="7">
        <v>6556</v>
      </c>
      <c r="G120" s="7">
        <f t="shared" si="33"/>
        <v>1245.6400000000001</v>
      </c>
      <c r="H120" s="7">
        <f t="shared" si="34"/>
        <v>7801.64</v>
      </c>
    </row>
    <row r="121" spans="1:8" x14ac:dyDescent="0.25">
      <c r="A121" s="1" t="s">
        <v>281</v>
      </c>
      <c r="B121" s="2"/>
      <c r="C121" s="2"/>
      <c r="D121" s="3" t="s">
        <v>153</v>
      </c>
      <c r="E121" s="7"/>
      <c r="F121" s="7">
        <v>6644</v>
      </c>
      <c r="G121" s="7">
        <f t="shared" si="33"/>
        <v>1262.3600000000001</v>
      </c>
      <c r="H121" s="7">
        <f t="shared" si="34"/>
        <v>7906.3600000000006</v>
      </c>
    </row>
    <row r="122" spans="1:8" x14ac:dyDescent="0.25">
      <c r="A122" s="1" t="s">
        <v>281</v>
      </c>
      <c r="B122" s="2"/>
      <c r="C122" s="2"/>
      <c r="D122" s="3" t="s">
        <v>154</v>
      </c>
      <c r="E122" s="7"/>
      <c r="F122" s="7">
        <v>11440</v>
      </c>
      <c r="G122" s="7">
        <f t="shared" si="33"/>
        <v>2173.6</v>
      </c>
      <c r="H122" s="7">
        <f t="shared" si="34"/>
        <v>13613.6</v>
      </c>
    </row>
    <row r="123" spans="1:8" x14ac:dyDescent="0.25">
      <c r="A123" s="1" t="s">
        <v>281</v>
      </c>
      <c r="B123" s="2"/>
      <c r="C123" s="2"/>
      <c r="D123" s="3" t="s">
        <v>122</v>
      </c>
      <c r="E123" s="7"/>
      <c r="F123" s="7">
        <v>32736</v>
      </c>
      <c r="G123" s="7">
        <f t="shared" ref="G123" si="35">F123*0.19</f>
        <v>6219.84</v>
      </c>
      <c r="H123" s="7">
        <f t="shared" ref="H123" si="36">F123+G123</f>
        <v>38955.839999999997</v>
      </c>
    </row>
    <row r="124" spans="1:8" x14ac:dyDescent="0.25">
      <c r="A124" s="1" t="s">
        <v>359</v>
      </c>
      <c r="B124" s="2"/>
      <c r="C124" s="2"/>
      <c r="D124" s="2" t="s">
        <v>151</v>
      </c>
      <c r="E124" s="7"/>
      <c r="F124" s="7">
        <v>1092</v>
      </c>
      <c r="G124" s="7">
        <f t="shared" si="23"/>
        <v>207.48</v>
      </c>
      <c r="H124" s="7">
        <f t="shared" si="32"/>
        <v>1299.48</v>
      </c>
    </row>
    <row r="125" spans="1:8" x14ac:dyDescent="0.25">
      <c r="A125" s="1" t="s">
        <v>359</v>
      </c>
      <c r="B125" s="2"/>
      <c r="C125" s="2"/>
      <c r="D125" s="2" t="s">
        <v>153</v>
      </c>
      <c r="E125" s="7"/>
      <c r="F125" s="7">
        <v>1565</v>
      </c>
      <c r="G125" s="7">
        <f t="shared" ref="G125:G137" si="37">F125*0.19</f>
        <v>297.35000000000002</v>
      </c>
      <c r="H125" s="7">
        <f t="shared" ref="H125:H137" si="38">F125+G125</f>
        <v>1862.35</v>
      </c>
    </row>
    <row r="126" spans="1:8" x14ac:dyDescent="0.25">
      <c r="A126" s="1" t="s">
        <v>359</v>
      </c>
      <c r="B126" s="2"/>
      <c r="C126" s="2"/>
      <c r="D126" s="2" t="s">
        <v>154</v>
      </c>
      <c r="E126" s="7"/>
      <c r="F126" s="7">
        <v>2377</v>
      </c>
      <c r="G126" s="7">
        <f t="shared" si="37"/>
        <v>451.63</v>
      </c>
      <c r="H126" s="7">
        <f t="shared" si="38"/>
        <v>2828.63</v>
      </c>
    </row>
    <row r="127" spans="1:8" x14ac:dyDescent="0.25">
      <c r="A127" s="1" t="s">
        <v>359</v>
      </c>
      <c r="B127" s="2"/>
      <c r="C127" s="2"/>
      <c r="D127" s="2" t="s">
        <v>122</v>
      </c>
      <c r="E127" s="7"/>
      <c r="F127" s="7">
        <v>5093</v>
      </c>
      <c r="G127" s="7">
        <f t="shared" si="37"/>
        <v>967.67</v>
      </c>
      <c r="H127" s="7">
        <f t="shared" si="38"/>
        <v>6060.67</v>
      </c>
    </row>
    <row r="128" spans="1:8" x14ac:dyDescent="0.25">
      <c r="A128" s="1" t="s">
        <v>359</v>
      </c>
      <c r="B128" s="2"/>
      <c r="C128" s="2"/>
      <c r="D128" s="2" t="s">
        <v>123</v>
      </c>
      <c r="E128" s="7"/>
      <c r="F128" s="7">
        <v>9215</v>
      </c>
      <c r="G128" s="7">
        <f t="shared" si="37"/>
        <v>1750.85</v>
      </c>
      <c r="H128" s="16">
        <f t="shared" si="38"/>
        <v>10965.85</v>
      </c>
    </row>
    <row r="129" spans="1:8" x14ac:dyDescent="0.25">
      <c r="A129" s="1" t="s">
        <v>360</v>
      </c>
      <c r="B129" s="2"/>
      <c r="C129" s="2"/>
      <c r="D129" s="3" t="s">
        <v>151</v>
      </c>
      <c r="E129" s="7"/>
      <c r="F129" s="7">
        <v>538</v>
      </c>
      <c r="G129" s="7">
        <f t="shared" si="37"/>
        <v>102.22</v>
      </c>
      <c r="H129" s="16">
        <f t="shared" si="38"/>
        <v>640.22</v>
      </c>
    </row>
    <row r="130" spans="1:8" x14ac:dyDescent="0.25">
      <c r="A130" s="1" t="s">
        <v>360</v>
      </c>
      <c r="B130" s="2"/>
      <c r="C130" s="2"/>
      <c r="D130" s="3" t="s">
        <v>123</v>
      </c>
      <c r="E130" s="7"/>
      <c r="F130" s="7">
        <v>7710</v>
      </c>
      <c r="G130" s="7">
        <f t="shared" si="37"/>
        <v>1464.9</v>
      </c>
      <c r="H130" s="16">
        <f t="shared" si="38"/>
        <v>9174.9</v>
      </c>
    </row>
    <row r="131" spans="1:8" x14ac:dyDescent="0.25">
      <c r="A131" s="1" t="s">
        <v>360</v>
      </c>
      <c r="B131" s="2"/>
      <c r="C131" s="2"/>
      <c r="D131" s="3" t="s">
        <v>124</v>
      </c>
      <c r="E131" s="7"/>
      <c r="F131" s="7">
        <v>24965</v>
      </c>
      <c r="G131" s="7">
        <f t="shared" si="37"/>
        <v>4743.3500000000004</v>
      </c>
      <c r="H131" s="16">
        <f t="shared" si="38"/>
        <v>29708.35</v>
      </c>
    </row>
    <row r="132" spans="1:8" x14ac:dyDescent="0.25">
      <c r="A132" s="1" t="s">
        <v>358</v>
      </c>
      <c r="B132" s="2"/>
      <c r="C132" s="2"/>
      <c r="D132" s="2" t="s">
        <v>151</v>
      </c>
      <c r="E132" s="7"/>
      <c r="F132" s="7">
        <v>326</v>
      </c>
      <c r="G132" s="7">
        <f t="shared" si="37"/>
        <v>61.94</v>
      </c>
      <c r="H132" s="16">
        <f t="shared" si="38"/>
        <v>387.94</v>
      </c>
    </row>
    <row r="133" spans="1:8" x14ac:dyDescent="0.25">
      <c r="A133" s="1" t="s">
        <v>358</v>
      </c>
      <c r="B133" s="2"/>
      <c r="C133" s="2"/>
      <c r="D133" s="2" t="s">
        <v>153</v>
      </c>
      <c r="E133" s="7"/>
      <c r="F133" s="7">
        <v>524</v>
      </c>
      <c r="G133" s="7">
        <f t="shared" si="37"/>
        <v>99.56</v>
      </c>
      <c r="H133" s="16">
        <f t="shared" si="38"/>
        <v>623.55999999999995</v>
      </c>
    </row>
    <row r="134" spans="1:8" x14ac:dyDescent="0.25">
      <c r="A134" s="1" t="s">
        <v>358</v>
      </c>
      <c r="B134" s="2"/>
      <c r="C134" s="2"/>
      <c r="D134" s="2" t="s">
        <v>154</v>
      </c>
      <c r="E134" s="7"/>
      <c r="F134" s="7">
        <v>1020</v>
      </c>
      <c r="G134" s="7">
        <f t="shared" si="37"/>
        <v>193.8</v>
      </c>
      <c r="H134" s="16">
        <f t="shared" si="38"/>
        <v>1213.8</v>
      </c>
    </row>
    <row r="135" spans="1:8" x14ac:dyDescent="0.25">
      <c r="A135" s="1" t="s">
        <v>358</v>
      </c>
      <c r="B135" s="2"/>
      <c r="C135" s="2"/>
      <c r="D135" s="2" t="s">
        <v>155</v>
      </c>
      <c r="E135" s="7"/>
      <c r="F135" s="7">
        <v>1967</v>
      </c>
      <c r="G135" s="7">
        <f t="shared" si="37"/>
        <v>373.73</v>
      </c>
      <c r="H135" s="16">
        <f t="shared" si="38"/>
        <v>2340.73</v>
      </c>
    </row>
    <row r="136" spans="1:8" x14ac:dyDescent="0.25">
      <c r="A136" s="1" t="s">
        <v>358</v>
      </c>
      <c r="B136" s="2"/>
      <c r="C136" s="2"/>
      <c r="D136" s="2" t="s">
        <v>122</v>
      </c>
      <c r="E136" s="7"/>
      <c r="F136" s="7">
        <v>3670</v>
      </c>
      <c r="G136" s="7">
        <f t="shared" si="37"/>
        <v>697.3</v>
      </c>
      <c r="H136" s="16">
        <f t="shared" si="38"/>
        <v>4367.3</v>
      </c>
    </row>
    <row r="137" spans="1:8" x14ac:dyDescent="0.25">
      <c r="A137" s="1" t="s">
        <v>358</v>
      </c>
      <c r="B137" s="2"/>
      <c r="C137" s="2"/>
      <c r="D137" s="2" t="s">
        <v>123</v>
      </c>
      <c r="E137" s="7"/>
      <c r="F137" s="7">
        <v>6007</v>
      </c>
      <c r="G137" s="7">
        <f t="shared" si="37"/>
        <v>1141.33</v>
      </c>
      <c r="H137" s="16">
        <f t="shared" si="38"/>
        <v>7148.33</v>
      </c>
    </row>
    <row r="138" spans="1:8" x14ac:dyDescent="0.25">
      <c r="A138" s="1" t="s">
        <v>358</v>
      </c>
      <c r="B138" s="2"/>
      <c r="C138" s="2"/>
      <c r="D138" s="2" t="s">
        <v>124</v>
      </c>
      <c r="E138" s="7"/>
      <c r="F138" s="7"/>
      <c r="G138" s="7"/>
      <c r="H138" s="16"/>
    </row>
    <row r="139" spans="1:8" x14ac:dyDescent="0.25">
      <c r="A139" s="1" t="s">
        <v>357</v>
      </c>
      <c r="B139" s="2"/>
      <c r="C139" s="2"/>
      <c r="D139" s="3" t="s">
        <v>233</v>
      </c>
      <c r="E139" s="7"/>
      <c r="F139" s="7">
        <v>103232</v>
      </c>
      <c r="G139" s="7">
        <f t="shared" si="23"/>
        <v>19614.080000000002</v>
      </c>
      <c r="H139" s="7">
        <f t="shared" si="32"/>
        <v>122846.08</v>
      </c>
    </row>
    <row r="140" spans="1:8" x14ac:dyDescent="0.25">
      <c r="A140" s="1" t="s">
        <v>312</v>
      </c>
      <c r="B140" s="2"/>
      <c r="C140" s="2"/>
      <c r="D140" s="2" t="s">
        <v>313</v>
      </c>
      <c r="E140" s="7"/>
      <c r="F140" s="7">
        <v>3003.05</v>
      </c>
      <c r="G140" s="15">
        <f t="shared" si="23"/>
        <v>570.57950000000005</v>
      </c>
      <c r="H140" s="15">
        <f t="shared" si="32"/>
        <v>3573.6295</v>
      </c>
    </row>
    <row r="141" spans="1:8" x14ac:dyDescent="0.25">
      <c r="A141" s="1" t="s">
        <v>312</v>
      </c>
      <c r="B141" s="2"/>
      <c r="C141" s="2"/>
      <c r="D141" s="2" t="s">
        <v>314</v>
      </c>
      <c r="E141" s="7"/>
      <c r="F141" s="7">
        <v>4036.65</v>
      </c>
      <c r="G141" s="16">
        <f t="shared" si="23"/>
        <v>766.96350000000007</v>
      </c>
      <c r="H141" s="15">
        <f t="shared" si="32"/>
        <v>4803.6135000000004</v>
      </c>
    </row>
    <row r="142" spans="1:8" x14ac:dyDescent="0.25">
      <c r="A142" s="1" t="s">
        <v>312</v>
      </c>
      <c r="B142" s="2"/>
      <c r="C142" s="2"/>
      <c r="D142" s="2" t="s">
        <v>315</v>
      </c>
      <c r="E142" s="7"/>
      <c r="F142" s="7">
        <v>5481.65</v>
      </c>
      <c r="G142" s="15">
        <f t="shared" si="23"/>
        <v>1041.5135</v>
      </c>
      <c r="H142" s="15">
        <f t="shared" si="32"/>
        <v>6523.1634999999997</v>
      </c>
    </row>
    <row r="143" spans="1:8" x14ac:dyDescent="0.25">
      <c r="A143" s="1" t="s">
        <v>312</v>
      </c>
      <c r="B143" s="2"/>
      <c r="C143" s="2"/>
      <c r="D143" s="2" t="s">
        <v>316</v>
      </c>
      <c r="E143" s="7"/>
      <c r="F143" s="7">
        <v>5565.8</v>
      </c>
      <c r="G143" s="15">
        <f t="shared" si="23"/>
        <v>1057.502</v>
      </c>
      <c r="H143" s="15">
        <f t="shared" si="32"/>
        <v>6623.3019999999997</v>
      </c>
    </row>
    <row r="144" spans="1:8" x14ac:dyDescent="0.25">
      <c r="A144" s="1" t="s">
        <v>312</v>
      </c>
      <c r="B144" s="2"/>
      <c r="C144" s="2"/>
      <c r="D144" s="2" t="s">
        <v>317</v>
      </c>
      <c r="E144" s="7"/>
      <c r="F144" s="7">
        <v>4560.25</v>
      </c>
      <c r="G144" s="15">
        <f t="shared" si="23"/>
        <v>866.44749999999999</v>
      </c>
      <c r="H144" s="15">
        <f t="shared" si="32"/>
        <v>5426.6975000000002</v>
      </c>
    </row>
    <row r="145" spans="1:8" x14ac:dyDescent="0.25">
      <c r="A145" s="1" t="s">
        <v>180</v>
      </c>
      <c r="B145" s="2"/>
      <c r="C145" s="2"/>
      <c r="D145" s="2" t="s">
        <v>181</v>
      </c>
      <c r="E145" s="7"/>
      <c r="F145" s="7">
        <v>1308</v>
      </c>
      <c r="G145" s="7">
        <f t="shared" si="23"/>
        <v>248.52</v>
      </c>
      <c r="H145" s="7">
        <f t="shared" si="32"/>
        <v>1556.52</v>
      </c>
    </row>
    <row r="146" spans="1:8" x14ac:dyDescent="0.25">
      <c r="A146" s="1" t="s">
        <v>180</v>
      </c>
      <c r="B146" s="2"/>
      <c r="C146" s="2"/>
      <c r="D146" s="2" t="s">
        <v>182</v>
      </c>
      <c r="E146" s="7"/>
      <c r="F146" s="7">
        <v>1308</v>
      </c>
      <c r="G146" s="7">
        <f t="shared" ref="G146:G154" si="39">F146*0.19</f>
        <v>248.52</v>
      </c>
      <c r="H146" s="7">
        <f t="shared" ref="H146:H154" si="40">F146+G146</f>
        <v>1556.52</v>
      </c>
    </row>
    <row r="147" spans="1:8" x14ac:dyDescent="0.25">
      <c r="A147" s="1" t="s">
        <v>180</v>
      </c>
      <c r="B147" s="2"/>
      <c r="C147" s="2"/>
      <c r="D147" s="2" t="s">
        <v>183</v>
      </c>
      <c r="E147" s="7"/>
      <c r="F147" s="7">
        <v>1378</v>
      </c>
      <c r="G147" s="7">
        <f t="shared" si="39"/>
        <v>261.82</v>
      </c>
      <c r="H147" s="7">
        <f t="shared" si="40"/>
        <v>1639.82</v>
      </c>
    </row>
    <row r="148" spans="1:8" x14ac:dyDescent="0.25">
      <c r="A148" s="1" t="s">
        <v>180</v>
      </c>
      <c r="B148" s="2"/>
      <c r="C148" s="2"/>
      <c r="D148" s="2" t="s">
        <v>184</v>
      </c>
      <c r="E148" s="7"/>
      <c r="F148" s="7">
        <v>1991</v>
      </c>
      <c r="G148" s="7">
        <f t="shared" si="39"/>
        <v>378.29</v>
      </c>
      <c r="H148" s="7">
        <f t="shared" si="40"/>
        <v>2369.29</v>
      </c>
    </row>
    <row r="149" spans="1:8" x14ac:dyDescent="0.25">
      <c r="A149" s="1" t="s">
        <v>180</v>
      </c>
      <c r="B149" s="2"/>
      <c r="C149" s="2"/>
      <c r="D149" s="2" t="s">
        <v>185</v>
      </c>
      <c r="E149" s="7"/>
      <c r="F149" s="7">
        <v>2294</v>
      </c>
      <c r="G149" s="7">
        <f t="shared" si="39"/>
        <v>435.86</v>
      </c>
      <c r="H149" s="7">
        <f t="shared" si="40"/>
        <v>2729.86</v>
      </c>
    </row>
    <row r="150" spans="1:8" x14ac:dyDescent="0.25">
      <c r="A150" s="1" t="s">
        <v>180</v>
      </c>
      <c r="B150" s="2"/>
      <c r="C150" s="2"/>
      <c r="D150" s="2" t="s">
        <v>187</v>
      </c>
      <c r="E150" s="7"/>
      <c r="F150" s="7">
        <v>3562</v>
      </c>
      <c r="G150" s="7">
        <f t="shared" si="39"/>
        <v>676.78</v>
      </c>
      <c r="H150" s="7">
        <f t="shared" si="40"/>
        <v>4238.78</v>
      </c>
    </row>
    <row r="151" spans="1:8" x14ac:dyDescent="0.25">
      <c r="A151" s="1" t="s">
        <v>180</v>
      </c>
      <c r="B151" s="2"/>
      <c r="C151" s="2"/>
      <c r="D151" s="2" t="s">
        <v>188</v>
      </c>
      <c r="E151" s="7"/>
      <c r="F151" s="7">
        <v>4024</v>
      </c>
      <c r="G151" s="7">
        <f t="shared" si="39"/>
        <v>764.56000000000006</v>
      </c>
      <c r="H151" s="7">
        <f t="shared" si="40"/>
        <v>4788.5600000000004</v>
      </c>
    </row>
    <row r="152" spans="1:8" x14ac:dyDescent="0.25">
      <c r="A152" s="1" t="s">
        <v>180</v>
      </c>
      <c r="B152" s="2"/>
      <c r="C152" s="2"/>
      <c r="D152" s="2" t="s">
        <v>186</v>
      </c>
      <c r="E152" s="7"/>
      <c r="F152" s="7">
        <v>3818</v>
      </c>
      <c r="G152" s="7">
        <f t="shared" si="39"/>
        <v>725.42</v>
      </c>
      <c r="H152" s="7">
        <f t="shared" si="40"/>
        <v>4543.42</v>
      </c>
    </row>
    <row r="153" spans="1:8" x14ac:dyDescent="0.25">
      <c r="A153" s="1" t="s">
        <v>180</v>
      </c>
      <c r="B153" s="2"/>
      <c r="C153" s="2"/>
      <c r="D153" s="2" t="s">
        <v>189</v>
      </c>
      <c r="E153" s="7"/>
      <c r="F153" s="7">
        <v>5295</v>
      </c>
      <c r="G153" s="7">
        <f t="shared" si="39"/>
        <v>1006.0500000000001</v>
      </c>
      <c r="H153" s="7">
        <f t="shared" si="40"/>
        <v>6301.05</v>
      </c>
    </row>
    <row r="154" spans="1:8" x14ac:dyDescent="0.25">
      <c r="A154" s="1" t="s">
        <v>180</v>
      </c>
      <c r="B154" s="2"/>
      <c r="C154" s="2"/>
      <c r="D154" s="2" t="s">
        <v>190</v>
      </c>
      <c r="E154" s="7"/>
      <c r="F154" s="7">
        <v>5625</v>
      </c>
      <c r="G154" s="7">
        <f t="shared" si="39"/>
        <v>1068.75</v>
      </c>
      <c r="H154" s="7">
        <f t="shared" si="40"/>
        <v>6693.75</v>
      </c>
    </row>
    <row r="155" spans="1:8" x14ac:dyDescent="0.25">
      <c r="A155" s="1" t="s">
        <v>361</v>
      </c>
      <c r="B155" s="2"/>
      <c r="C155" s="2"/>
      <c r="D155" s="3" t="s">
        <v>151</v>
      </c>
      <c r="E155" s="7"/>
      <c r="F155" s="7">
        <v>4000</v>
      </c>
      <c r="G155" s="7">
        <f t="shared" si="23"/>
        <v>760</v>
      </c>
      <c r="H155" s="7">
        <f t="shared" si="32"/>
        <v>4760</v>
      </c>
    </row>
    <row r="156" spans="1:8" x14ac:dyDescent="0.25">
      <c r="A156" s="1" t="s">
        <v>341</v>
      </c>
      <c r="B156" s="2"/>
      <c r="C156" s="2"/>
      <c r="D156" s="3" t="s">
        <v>151</v>
      </c>
      <c r="E156" s="7"/>
      <c r="F156" s="7">
        <v>2184</v>
      </c>
      <c r="G156" s="7">
        <f t="shared" si="23"/>
        <v>414.96</v>
      </c>
      <c r="H156" s="7">
        <f t="shared" si="32"/>
        <v>2598.96</v>
      </c>
    </row>
    <row r="157" spans="1:8" x14ac:dyDescent="0.25">
      <c r="A157" s="1" t="s">
        <v>341</v>
      </c>
      <c r="B157" s="2"/>
      <c r="C157" s="2"/>
      <c r="D157" s="3" t="s">
        <v>153</v>
      </c>
      <c r="E157" s="7"/>
      <c r="F157" s="7">
        <v>2112</v>
      </c>
      <c r="G157" s="7">
        <f t="shared" si="23"/>
        <v>401.28000000000003</v>
      </c>
      <c r="H157" s="7">
        <f t="shared" si="32"/>
        <v>2513.2800000000002</v>
      </c>
    </row>
    <row r="158" spans="1:8" x14ac:dyDescent="0.25">
      <c r="A158" s="1" t="s">
        <v>341</v>
      </c>
      <c r="B158" s="2"/>
      <c r="C158" s="2"/>
      <c r="D158" s="3" t="s">
        <v>154</v>
      </c>
      <c r="E158" s="7"/>
      <c r="F158" s="7">
        <v>2944</v>
      </c>
      <c r="G158" s="7">
        <f t="shared" si="23"/>
        <v>559.36</v>
      </c>
      <c r="H158" s="7">
        <f t="shared" si="32"/>
        <v>3503.36</v>
      </c>
    </row>
    <row r="159" spans="1:8" x14ac:dyDescent="0.25">
      <c r="A159" s="1" t="s">
        <v>341</v>
      </c>
      <c r="B159" s="2"/>
      <c r="C159" s="2"/>
      <c r="D159" s="3" t="s">
        <v>122</v>
      </c>
      <c r="E159" s="7"/>
      <c r="F159" s="7">
        <v>5992</v>
      </c>
      <c r="G159" s="7">
        <f t="shared" ref="G159:G161" si="41">F159*0.19</f>
        <v>1138.48</v>
      </c>
      <c r="H159" s="7">
        <f t="shared" ref="H159:H161" si="42">F159+G159</f>
        <v>7130.48</v>
      </c>
    </row>
    <row r="160" spans="1:8" x14ac:dyDescent="0.25">
      <c r="A160" s="1" t="s">
        <v>341</v>
      </c>
      <c r="B160" s="2"/>
      <c r="C160" s="2"/>
      <c r="D160" s="3" t="s">
        <v>123</v>
      </c>
      <c r="E160" s="7"/>
      <c r="F160" s="7">
        <v>4664</v>
      </c>
      <c r="G160" s="7">
        <f t="shared" si="41"/>
        <v>886.16</v>
      </c>
      <c r="H160" s="15">
        <f t="shared" si="42"/>
        <v>5550.16</v>
      </c>
    </row>
    <row r="161" spans="1:8" x14ac:dyDescent="0.25">
      <c r="A161" s="1" t="s">
        <v>343</v>
      </c>
      <c r="B161" s="2"/>
      <c r="C161" s="2"/>
      <c r="D161" s="3" t="s">
        <v>123</v>
      </c>
      <c r="E161" s="7"/>
      <c r="F161" s="7">
        <v>7896</v>
      </c>
      <c r="G161" s="15">
        <f t="shared" si="41"/>
        <v>1500.24</v>
      </c>
      <c r="H161" s="15">
        <f t="shared" si="42"/>
        <v>9396.24</v>
      </c>
    </row>
    <row r="162" spans="1:8" x14ac:dyDescent="0.25">
      <c r="A162" s="1" t="s">
        <v>341</v>
      </c>
      <c r="B162" s="2"/>
      <c r="C162" s="2"/>
      <c r="D162" s="3" t="s">
        <v>156</v>
      </c>
      <c r="E162" s="7"/>
      <c r="F162" s="7">
        <v>12200</v>
      </c>
      <c r="G162" s="7">
        <f t="shared" si="23"/>
        <v>2318</v>
      </c>
      <c r="H162" s="7">
        <f t="shared" si="32"/>
        <v>14518</v>
      </c>
    </row>
    <row r="163" spans="1:8" x14ac:dyDescent="0.25">
      <c r="A163" s="1" t="s">
        <v>341</v>
      </c>
      <c r="B163" s="2"/>
      <c r="C163" s="2"/>
      <c r="D163" s="3" t="s">
        <v>124</v>
      </c>
      <c r="E163" s="7"/>
      <c r="F163" s="7">
        <v>14240</v>
      </c>
      <c r="G163" s="7">
        <f t="shared" ref="G163:G166" si="43">F163*0.19</f>
        <v>2705.6</v>
      </c>
      <c r="H163" s="7">
        <f t="shared" ref="H163:H166" si="44">F163+G163</f>
        <v>16945.599999999999</v>
      </c>
    </row>
    <row r="164" spans="1:8" x14ac:dyDescent="0.25">
      <c r="A164" s="1" t="s">
        <v>341</v>
      </c>
      <c r="B164" s="2"/>
      <c r="C164" s="2"/>
      <c r="D164" s="3" t="s">
        <v>233</v>
      </c>
      <c r="E164" s="7"/>
      <c r="F164" s="7">
        <v>19440</v>
      </c>
      <c r="G164" s="7">
        <f t="shared" si="43"/>
        <v>3693.6</v>
      </c>
      <c r="H164" s="7">
        <f t="shared" si="44"/>
        <v>23133.599999999999</v>
      </c>
    </row>
    <row r="165" spans="1:8" x14ac:dyDescent="0.25">
      <c r="A165" s="1" t="s">
        <v>341</v>
      </c>
      <c r="B165" s="2"/>
      <c r="C165" s="2"/>
      <c r="D165" s="3" t="s">
        <v>234</v>
      </c>
      <c r="E165" s="7"/>
      <c r="F165" s="7">
        <v>30400</v>
      </c>
      <c r="G165" s="7">
        <f t="shared" si="43"/>
        <v>5776</v>
      </c>
      <c r="H165" s="7">
        <f t="shared" si="44"/>
        <v>36176</v>
      </c>
    </row>
    <row r="166" spans="1:8" x14ac:dyDescent="0.25">
      <c r="A166" s="1" t="s">
        <v>356</v>
      </c>
      <c r="B166" s="2"/>
      <c r="C166" s="2"/>
      <c r="D166" s="3" t="s">
        <v>124</v>
      </c>
      <c r="E166" s="7"/>
      <c r="F166" s="7">
        <v>5280</v>
      </c>
      <c r="G166" s="7">
        <f t="shared" si="43"/>
        <v>1003.2</v>
      </c>
      <c r="H166" s="7">
        <f t="shared" si="44"/>
        <v>6283.2</v>
      </c>
    </row>
    <row r="167" spans="1:8" x14ac:dyDescent="0.25">
      <c r="A167" s="1" t="s">
        <v>342</v>
      </c>
      <c r="B167" s="2"/>
      <c r="C167" s="2"/>
      <c r="D167" s="3" t="s">
        <v>154</v>
      </c>
      <c r="E167" s="7"/>
      <c r="F167" s="7">
        <v>442.5</v>
      </c>
      <c r="G167" s="15">
        <f t="shared" si="23"/>
        <v>84.075000000000003</v>
      </c>
      <c r="H167" s="15">
        <f t="shared" si="32"/>
        <v>526.57500000000005</v>
      </c>
    </row>
    <row r="168" spans="1:8" x14ac:dyDescent="0.25">
      <c r="A168" s="1" t="s">
        <v>251</v>
      </c>
      <c r="B168" s="2"/>
      <c r="C168" s="19"/>
      <c r="D168" s="2" t="s">
        <v>154</v>
      </c>
      <c r="E168" s="7"/>
      <c r="F168" s="7">
        <v>1200</v>
      </c>
      <c r="G168" s="7">
        <f t="shared" si="23"/>
        <v>228</v>
      </c>
      <c r="H168" s="7">
        <f t="shared" si="32"/>
        <v>1428</v>
      </c>
    </row>
    <row r="169" spans="1:8" x14ac:dyDescent="0.25">
      <c r="A169" s="1" t="s">
        <v>251</v>
      </c>
      <c r="B169" s="2"/>
      <c r="C169" s="19"/>
      <c r="D169" s="2" t="s">
        <v>122</v>
      </c>
      <c r="E169" s="7"/>
      <c r="F169" s="7">
        <v>1200</v>
      </c>
      <c r="G169" s="7">
        <f t="shared" si="23"/>
        <v>228</v>
      </c>
      <c r="H169" s="7">
        <f t="shared" si="32"/>
        <v>1428</v>
      </c>
    </row>
    <row r="170" spans="1:8" x14ac:dyDescent="0.25">
      <c r="A170" s="1" t="s">
        <v>251</v>
      </c>
      <c r="B170" s="2"/>
      <c r="C170" s="19"/>
      <c r="D170" s="2" t="s">
        <v>123</v>
      </c>
      <c r="E170" s="7"/>
      <c r="F170" s="7">
        <v>1400</v>
      </c>
      <c r="G170" s="7">
        <f t="shared" si="23"/>
        <v>266</v>
      </c>
      <c r="H170" s="7">
        <f t="shared" si="32"/>
        <v>1666</v>
      </c>
    </row>
    <row r="171" spans="1:8" x14ac:dyDescent="0.25">
      <c r="A171" s="1" t="s">
        <v>251</v>
      </c>
      <c r="B171" s="2"/>
      <c r="C171" s="19"/>
      <c r="D171" s="2" t="s">
        <v>156</v>
      </c>
      <c r="E171" s="7"/>
      <c r="F171" s="7">
        <v>1463</v>
      </c>
      <c r="G171" s="7">
        <f t="shared" si="23"/>
        <v>277.97000000000003</v>
      </c>
      <c r="H171" s="7">
        <f t="shared" si="32"/>
        <v>1740.97</v>
      </c>
    </row>
    <row r="172" spans="1:8" x14ac:dyDescent="0.25">
      <c r="A172" s="1" t="s">
        <v>251</v>
      </c>
      <c r="B172" s="2"/>
      <c r="C172" s="19"/>
      <c r="D172" s="2" t="s">
        <v>124</v>
      </c>
      <c r="E172" s="7"/>
      <c r="F172" s="7">
        <v>1785</v>
      </c>
      <c r="G172" s="7">
        <f t="shared" si="23"/>
        <v>339.15</v>
      </c>
      <c r="H172" s="7">
        <f t="shared" si="32"/>
        <v>2124.15</v>
      </c>
    </row>
    <row r="173" spans="1:8" x14ac:dyDescent="0.25">
      <c r="A173" s="1" t="s">
        <v>251</v>
      </c>
      <c r="B173" s="2"/>
      <c r="C173" s="19"/>
      <c r="D173" s="2" t="s">
        <v>125</v>
      </c>
      <c r="E173" s="7"/>
      <c r="F173" s="7">
        <v>3060</v>
      </c>
      <c r="G173" s="7">
        <f t="shared" si="23"/>
        <v>581.4</v>
      </c>
      <c r="H173" s="7">
        <f t="shared" si="32"/>
        <v>3641.4</v>
      </c>
    </row>
    <row r="174" spans="1:8" x14ac:dyDescent="0.25">
      <c r="A174" s="1" t="s">
        <v>251</v>
      </c>
      <c r="B174" s="2"/>
      <c r="C174" s="19"/>
      <c r="D174" s="2" t="s">
        <v>233</v>
      </c>
      <c r="E174" s="7"/>
      <c r="F174" s="7">
        <v>9990</v>
      </c>
      <c r="G174" s="7">
        <f t="shared" si="23"/>
        <v>1898.1</v>
      </c>
      <c r="H174" s="7">
        <f t="shared" si="32"/>
        <v>11888.1</v>
      </c>
    </row>
    <row r="175" spans="1:8" x14ac:dyDescent="0.25">
      <c r="A175" s="1" t="s">
        <v>344</v>
      </c>
      <c r="B175" s="2"/>
      <c r="C175" s="2"/>
      <c r="D175" s="3" t="s">
        <v>154</v>
      </c>
      <c r="E175" s="7"/>
      <c r="F175" s="7">
        <v>8442</v>
      </c>
      <c r="G175" s="7">
        <f t="shared" si="23"/>
        <v>1603.98</v>
      </c>
      <c r="H175" s="7">
        <f t="shared" si="32"/>
        <v>10045.98</v>
      </c>
    </row>
    <row r="176" spans="1:8" x14ac:dyDescent="0.25">
      <c r="A176" s="1" t="s">
        <v>284</v>
      </c>
      <c r="B176" s="2"/>
      <c r="C176" s="2"/>
      <c r="D176" s="3" t="s">
        <v>154</v>
      </c>
      <c r="E176" s="7"/>
      <c r="F176" s="7">
        <v>5173.1000000000004</v>
      </c>
      <c r="G176" s="7">
        <f t="shared" si="23"/>
        <v>982.88900000000012</v>
      </c>
      <c r="H176" s="7">
        <f t="shared" si="32"/>
        <v>6155.9890000000005</v>
      </c>
    </row>
    <row r="177" spans="1:8" x14ac:dyDescent="0.25">
      <c r="A177" s="1" t="s">
        <v>285</v>
      </c>
      <c r="B177" s="2"/>
      <c r="C177" s="2"/>
      <c r="D177" s="3" t="s">
        <v>233</v>
      </c>
      <c r="E177" s="7"/>
      <c r="F177" s="7">
        <v>45188</v>
      </c>
      <c r="G177" s="7">
        <f t="shared" ref="G177" si="45">F177*0.19</f>
        <v>8585.7199999999993</v>
      </c>
      <c r="H177" s="7">
        <f t="shared" ref="H177" si="46">F177+G177</f>
        <v>53773.72</v>
      </c>
    </row>
    <row r="178" spans="1:8" x14ac:dyDescent="0.25">
      <c r="A178" s="1" t="s">
        <v>345</v>
      </c>
      <c r="B178" s="2"/>
      <c r="C178" s="2"/>
      <c r="D178" s="3" t="s">
        <v>122</v>
      </c>
      <c r="E178" s="7"/>
      <c r="F178" s="7">
        <v>5400</v>
      </c>
      <c r="G178" s="7">
        <f t="shared" si="23"/>
        <v>1026</v>
      </c>
      <c r="H178" s="7">
        <f t="shared" si="32"/>
        <v>6426</v>
      </c>
    </row>
    <row r="179" spans="1:8" x14ac:dyDescent="0.25">
      <c r="A179" s="1" t="s">
        <v>346</v>
      </c>
      <c r="B179" s="2"/>
      <c r="C179" s="2"/>
      <c r="D179" s="3" t="s">
        <v>156</v>
      </c>
      <c r="E179" s="7"/>
      <c r="F179" s="7">
        <v>60750</v>
      </c>
      <c r="G179" s="7">
        <f t="shared" si="23"/>
        <v>11542.5</v>
      </c>
      <c r="H179" s="7">
        <f t="shared" si="32"/>
        <v>72292.5</v>
      </c>
    </row>
    <row r="180" spans="1:8" x14ac:dyDescent="0.25">
      <c r="A180" s="1" t="s">
        <v>274</v>
      </c>
      <c r="B180" s="2"/>
      <c r="C180" s="2"/>
      <c r="D180" s="3" t="s">
        <v>155</v>
      </c>
      <c r="E180" s="7"/>
      <c r="F180" s="7">
        <v>59752</v>
      </c>
      <c r="G180" s="7">
        <f t="shared" si="23"/>
        <v>11352.880000000001</v>
      </c>
      <c r="H180" s="7">
        <f t="shared" si="32"/>
        <v>71104.88</v>
      </c>
    </row>
    <row r="181" spans="1:8" x14ac:dyDescent="0.25">
      <c r="A181" s="1" t="s">
        <v>117</v>
      </c>
      <c r="B181" s="2"/>
      <c r="C181" s="2"/>
      <c r="D181" s="3"/>
      <c r="E181" s="7"/>
      <c r="F181" s="7">
        <v>111750</v>
      </c>
      <c r="G181" s="7">
        <f t="shared" si="23"/>
        <v>21232.5</v>
      </c>
      <c r="H181" s="7">
        <f t="shared" si="32"/>
        <v>132982.5</v>
      </c>
    </row>
    <row r="182" spans="1:8" x14ac:dyDescent="0.25">
      <c r="A182" s="1" t="s">
        <v>264</v>
      </c>
      <c r="B182" s="2"/>
      <c r="C182" s="2"/>
      <c r="D182" s="3"/>
      <c r="E182" s="7"/>
      <c r="F182" s="7">
        <v>24900</v>
      </c>
      <c r="G182" s="7">
        <f t="shared" si="23"/>
        <v>4731</v>
      </c>
      <c r="H182" s="7">
        <f t="shared" si="32"/>
        <v>29631</v>
      </c>
    </row>
    <row r="183" spans="1:8" x14ac:dyDescent="0.25">
      <c r="A183" s="1" t="s">
        <v>85</v>
      </c>
      <c r="B183" s="2"/>
      <c r="C183" s="2"/>
      <c r="D183" s="3"/>
      <c r="E183" s="7"/>
      <c r="F183" s="7">
        <v>28050</v>
      </c>
      <c r="G183" s="7">
        <f t="shared" si="23"/>
        <v>5329.5</v>
      </c>
      <c r="H183" s="7">
        <f t="shared" si="32"/>
        <v>33379.5</v>
      </c>
    </row>
    <row r="184" spans="1:8" x14ac:dyDescent="0.25">
      <c r="A184" s="1" t="s">
        <v>113</v>
      </c>
      <c r="B184" s="2"/>
      <c r="C184" s="2"/>
      <c r="D184" s="3"/>
      <c r="E184" s="7"/>
      <c r="F184" s="7">
        <v>28050</v>
      </c>
      <c r="G184" s="7">
        <f t="shared" si="23"/>
        <v>5329.5</v>
      </c>
      <c r="H184" s="7">
        <f t="shared" si="32"/>
        <v>33379.5</v>
      </c>
    </row>
    <row r="185" spans="1:8" x14ac:dyDescent="0.25">
      <c r="A185" s="1" t="s">
        <v>114</v>
      </c>
      <c r="B185" s="2"/>
      <c r="C185" s="2"/>
      <c r="D185" s="3"/>
      <c r="E185" s="7"/>
      <c r="F185" s="7">
        <v>28050</v>
      </c>
      <c r="G185" s="7">
        <f t="shared" si="23"/>
        <v>5329.5</v>
      </c>
      <c r="H185" s="7">
        <f t="shared" si="32"/>
        <v>33379.5</v>
      </c>
    </row>
    <row r="186" spans="1:8" x14ac:dyDescent="0.25">
      <c r="A186" s="1" t="s">
        <v>115</v>
      </c>
      <c r="B186" s="2"/>
      <c r="C186" s="2"/>
      <c r="D186" s="3"/>
      <c r="E186" s="7"/>
      <c r="F186" s="7">
        <v>28050</v>
      </c>
      <c r="G186" s="7">
        <f t="shared" si="23"/>
        <v>5329.5</v>
      </c>
      <c r="H186" s="7">
        <f t="shared" si="32"/>
        <v>33379.5</v>
      </c>
    </row>
    <row r="187" spans="1:8" x14ac:dyDescent="0.25">
      <c r="A187" s="1" t="s">
        <v>116</v>
      </c>
      <c r="B187" s="2"/>
      <c r="C187" s="2"/>
      <c r="D187" s="3"/>
      <c r="E187" s="7"/>
      <c r="F187" s="7">
        <v>32385</v>
      </c>
      <c r="G187" s="7">
        <f t="shared" si="23"/>
        <v>6153.15</v>
      </c>
      <c r="H187" s="7">
        <f t="shared" si="32"/>
        <v>38538.15</v>
      </c>
    </row>
    <row r="188" spans="1:8" x14ac:dyDescent="0.25">
      <c r="A188" s="1" t="s">
        <v>228</v>
      </c>
      <c r="B188" s="2"/>
      <c r="C188" s="2"/>
      <c r="D188" s="3"/>
      <c r="E188" s="7"/>
      <c r="F188" s="7">
        <v>350000</v>
      </c>
      <c r="G188" s="7">
        <f t="shared" si="23"/>
        <v>66500</v>
      </c>
      <c r="H188" s="7">
        <f t="shared" si="32"/>
        <v>416500</v>
      </c>
    </row>
    <row r="189" spans="1:8" x14ac:dyDescent="0.25">
      <c r="A189" s="1" t="s">
        <v>373</v>
      </c>
      <c r="B189" s="2"/>
      <c r="C189" s="2"/>
      <c r="D189" s="3" t="s">
        <v>374</v>
      </c>
      <c r="E189" s="7"/>
      <c r="F189" s="7">
        <v>4662</v>
      </c>
      <c r="G189" s="7">
        <f t="shared" si="23"/>
        <v>885.78</v>
      </c>
      <c r="H189" s="15">
        <f t="shared" si="32"/>
        <v>5547.78</v>
      </c>
    </row>
    <row r="190" spans="1:8" x14ac:dyDescent="0.25">
      <c r="A190" s="1" t="s">
        <v>373</v>
      </c>
      <c r="B190" s="2"/>
      <c r="C190" s="2"/>
      <c r="D190" s="3" t="s">
        <v>375</v>
      </c>
      <c r="E190" s="7"/>
      <c r="F190" s="7">
        <v>8197</v>
      </c>
      <c r="G190" s="7">
        <f t="shared" si="23"/>
        <v>1557.43</v>
      </c>
      <c r="H190" s="15">
        <f t="shared" si="32"/>
        <v>9754.43</v>
      </c>
    </row>
    <row r="191" spans="1:8" x14ac:dyDescent="0.25">
      <c r="A191" s="1" t="s">
        <v>107</v>
      </c>
      <c r="B191" s="2"/>
      <c r="C191" s="2"/>
      <c r="D191" s="3"/>
      <c r="E191" s="7"/>
      <c r="F191" s="7">
        <v>3600</v>
      </c>
      <c r="G191" s="7">
        <f t="shared" si="23"/>
        <v>684</v>
      </c>
      <c r="H191" s="7">
        <f t="shared" si="32"/>
        <v>4284</v>
      </c>
    </row>
    <row r="192" spans="1:8" x14ac:dyDescent="0.25">
      <c r="A192" s="1" t="s">
        <v>104</v>
      </c>
      <c r="B192" s="2"/>
      <c r="C192" s="2"/>
      <c r="D192" s="3"/>
      <c r="E192" s="7"/>
      <c r="F192" s="7">
        <v>2330</v>
      </c>
      <c r="G192" s="7">
        <f t="shared" si="23"/>
        <v>442.7</v>
      </c>
      <c r="H192" s="7">
        <f t="shared" si="32"/>
        <v>2772.7</v>
      </c>
    </row>
    <row r="193" spans="1:8" x14ac:dyDescent="0.25">
      <c r="A193" s="1" t="s">
        <v>105</v>
      </c>
      <c r="B193" s="2"/>
      <c r="C193" s="2"/>
      <c r="D193" s="3"/>
      <c r="E193" s="7"/>
      <c r="F193" s="7">
        <v>2580</v>
      </c>
      <c r="G193" s="7">
        <f t="shared" si="23"/>
        <v>490.2</v>
      </c>
      <c r="H193" s="7">
        <f t="shared" si="32"/>
        <v>3070.2</v>
      </c>
    </row>
    <row r="194" spans="1:8" x14ac:dyDescent="0.25">
      <c r="A194" s="1" t="s">
        <v>106</v>
      </c>
      <c r="B194" s="2"/>
      <c r="C194" s="2"/>
      <c r="D194" s="3"/>
      <c r="E194" s="7"/>
      <c r="F194" s="7">
        <v>2950</v>
      </c>
      <c r="G194" s="7">
        <f t="shared" ref="G194:G302" si="47">F194*0.19</f>
        <v>560.5</v>
      </c>
      <c r="H194" s="7">
        <f t="shared" si="32"/>
        <v>3510.5</v>
      </c>
    </row>
    <row r="195" spans="1:8" x14ac:dyDescent="0.25">
      <c r="A195" s="1" t="s">
        <v>108</v>
      </c>
      <c r="B195" s="2"/>
      <c r="C195" s="2"/>
      <c r="D195" s="3"/>
      <c r="E195" s="7"/>
      <c r="F195" s="7">
        <v>1900</v>
      </c>
      <c r="G195" s="7">
        <f t="shared" si="47"/>
        <v>361</v>
      </c>
      <c r="H195" s="7">
        <f t="shared" si="32"/>
        <v>2261</v>
      </c>
    </row>
    <row r="196" spans="1:8" x14ac:dyDescent="0.25">
      <c r="A196" s="1" t="s">
        <v>103</v>
      </c>
      <c r="B196" s="2"/>
      <c r="C196" s="2"/>
      <c r="D196" s="3"/>
      <c r="E196" s="7"/>
      <c r="F196" s="7">
        <v>1970</v>
      </c>
      <c r="G196" s="7">
        <f t="shared" si="47"/>
        <v>374.3</v>
      </c>
      <c r="H196" s="7">
        <f t="shared" si="32"/>
        <v>2344.3000000000002</v>
      </c>
    </row>
    <row r="197" spans="1:8" x14ac:dyDescent="0.25">
      <c r="A197" s="1" t="s">
        <v>101</v>
      </c>
      <c r="B197" s="2"/>
      <c r="C197" s="2"/>
      <c r="D197" s="3"/>
      <c r="E197" s="7"/>
      <c r="F197" s="7">
        <v>1060</v>
      </c>
      <c r="G197" s="7">
        <f t="shared" si="47"/>
        <v>201.4</v>
      </c>
      <c r="H197" s="7">
        <f t="shared" si="32"/>
        <v>1261.4000000000001</v>
      </c>
    </row>
    <row r="198" spans="1:8" x14ac:dyDescent="0.25">
      <c r="A198" s="1" t="s">
        <v>101</v>
      </c>
      <c r="B198" s="2"/>
      <c r="C198" s="2"/>
      <c r="D198" s="3"/>
      <c r="E198" s="7"/>
      <c r="F198" s="7">
        <v>1270</v>
      </c>
      <c r="G198" s="7">
        <f t="shared" si="47"/>
        <v>241.3</v>
      </c>
      <c r="H198" s="7">
        <f t="shared" si="32"/>
        <v>1511.3</v>
      </c>
    </row>
    <row r="199" spans="1:8" x14ac:dyDescent="0.25">
      <c r="A199" s="1" t="s">
        <v>101</v>
      </c>
      <c r="B199" s="2"/>
      <c r="C199" s="2"/>
      <c r="D199" s="3"/>
      <c r="E199" s="7"/>
      <c r="F199" s="7">
        <v>1620</v>
      </c>
      <c r="G199" s="7">
        <f t="shared" si="47"/>
        <v>307.8</v>
      </c>
      <c r="H199" s="7">
        <f t="shared" si="32"/>
        <v>1927.8</v>
      </c>
    </row>
    <row r="200" spans="1:8" x14ac:dyDescent="0.25">
      <c r="A200" s="1" t="s">
        <v>102</v>
      </c>
      <c r="B200" s="2"/>
      <c r="C200" s="2"/>
      <c r="D200" s="3"/>
      <c r="E200" s="7"/>
      <c r="F200" s="7">
        <v>1410</v>
      </c>
      <c r="G200" s="7">
        <f t="shared" si="47"/>
        <v>267.89999999999998</v>
      </c>
      <c r="H200" s="7">
        <f t="shared" si="32"/>
        <v>1677.9</v>
      </c>
    </row>
    <row r="201" spans="1:8" x14ac:dyDescent="0.25">
      <c r="A201" s="1" t="s">
        <v>97</v>
      </c>
      <c r="B201" s="2"/>
      <c r="C201" s="2"/>
      <c r="D201" s="3"/>
      <c r="E201" s="7"/>
      <c r="F201" s="7">
        <v>1600</v>
      </c>
      <c r="G201" s="7">
        <f t="shared" si="47"/>
        <v>304</v>
      </c>
      <c r="H201" s="7">
        <f t="shared" si="32"/>
        <v>1904</v>
      </c>
    </row>
    <row r="202" spans="1:8" x14ac:dyDescent="0.25">
      <c r="A202" s="1" t="s">
        <v>98</v>
      </c>
      <c r="B202" s="2"/>
      <c r="C202" s="2"/>
      <c r="D202" s="3"/>
      <c r="E202" s="7"/>
      <c r="F202" s="7">
        <v>1700</v>
      </c>
      <c r="G202" s="7">
        <f t="shared" si="47"/>
        <v>323</v>
      </c>
      <c r="H202" s="7">
        <f t="shared" si="32"/>
        <v>2023</v>
      </c>
    </row>
    <row r="203" spans="1:8" x14ac:dyDescent="0.25">
      <c r="A203" s="1" t="s">
        <v>99</v>
      </c>
      <c r="B203" s="2"/>
      <c r="C203" s="2"/>
      <c r="D203" s="3"/>
      <c r="E203" s="7"/>
      <c r="F203" s="7">
        <v>1870</v>
      </c>
      <c r="G203" s="7">
        <f t="shared" si="47"/>
        <v>355.3</v>
      </c>
      <c r="H203" s="7">
        <f t="shared" si="32"/>
        <v>2225.3000000000002</v>
      </c>
    </row>
    <row r="204" spans="1:8" x14ac:dyDescent="0.25">
      <c r="A204" s="1" t="s">
        <v>100</v>
      </c>
      <c r="B204" s="2"/>
      <c r="C204" s="2"/>
      <c r="D204" s="3"/>
      <c r="E204" s="7"/>
      <c r="F204" s="7">
        <v>2140</v>
      </c>
      <c r="G204" s="7">
        <f t="shared" si="47"/>
        <v>406.6</v>
      </c>
      <c r="H204" s="7">
        <f t="shared" si="32"/>
        <v>2546.6</v>
      </c>
    </row>
    <row r="205" spans="1:8" x14ac:dyDescent="0.25">
      <c r="A205" s="1" t="s">
        <v>29</v>
      </c>
      <c r="B205" s="2"/>
      <c r="C205" s="2"/>
      <c r="D205" s="3"/>
      <c r="E205" s="7"/>
      <c r="F205" s="7">
        <v>60700</v>
      </c>
      <c r="G205" s="7">
        <f t="shared" si="47"/>
        <v>11533</v>
      </c>
      <c r="H205" s="7">
        <f t="shared" si="32"/>
        <v>72233</v>
      </c>
    </row>
    <row r="206" spans="1:8" x14ac:dyDescent="0.25">
      <c r="A206" s="1" t="s">
        <v>191</v>
      </c>
      <c r="B206" s="2"/>
      <c r="C206" s="2" t="s">
        <v>194</v>
      </c>
      <c r="D206" s="3"/>
      <c r="E206" s="7"/>
      <c r="F206" s="7">
        <v>650</v>
      </c>
      <c r="G206" s="7">
        <f t="shared" si="47"/>
        <v>123.5</v>
      </c>
      <c r="H206" s="7">
        <f t="shared" si="32"/>
        <v>773.5</v>
      </c>
    </row>
    <row r="207" spans="1:8" x14ac:dyDescent="0.25">
      <c r="A207" s="1" t="s">
        <v>191</v>
      </c>
      <c r="B207" s="2"/>
      <c r="C207" s="2" t="s">
        <v>192</v>
      </c>
      <c r="D207" s="3"/>
      <c r="E207" s="7"/>
      <c r="F207" s="7">
        <v>865</v>
      </c>
      <c r="G207" s="7">
        <f t="shared" si="47"/>
        <v>164.35</v>
      </c>
      <c r="H207" s="7">
        <f t="shared" si="32"/>
        <v>1029.3499999999999</v>
      </c>
    </row>
    <row r="208" spans="1:8" x14ac:dyDescent="0.25">
      <c r="A208" s="1" t="s">
        <v>191</v>
      </c>
      <c r="B208" s="2"/>
      <c r="C208" s="2" t="s">
        <v>193</v>
      </c>
      <c r="D208" s="3"/>
      <c r="E208" s="7"/>
      <c r="F208" s="7">
        <v>1089</v>
      </c>
      <c r="G208" s="7">
        <f t="shared" si="47"/>
        <v>206.91</v>
      </c>
      <c r="H208" s="7">
        <f t="shared" si="32"/>
        <v>1295.9100000000001</v>
      </c>
    </row>
    <row r="209" spans="1:8" x14ac:dyDescent="0.25">
      <c r="A209" s="1" t="s">
        <v>191</v>
      </c>
      <c r="B209" s="2"/>
      <c r="C209" s="2" t="s">
        <v>195</v>
      </c>
      <c r="D209" s="3"/>
      <c r="E209" s="7"/>
      <c r="F209" s="7">
        <v>1547</v>
      </c>
      <c r="G209" s="7">
        <f t="shared" si="47"/>
        <v>293.93</v>
      </c>
      <c r="H209" s="7">
        <f t="shared" si="32"/>
        <v>1840.93</v>
      </c>
    </row>
    <row r="210" spans="1:8" x14ac:dyDescent="0.25">
      <c r="A210" s="1" t="s">
        <v>191</v>
      </c>
      <c r="B210" s="2"/>
      <c r="C210" s="2" t="s">
        <v>198</v>
      </c>
      <c r="D210" s="3"/>
      <c r="E210" s="7"/>
      <c r="F210" s="7">
        <v>722</v>
      </c>
      <c r="G210" s="7">
        <f t="shared" ref="G210" si="48">F210*0.19</f>
        <v>137.18</v>
      </c>
      <c r="H210" s="7">
        <f t="shared" ref="H210" si="49">F210+G210</f>
        <v>859.18000000000006</v>
      </c>
    </row>
    <row r="211" spans="1:8" x14ac:dyDescent="0.25">
      <c r="A211" s="1" t="s">
        <v>191</v>
      </c>
      <c r="B211" s="2"/>
      <c r="C211" s="2" t="s">
        <v>196</v>
      </c>
      <c r="D211" s="3"/>
      <c r="E211" s="7"/>
      <c r="F211" s="7">
        <v>973</v>
      </c>
      <c r="G211" s="7">
        <f t="shared" si="47"/>
        <v>184.87</v>
      </c>
      <c r="H211" s="7">
        <f t="shared" si="32"/>
        <v>1157.8699999999999</v>
      </c>
    </row>
    <row r="212" spans="1:8" x14ac:dyDescent="0.25">
      <c r="A212" s="1" t="s">
        <v>191</v>
      </c>
      <c r="B212" s="2"/>
      <c r="C212" s="2" t="s">
        <v>197</v>
      </c>
      <c r="D212" s="3"/>
      <c r="E212" s="7"/>
      <c r="F212" s="7">
        <v>1228</v>
      </c>
      <c r="G212" s="7">
        <f t="shared" si="47"/>
        <v>233.32</v>
      </c>
      <c r="H212" s="7">
        <f t="shared" si="32"/>
        <v>1461.32</v>
      </c>
    </row>
    <row r="213" spans="1:8" x14ac:dyDescent="0.25">
      <c r="A213" s="1" t="s">
        <v>191</v>
      </c>
      <c r="B213" s="2"/>
      <c r="C213" s="2" t="s">
        <v>212</v>
      </c>
      <c r="D213" s="3"/>
      <c r="E213" s="7"/>
      <c r="F213" s="7">
        <v>634</v>
      </c>
      <c r="G213" s="7">
        <f t="shared" ref="G213" si="50">F213*0.19</f>
        <v>120.46000000000001</v>
      </c>
      <c r="H213" s="7">
        <f t="shared" ref="H213" si="51">F213+G213</f>
        <v>754.46</v>
      </c>
    </row>
    <row r="214" spans="1:8" x14ac:dyDescent="0.25">
      <c r="A214" s="1" t="s">
        <v>191</v>
      </c>
      <c r="B214" s="2"/>
      <c r="C214" s="2" t="s">
        <v>199</v>
      </c>
      <c r="D214" s="3"/>
      <c r="E214" s="7"/>
      <c r="F214" s="7">
        <v>758</v>
      </c>
      <c r="G214" s="7">
        <f t="shared" si="47"/>
        <v>144.02000000000001</v>
      </c>
      <c r="H214" s="7">
        <f t="shared" si="32"/>
        <v>902.02</v>
      </c>
    </row>
    <row r="215" spans="1:8" x14ac:dyDescent="0.25">
      <c r="A215" s="1" t="s">
        <v>191</v>
      </c>
      <c r="B215" s="2"/>
      <c r="C215" s="2" t="s">
        <v>200</v>
      </c>
      <c r="D215" s="3"/>
      <c r="E215" s="7"/>
      <c r="F215" s="7">
        <v>984</v>
      </c>
      <c r="G215" s="7">
        <f t="shared" si="47"/>
        <v>186.96</v>
      </c>
      <c r="H215" s="7">
        <f t="shared" si="32"/>
        <v>1170.96</v>
      </c>
    </row>
    <row r="216" spans="1:8" x14ac:dyDescent="0.25">
      <c r="A216" s="1" t="s">
        <v>191</v>
      </c>
      <c r="B216" s="2"/>
      <c r="C216" s="2" t="s">
        <v>201</v>
      </c>
      <c r="D216" s="3"/>
      <c r="E216" s="7"/>
      <c r="F216" s="7">
        <v>1332</v>
      </c>
      <c r="G216" s="7">
        <f t="shared" si="47"/>
        <v>253.08</v>
      </c>
      <c r="H216" s="7">
        <f t="shared" si="32"/>
        <v>1585.08</v>
      </c>
    </row>
    <row r="217" spans="1:8" x14ac:dyDescent="0.25">
      <c r="A217" s="1" t="s">
        <v>191</v>
      </c>
      <c r="B217" s="2"/>
      <c r="C217" s="2" t="s">
        <v>202</v>
      </c>
      <c r="D217" s="3"/>
      <c r="E217" s="7"/>
      <c r="F217" s="7">
        <v>1700</v>
      </c>
      <c r="G217" s="7">
        <f t="shared" si="47"/>
        <v>323</v>
      </c>
      <c r="H217" s="7">
        <f t="shared" si="32"/>
        <v>2023</v>
      </c>
    </row>
    <row r="218" spans="1:8" x14ac:dyDescent="0.25">
      <c r="A218" s="1" t="s">
        <v>191</v>
      </c>
      <c r="B218" s="2"/>
      <c r="C218" s="2" t="s">
        <v>203</v>
      </c>
      <c r="D218" s="3"/>
      <c r="E218" s="7"/>
      <c r="F218" s="7">
        <v>718</v>
      </c>
      <c r="G218" s="7">
        <f t="shared" si="47"/>
        <v>136.41999999999999</v>
      </c>
      <c r="H218" s="7">
        <f t="shared" si="32"/>
        <v>854.42</v>
      </c>
    </row>
    <row r="219" spans="1:8" x14ac:dyDescent="0.25">
      <c r="A219" s="1" t="s">
        <v>191</v>
      </c>
      <c r="B219" s="2"/>
      <c r="C219" s="2" t="s">
        <v>204</v>
      </c>
      <c r="D219" s="3"/>
      <c r="E219" s="7"/>
      <c r="F219" s="7">
        <v>868</v>
      </c>
      <c r="G219" s="7">
        <f t="shared" si="47"/>
        <v>164.92000000000002</v>
      </c>
      <c r="H219" s="7">
        <f t="shared" si="32"/>
        <v>1032.92</v>
      </c>
    </row>
    <row r="220" spans="1:8" x14ac:dyDescent="0.25">
      <c r="A220" s="1" t="s">
        <v>191</v>
      </c>
      <c r="B220" s="2"/>
      <c r="C220" s="2" t="s">
        <v>205</v>
      </c>
      <c r="D220" s="3"/>
      <c r="E220" s="7"/>
      <c r="F220" s="7">
        <v>1240</v>
      </c>
      <c r="G220" s="7">
        <f t="shared" si="47"/>
        <v>235.6</v>
      </c>
      <c r="H220" s="7">
        <f t="shared" si="32"/>
        <v>1475.6</v>
      </c>
    </row>
    <row r="221" spans="1:8" x14ac:dyDescent="0.25">
      <c r="A221" s="1" t="s">
        <v>191</v>
      </c>
      <c r="B221" s="2"/>
      <c r="C221" s="2" t="s">
        <v>206</v>
      </c>
      <c r="D221" s="3"/>
      <c r="E221" s="7"/>
      <c r="F221" s="7">
        <v>1609</v>
      </c>
      <c r="G221" s="7">
        <f t="shared" si="47"/>
        <v>305.70999999999998</v>
      </c>
      <c r="H221" s="7">
        <f t="shared" si="32"/>
        <v>1914.71</v>
      </c>
    </row>
    <row r="222" spans="1:8" x14ac:dyDescent="0.25">
      <c r="A222" s="1" t="s">
        <v>191</v>
      </c>
      <c r="B222" s="2"/>
      <c r="C222" s="2" t="s">
        <v>207</v>
      </c>
      <c r="D222" s="3"/>
      <c r="E222" s="7"/>
      <c r="F222" s="7">
        <v>2334</v>
      </c>
      <c r="G222" s="7">
        <f t="shared" si="47"/>
        <v>443.46</v>
      </c>
      <c r="H222" s="7">
        <f t="shared" si="32"/>
        <v>2777.46</v>
      </c>
    </row>
    <row r="223" spans="1:8" x14ac:dyDescent="0.25">
      <c r="A223" s="1" t="s">
        <v>191</v>
      </c>
      <c r="B223" s="2"/>
      <c r="C223" s="2" t="s">
        <v>208</v>
      </c>
      <c r="D223" s="3"/>
      <c r="E223" s="7"/>
      <c r="F223" s="7">
        <v>1254</v>
      </c>
      <c r="G223" s="7">
        <f t="shared" si="47"/>
        <v>238.26</v>
      </c>
      <c r="H223" s="7">
        <f t="shared" si="32"/>
        <v>1492.26</v>
      </c>
    </row>
    <row r="224" spans="1:8" x14ac:dyDescent="0.25">
      <c r="A224" s="1" t="s">
        <v>191</v>
      </c>
      <c r="B224" s="2"/>
      <c r="C224" s="2" t="s">
        <v>209</v>
      </c>
      <c r="D224" s="3"/>
      <c r="E224" s="7"/>
      <c r="F224" s="7">
        <v>1787</v>
      </c>
      <c r="G224" s="7">
        <f t="shared" si="47"/>
        <v>339.53000000000003</v>
      </c>
      <c r="H224" s="7">
        <f t="shared" si="32"/>
        <v>2126.5300000000002</v>
      </c>
    </row>
    <row r="225" spans="1:8" x14ac:dyDescent="0.25">
      <c r="A225" s="1" t="s">
        <v>191</v>
      </c>
      <c r="B225" s="2"/>
      <c r="C225" s="2" t="s">
        <v>210</v>
      </c>
      <c r="D225" s="3"/>
      <c r="E225" s="7"/>
      <c r="F225" s="7">
        <v>2334</v>
      </c>
      <c r="G225" s="7">
        <f t="shared" si="47"/>
        <v>443.46</v>
      </c>
      <c r="H225" s="7">
        <f t="shared" si="32"/>
        <v>2777.46</v>
      </c>
    </row>
    <row r="226" spans="1:8" x14ac:dyDescent="0.25">
      <c r="A226" s="1" t="s">
        <v>191</v>
      </c>
      <c r="B226" s="2"/>
      <c r="C226" s="2" t="s">
        <v>211</v>
      </c>
      <c r="D226" s="3"/>
      <c r="E226" s="7"/>
      <c r="F226" s="7">
        <v>3331</v>
      </c>
      <c r="G226" s="7">
        <f t="shared" si="47"/>
        <v>632.89</v>
      </c>
      <c r="H226" s="7">
        <f t="shared" si="32"/>
        <v>3963.89</v>
      </c>
    </row>
    <row r="227" spans="1:8" x14ac:dyDescent="0.25">
      <c r="A227" s="1" t="s">
        <v>191</v>
      </c>
      <c r="B227" s="2"/>
      <c r="C227" s="2" t="s">
        <v>213</v>
      </c>
      <c r="D227" s="3"/>
      <c r="E227" s="7"/>
      <c r="F227" s="7">
        <v>3299</v>
      </c>
      <c r="G227" s="7">
        <f t="shared" si="47"/>
        <v>626.81000000000006</v>
      </c>
      <c r="H227" s="7">
        <f t="shared" si="32"/>
        <v>3925.81</v>
      </c>
    </row>
    <row r="228" spans="1:8" x14ac:dyDescent="0.25">
      <c r="A228" s="1" t="s">
        <v>191</v>
      </c>
      <c r="B228" s="2"/>
      <c r="C228" s="2" t="s">
        <v>214</v>
      </c>
      <c r="D228" s="3"/>
      <c r="E228" s="7"/>
      <c r="F228" s="7">
        <v>3722</v>
      </c>
      <c r="G228" s="7">
        <f t="shared" si="47"/>
        <v>707.18000000000006</v>
      </c>
      <c r="H228" s="7">
        <f t="shared" si="32"/>
        <v>4429.18</v>
      </c>
    </row>
    <row r="229" spans="1:8" x14ac:dyDescent="0.25">
      <c r="A229" s="1" t="s">
        <v>191</v>
      </c>
      <c r="B229" s="2"/>
      <c r="C229" s="2" t="s">
        <v>215</v>
      </c>
      <c r="D229" s="3"/>
      <c r="E229" s="7"/>
      <c r="F229" s="7">
        <v>6539</v>
      </c>
      <c r="G229" s="7">
        <f t="shared" si="47"/>
        <v>1242.4100000000001</v>
      </c>
      <c r="H229" s="7">
        <f t="shared" si="32"/>
        <v>7781.41</v>
      </c>
    </row>
    <row r="230" spans="1:8" x14ac:dyDescent="0.25">
      <c r="A230" s="1" t="s">
        <v>191</v>
      </c>
      <c r="B230" s="2"/>
      <c r="C230" s="2" t="s">
        <v>216</v>
      </c>
      <c r="D230" s="3"/>
      <c r="E230" s="7"/>
      <c r="F230" s="7">
        <v>3584</v>
      </c>
      <c r="G230" s="7">
        <f t="shared" si="47"/>
        <v>680.96</v>
      </c>
      <c r="H230" s="7">
        <f t="shared" si="32"/>
        <v>4264.96</v>
      </c>
    </row>
    <row r="231" spans="1:8" x14ac:dyDescent="0.25">
      <c r="A231" s="1" t="s">
        <v>191</v>
      </c>
      <c r="B231" s="2"/>
      <c r="C231" s="2" t="s">
        <v>217</v>
      </c>
      <c r="D231" s="3"/>
      <c r="E231" s="7"/>
      <c r="F231" s="7">
        <v>4594</v>
      </c>
      <c r="G231" s="7">
        <f t="shared" si="47"/>
        <v>872.86</v>
      </c>
      <c r="H231" s="7">
        <f t="shared" si="32"/>
        <v>5466.86</v>
      </c>
    </row>
    <row r="232" spans="1:8" x14ac:dyDescent="0.25">
      <c r="A232" s="1" t="s">
        <v>191</v>
      </c>
      <c r="B232" s="2"/>
      <c r="C232" s="2" t="s">
        <v>218</v>
      </c>
      <c r="D232" s="3"/>
      <c r="E232" s="7"/>
      <c r="F232" s="7">
        <v>6607</v>
      </c>
      <c r="G232" s="7">
        <f t="shared" si="47"/>
        <v>1255.33</v>
      </c>
      <c r="H232" s="7">
        <f t="shared" si="32"/>
        <v>7862.33</v>
      </c>
    </row>
    <row r="233" spans="1:8" x14ac:dyDescent="0.25">
      <c r="A233" s="1" t="s">
        <v>191</v>
      </c>
      <c r="B233" s="2"/>
      <c r="C233" s="2" t="s">
        <v>219</v>
      </c>
      <c r="D233" s="3"/>
      <c r="E233" s="7"/>
      <c r="F233" s="7">
        <v>16983</v>
      </c>
      <c r="G233" s="7">
        <f t="shared" si="47"/>
        <v>3226.77</v>
      </c>
      <c r="H233" s="7">
        <f t="shared" si="32"/>
        <v>20209.77</v>
      </c>
    </row>
    <row r="234" spans="1:8" x14ac:dyDescent="0.25">
      <c r="A234" s="1" t="s">
        <v>275</v>
      </c>
      <c r="B234" s="2"/>
      <c r="C234" s="2"/>
      <c r="D234" s="3" t="s">
        <v>276</v>
      </c>
      <c r="E234" s="7"/>
      <c r="F234" s="7">
        <v>13728</v>
      </c>
      <c r="G234" s="7">
        <f t="shared" si="47"/>
        <v>2608.3200000000002</v>
      </c>
      <c r="H234" s="7">
        <f t="shared" si="32"/>
        <v>16336.32</v>
      </c>
    </row>
    <row r="235" spans="1:8" x14ac:dyDescent="0.25">
      <c r="A235" s="1" t="s">
        <v>275</v>
      </c>
      <c r="B235" s="2"/>
      <c r="C235" s="2"/>
      <c r="D235" s="3" t="s">
        <v>277</v>
      </c>
      <c r="E235" s="7"/>
      <c r="F235" s="7">
        <v>21573</v>
      </c>
      <c r="G235" s="7">
        <f t="shared" si="47"/>
        <v>4098.87</v>
      </c>
      <c r="H235" s="7">
        <f t="shared" si="32"/>
        <v>25671.87</v>
      </c>
    </row>
    <row r="236" spans="1:8" x14ac:dyDescent="0.25">
      <c r="A236" s="1" t="s">
        <v>275</v>
      </c>
      <c r="B236" s="2"/>
      <c r="C236" s="2"/>
      <c r="D236" s="3" t="s">
        <v>278</v>
      </c>
      <c r="E236" s="7"/>
      <c r="F236" s="7">
        <v>63536</v>
      </c>
      <c r="G236" s="7">
        <f t="shared" si="47"/>
        <v>12071.84</v>
      </c>
      <c r="H236" s="7">
        <f t="shared" si="32"/>
        <v>75607.839999999997</v>
      </c>
    </row>
    <row r="237" spans="1:8" x14ac:dyDescent="0.25">
      <c r="A237" s="1" t="s">
        <v>227</v>
      </c>
      <c r="B237" s="2"/>
      <c r="C237" s="2"/>
      <c r="D237" s="3"/>
      <c r="E237" s="7"/>
      <c r="F237" s="7">
        <v>34350</v>
      </c>
      <c r="G237" s="7">
        <f t="shared" si="47"/>
        <v>6526.5</v>
      </c>
      <c r="H237" s="7">
        <f t="shared" si="32"/>
        <v>40876.5</v>
      </c>
    </row>
    <row r="238" spans="1:8" x14ac:dyDescent="0.25">
      <c r="A238" s="1" t="s">
        <v>322</v>
      </c>
      <c r="B238" s="2"/>
      <c r="C238" s="2"/>
      <c r="D238" s="3" t="s">
        <v>324</v>
      </c>
      <c r="E238" s="7"/>
      <c r="F238" s="7">
        <v>4884</v>
      </c>
      <c r="G238" s="7">
        <f t="shared" si="47"/>
        <v>927.96</v>
      </c>
      <c r="H238" s="7">
        <f t="shared" si="32"/>
        <v>5811.96</v>
      </c>
    </row>
    <row r="239" spans="1:8" x14ac:dyDescent="0.25">
      <c r="A239" s="1" t="s">
        <v>322</v>
      </c>
      <c r="B239" s="2"/>
      <c r="C239" s="2"/>
      <c r="D239" s="3" t="s">
        <v>323</v>
      </c>
      <c r="E239" s="7"/>
      <c r="F239" s="7">
        <v>5984</v>
      </c>
      <c r="G239" s="7">
        <f t="shared" ref="G239" si="52">F239*0.19</f>
        <v>1136.96</v>
      </c>
      <c r="H239" s="7">
        <f t="shared" ref="H239" si="53">F239+G239</f>
        <v>7120.96</v>
      </c>
    </row>
    <row r="240" spans="1:8" x14ac:dyDescent="0.25">
      <c r="A240" s="1" t="s">
        <v>30</v>
      </c>
      <c r="B240" s="2"/>
      <c r="C240" s="2"/>
      <c r="D240" s="3"/>
      <c r="E240" s="7"/>
      <c r="F240" s="7">
        <v>17010</v>
      </c>
      <c r="G240" s="7">
        <f t="shared" si="47"/>
        <v>3231.9</v>
      </c>
      <c r="H240" s="7">
        <f t="shared" si="32"/>
        <v>20241.900000000001</v>
      </c>
    </row>
    <row r="241" spans="1:10" x14ac:dyDescent="0.25">
      <c r="A241" s="1" t="s">
        <v>329</v>
      </c>
      <c r="B241" s="2"/>
      <c r="C241" s="2"/>
      <c r="D241" s="3" t="s">
        <v>154</v>
      </c>
      <c r="E241" s="7"/>
      <c r="F241" s="7">
        <v>1858</v>
      </c>
      <c r="G241" s="15">
        <f t="shared" si="47"/>
        <v>353.02</v>
      </c>
      <c r="H241" s="15">
        <f t="shared" si="32"/>
        <v>2211.02</v>
      </c>
    </row>
    <row r="242" spans="1:10" x14ac:dyDescent="0.25">
      <c r="A242" s="1" t="s">
        <v>330</v>
      </c>
      <c r="B242" s="2"/>
      <c r="C242" s="2"/>
      <c r="D242" s="3" t="s">
        <v>122</v>
      </c>
      <c r="E242" s="7"/>
      <c r="F242" s="7">
        <v>49544</v>
      </c>
      <c r="G242" s="15">
        <f t="shared" si="47"/>
        <v>9413.36</v>
      </c>
      <c r="H242" s="15">
        <f t="shared" si="32"/>
        <v>58957.36</v>
      </c>
    </row>
    <row r="243" spans="1:10" x14ac:dyDescent="0.25">
      <c r="A243" s="1" t="s">
        <v>80</v>
      </c>
      <c r="B243" s="2"/>
      <c r="C243" s="2"/>
      <c r="D243" s="3"/>
      <c r="E243" s="7"/>
      <c r="F243" s="7">
        <v>11642.3</v>
      </c>
      <c r="G243" s="7">
        <f t="shared" si="47"/>
        <v>2212.0369999999998</v>
      </c>
      <c r="H243" s="7">
        <f t="shared" si="32"/>
        <v>13854.337</v>
      </c>
    </row>
    <row r="244" spans="1:10" x14ac:dyDescent="0.25">
      <c r="A244" s="1" t="s">
        <v>262</v>
      </c>
      <c r="B244" s="2"/>
      <c r="C244" s="2"/>
      <c r="D244" s="3"/>
      <c r="E244" s="7" t="s">
        <v>263</v>
      </c>
      <c r="F244" s="7">
        <v>52500</v>
      </c>
      <c r="G244" s="7">
        <f t="shared" si="47"/>
        <v>9975</v>
      </c>
      <c r="H244" s="7">
        <f t="shared" si="32"/>
        <v>62475</v>
      </c>
    </row>
    <row r="245" spans="1:10" x14ac:dyDescent="0.25">
      <c r="A245" s="1" t="s">
        <v>51</v>
      </c>
      <c r="B245" s="2"/>
      <c r="C245" s="2"/>
      <c r="D245" s="3"/>
      <c r="E245" s="13" t="s">
        <v>50</v>
      </c>
      <c r="F245" s="7">
        <v>19442</v>
      </c>
      <c r="G245" s="7">
        <f t="shared" si="47"/>
        <v>3693.98</v>
      </c>
      <c r="H245" s="7">
        <f t="shared" si="32"/>
        <v>23135.98</v>
      </c>
    </row>
    <row r="246" spans="1:10" x14ac:dyDescent="0.25">
      <c r="A246" s="1" t="s">
        <v>293</v>
      </c>
      <c r="B246" s="2"/>
      <c r="C246" s="2"/>
      <c r="D246" s="3" t="s">
        <v>155</v>
      </c>
      <c r="E246" s="13"/>
      <c r="F246" s="7">
        <v>1300</v>
      </c>
      <c r="G246" s="7">
        <f t="shared" si="47"/>
        <v>247</v>
      </c>
      <c r="H246" s="7">
        <f t="shared" si="32"/>
        <v>1547</v>
      </c>
    </row>
    <row r="247" spans="1:10" x14ac:dyDescent="0.25">
      <c r="A247" s="1" t="s">
        <v>293</v>
      </c>
      <c r="B247" s="2"/>
      <c r="C247" s="2"/>
      <c r="D247" s="3" t="s">
        <v>123</v>
      </c>
      <c r="E247" s="13"/>
      <c r="F247" s="7">
        <v>1500</v>
      </c>
      <c r="G247" s="7">
        <f t="shared" si="47"/>
        <v>285</v>
      </c>
      <c r="H247" s="7">
        <f t="shared" si="32"/>
        <v>1785</v>
      </c>
    </row>
    <row r="248" spans="1:10" x14ac:dyDescent="0.25">
      <c r="A248" s="1" t="s">
        <v>293</v>
      </c>
      <c r="B248" s="2"/>
      <c r="C248" s="2"/>
      <c r="D248" s="3" t="s">
        <v>156</v>
      </c>
      <c r="E248" s="13"/>
      <c r="F248" s="7">
        <v>2400</v>
      </c>
      <c r="G248" s="7">
        <f t="shared" si="47"/>
        <v>456</v>
      </c>
      <c r="H248" s="7">
        <f t="shared" si="32"/>
        <v>2856</v>
      </c>
    </row>
    <row r="249" spans="1:10" x14ac:dyDescent="0.25">
      <c r="A249" s="1" t="s">
        <v>293</v>
      </c>
      <c r="B249" s="2"/>
      <c r="C249" s="2"/>
      <c r="D249" s="3" t="s">
        <v>125</v>
      </c>
      <c r="E249" s="13"/>
      <c r="F249" s="7">
        <v>2932</v>
      </c>
      <c r="G249" s="7">
        <f t="shared" ref="G249" si="54">F249*0.19</f>
        <v>557.08000000000004</v>
      </c>
      <c r="H249" s="7">
        <f t="shared" ref="H249" si="55">F249+G249</f>
        <v>3489.08</v>
      </c>
    </row>
    <row r="250" spans="1:10" x14ac:dyDescent="0.25">
      <c r="A250" s="1" t="s">
        <v>295</v>
      </c>
      <c r="B250" s="2"/>
      <c r="C250" s="2"/>
      <c r="D250" s="3" t="s">
        <v>122</v>
      </c>
      <c r="E250" s="7"/>
      <c r="F250" s="7">
        <v>41000</v>
      </c>
      <c r="G250" s="7">
        <f t="shared" si="47"/>
        <v>7790</v>
      </c>
      <c r="H250" s="7">
        <f t="shared" si="32"/>
        <v>48790</v>
      </c>
    </row>
    <row r="251" spans="1:10" x14ac:dyDescent="0.25">
      <c r="A251" s="1" t="s">
        <v>296</v>
      </c>
      <c r="B251" s="2"/>
      <c r="C251" s="2"/>
      <c r="D251" s="3" t="s">
        <v>123</v>
      </c>
      <c r="E251" s="7"/>
      <c r="F251" s="7">
        <v>45990</v>
      </c>
      <c r="G251" s="7">
        <f t="shared" si="47"/>
        <v>8738.1</v>
      </c>
      <c r="H251" s="7">
        <f t="shared" si="32"/>
        <v>54728.1</v>
      </c>
    </row>
    <row r="252" spans="1:10" x14ac:dyDescent="0.25">
      <c r="A252" s="1" t="s">
        <v>121</v>
      </c>
      <c r="B252" s="2"/>
      <c r="D252" s="2" t="s">
        <v>122</v>
      </c>
      <c r="E252" s="7"/>
      <c r="F252" s="7">
        <v>2250</v>
      </c>
      <c r="G252" s="7">
        <f t="shared" si="47"/>
        <v>427.5</v>
      </c>
      <c r="H252" s="7">
        <f t="shared" si="32"/>
        <v>2677.5</v>
      </c>
    </row>
    <row r="253" spans="1:10" x14ac:dyDescent="0.25">
      <c r="A253" s="1" t="s">
        <v>121</v>
      </c>
      <c r="B253" s="2"/>
      <c r="D253" s="2" t="s">
        <v>123</v>
      </c>
      <c r="E253" s="7"/>
      <c r="F253" s="7">
        <v>3330</v>
      </c>
      <c r="G253" s="7">
        <f t="shared" si="47"/>
        <v>632.70000000000005</v>
      </c>
      <c r="H253" s="7">
        <f t="shared" si="32"/>
        <v>3962.7</v>
      </c>
    </row>
    <row r="254" spans="1:10" x14ac:dyDescent="0.25">
      <c r="A254" s="1" t="s">
        <v>121</v>
      </c>
      <c r="B254" s="2"/>
      <c r="D254" s="2" t="s">
        <v>124</v>
      </c>
      <c r="E254" s="7"/>
      <c r="F254" s="7">
        <v>7020</v>
      </c>
      <c r="G254" s="7">
        <f t="shared" si="47"/>
        <v>1333.8</v>
      </c>
      <c r="H254" s="7">
        <f t="shared" si="32"/>
        <v>8353.7999999999993</v>
      </c>
    </row>
    <row r="255" spans="1:10" x14ac:dyDescent="0.25">
      <c r="A255" s="1" t="s">
        <v>121</v>
      </c>
      <c r="B255" s="2"/>
      <c r="D255" s="2" t="s">
        <v>125</v>
      </c>
      <c r="E255" s="7"/>
      <c r="F255" s="7">
        <v>13563</v>
      </c>
      <c r="G255" s="7">
        <f t="shared" si="47"/>
        <v>2576.9700000000003</v>
      </c>
      <c r="H255" s="7">
        <f t="shared" si="32"/>
        <v>16139.970000000001</v>
      </c>
      <c r="J255" t="s">
        <v>294</v>
      </c>
    </row>
    <row r="256" spans="1:10" x14ac:dyDescent="0.25">
      <c r="A256" s="1" t="s">
        <v>310</v>
      </c>
      <c r="B256" s="2"/>
      <c r="C256" s="2"/>
      <c r="D256" s="3" t="s">
        <v>122</v>
      </c>
      <c r="E256" s="7"/>
      <c r="F256" s="7">
        <v>7924.55</v>
      </c>
      <c r="G256" s="7">
        <f t="shared" si="47"/>
        <v>1505.6645000000001</v>
      </c>
      <c r="H256" s="7">
        <f t="shared" si="32"/>
        <v>9430.2145</v>
      </c>
    </row>
    <row r="257" spans="1:8" x14ac:dyDescent="0.25">
      <c r="A257" s="1" t="s">
        <v>297</v>
      </c>
      <c r="B257" s="2"/>
      <c r="C257" s="2"/>
      <c r="D257" s="3" t="s">
        <v>242</v>
      </c>
      <c r="E257" s="7"/>
      <c r="F257" s="7">
        <v>1911</v>
      </c>
      <c r="G257" s="7">
        <f t="shared" si="47"/>
        <v>363.09000000000003</v>
      </c>
      <c r="H257" s="7">
        <f t="shared" si="32"/>
        <v>2274.09</v>
      </c>
    </row>
    <row r="258" spans="1:8" x14ac:dyDescent="0.25">
      <c r="A258" s="1" t="s">
        <v>297</v>
      </c>
      <c r="B258" s="2"/>
      <c r="C258" s="2"/>
      <c r="D258" s="3" t="s">
        <v>241</v>
      </c>
      <c r="E258" s="7"/>
      <c r="F258" s="7">
        <v>1906</v>
      </c>
      <c r="G258" s="7">
        <f t="shared" si="47"/>
        <v>362.14</v>
      </c>
      <c r="H258" s="7">
        <f t="shared" si="32"/>
        <v>2268.14</v>
      </c>
    </row>
    <row r="259" spans="1:8" x14ac:dyDescent="0.25">
      <c r="A259" s="1" t="s">
        <v>297</v>
      </c>
      <c r="B259" s="2"/>
      <c r="C259" s="2"/>
      <c r="D259" s="3" t="s">
        <v>151</v>
      </c>
      <c r="E259" s="7"/>
      <c r="F259" s="7">
        <v>2182</v>
      </c>
      <c r="G259" s="7">
        <f t="shared" si="47"/>
        <v>414.58</v>
      </c>
      <c r="H259" s="7">
        <f t="shared" si="32"/>
        <v>2596.58</v>
      </c>
    </row>
    <row r="260" spans="1:8" x14ac:dyDescent="0.25">
      <c r="A260" s="1" t="s">
        <v>297</v>
      </c>
      <c r="B260" s="2"/>
      <c r="C260" s="2"/>
      <c r="D260" s="3" t="s">
        <v>153</v>
      </c>
      <c r="E260" s="7"/>
      <c r="F260" s="7">
        <v>2591</v>
      </c>
      <c r="G260" s="7">
        <f t="shared" si="47"/>
        <v>492.29</v>
      </c>
      <c r="H260" s="7">
        <f t="shared" si="32"/>
        <v>3083.29</v>
      </c>
    </row>
    <row r="261" spans="1:8" x14ac:dyDescent="0.25">
      <c r="A261" s="1" t="s">
        <v>297</v>
      </c>
      <c r="B261" s="2"/>
      <c r="C261" s="2"/>
      <c r="D261" s="3" t="s">
        <v>154</v>
      </c>
      <c r="E261" s="7"/>
      <c r="F261" s="7">
        <v>4153</v>
      </c>
      <c r="G261" s="7">
        <f t="shared" si="47"/>
        <v>789.07</v>
      </c>
      <c r="H261" s="7">
        <f t="shared" si="32"/>
        <v>4942.07</v>
      </c>
    </row>
    <row r="262" spans="1:8" x14ac:dyDescent="0.25">
      <c r="A262" s="1" t="s">
        <v>297</v>
      </c>
      <c r="B262" s="2"/>
      <c r="C262" s="2"/>
      <c r="D262" s="3" t="s">
        <v>155</v>
      </c>
      <c r="E262" s="7"/>
      <c r="F262" s="7">
        <v>5926</v>
      </c>
      <c r="G262" s="7">
        <f t="shared" si="47"/>
        <v>1125.94</v>
      </c>
      <c r="H262" s="7">
        <f t="shared" si="32"/>
        <v>7051.9400000000005</v>
      </c>
    </row>
    <row r="263" spans="1:8" x14ac:dyDescent="0.25">
      <c r="A263" s="1" t="s">
        <v>297</v>
      </c>
      <c r="B263" s="2"/>
      <c r="C263" s="2"/>
      <c r="D263" s="3" t="s">
        <v>122</v>
      </c>
      <c r="E263" s="7"/>
      <c r="F263" s="7">
        <v>7084</v>
      </c>
      <c r="G263" s="7">
        <f t="shared" si="47"/>
        <v>1345.96</v>
      </c>
      <c r="H263" s="7">
        <f t="shared" si="32"/>
        <v>8429.9599999999991</v>
      </c>
    </row>
    <row r="264" spans="1:8" x14ac:dyDescent="0.25">
      <c r="A264" s="1" t="s">
        <v>297</v>
      </c>
      <c r="B264" s="2"/>
      <c r="C264" s="2"/>
      <c r="D264" s="3" t="s">
        <v>123</v>
      </c>
      <c r="E264" s="7"/>
      <c r="F264" s="7">
        <v>10621</v>
      </c>
      <c r="G264" s="7">
        <f t="shared" si="47"/>
        <v>2017.99</v>
      </c>
      <c r="H264" s="7">
        <f t="shared" si="32"/>
        <v>12638.99</v>
      </c>
    </row>
    <row r="265" spans="1:8" x14ac:dyDescent="0.25">
      <c r="A265" s="1" t="s">
        <v>297</v>
      </c>
      <c r="B265" s="2"/>
      <c r="C265" s="2"/>
      <c r="D265" s="3" t="s">
        <v>124</v>
      </c>
      <c r="E265" s="7"/>
      <c r="F265" s="7">
        <v>28256</v>
      </c>
      <c r="G265" s="7">
        <f t="shared" si="47"/>
        <v>5368.64</v>
      </c>
      <c r="H265" s="7">
        <f t="shared" si="32"/>
        <v>33624.639999999999</v>
      </c>
    </row>
    <row r="266" spans="1:8" x14ac:dyDescent="0.25">
      <c r="A266" s="1" t="s">
        <v>297</v>
      </c>
      <c r="B266" s="2"/>
      <c r="C266" s="2"/>
      <c r="D266" s="3" t="s">
        <v>125</v>
      </c>
      <c r="E266" s="7"/>
      <c r="F266" s="7">
        <v>53380</v>
      </c>
      <c r="G266" s="7">
        <f t="shared" si="47"/>
        <v>10142.200000000001</v>
      </c>
      <c r="H266" s="7">
        <f t="shared" si="32"/>
        <v>63522.2</v>
      </c>
    </row>
    <row r="267" spans="1:8" x14ac:dyDescent="0.25">
      <c r="A267" s="1" t="s">
        <v>298</v>
      </c>
      <c r="B267" s="2"/>
      <c r="C267" s="2"/>
      <c r="D267" s="3" t="s">
        <v>242</v>
      </c>
      <c r="E267" s="7"/>
      <c r="F267" s="7">
        <v>1709</v>
      </c>
      <c r="G267" s="7">
        <f t="shared" si="47"/>
        <v>324.70999999999998</v>
      </c>
      <c r="H267" s="7">
        <f t="shared" si="32"/>
        <v>2033.71</v>
      </c>
    </row>
    <row r="268" spans="1:8" x14ac:dyDescent="0.25">
      <c r="A268" s="1" t="s">
        <v>298</v>
      </c>
      <c r="B268" s="2"/>
      <c r="C268" s="2"/>
      <c r="D268" s="3" t="s">
        <v>241</v>
      </c>
      <c r="E268" s="7"/>
      <c r="F268" s="7">
        <v>1704</v>
      </c>
      <c r="G268" s="7">
        <f t="shared" si="47"/>
        <v>323.76</v>
      </c>
      <c r="H268" s="7">
        <f t="shared" si="32"/>
        <v>2027.76</v>
      </c>
    </row>
    <row r="269" spans="1:8" x14ac:dyDescent="0.25">
      <c r="A269" s="1" t="s">
        <v>298</v>
      </c>
      <c r="B269" s="2"/>
      <c r="C269" s="2"/>
      <c r="D269" s="3" t="s">
        <v>151</v>
      </c>
      <c r="E269" s="7"/>
      <c r="F269" s="7">
        <v>1906</v>
      </c>
      <c r="G269" s="7">
        <f t="shared" si="47"/>
        <v>362.14</v>
      </c>
      <c r="H269" s="7">
        <f t="shared" si="32"/>
        <v>2268.14</v>
      </c>
    </row>
    <row r="270" spans="1:8" x14ac:dyDescent="0.25">
      <c r="A270" s="1" t="s">
        <v>298</v>
      </c>
      <c r="B270" s="2"/>
      <c r="C270" s="2"/>
      <c r="D270" s="3" t="s">
        <v>153</v>
      </c>
      <c r="E270" s="7"/>
      <c r="F270" s="7">
        <v>2247</v>
      </c>
      <c r="G270" s="7">
        <f t="shared" si="47"/>
        <v>426.93</v>
      </c>
      <c r="H270" s="7">
        <f t="shared" si="32"/>
        <v>2673.93</v>
      </c>
    </row>
    <row r="271" spans="1:8" x14ac:dyDescent="0.25">
      <c r="A271" s="1" t="s">
        <v>298</v>
      </c>
      <c r="B271" s="2"/>
      <c r="C271" s="2"/>
      <c r="D271" s="3" t="s">
        <v>154</v>
      </c>
      <c r="E271" s="7"/>
      <c r="F271" s="7">
        <v>3271</v>
      </c>
      <c r="G271" s="7">
        <f t="shared" si="47"/>
        <v>621.49</v>
      </c>
      <c r="H271" s="7">
        <f t="shared" si="32"/>
        <v>3892.49</v>
      </c>
    </row>
    <row r="272" spans="1:8" x14ac:dyDescent="0.25">
      <c r="A272" s="1" t="s">
        <v>298</v>
      </c>
      <c r="B272" s="2"/>
      <c r="C272" s="2"/>
      <c r="D272" s="3" t="s">
        <v>155</v>
      </c>
      <c r="E272" s="7"/>
      <c r="F272" s="7">
        <v>5177</v>
      </c>
      <c r="G272" s="7">
        <f t="shared" si="47"/>
        <v>983.63</v>
      </c>
      <c r="H272" s="7">
        <f t="shared" si="32"/>
        <v>6160.63</v>
      </c>
    </row>
    <row r="273" spans="1:8" x14ac:dyDescent="0.25">
      <c r="A273" s="1" t="s">
        <v>298</v>
      </c>
      <c r="B273" s="2"/>
      <c r="C273" s="2"/>
      <c r="D273" s="3" t="s">
        <v>122</v>
      </c>
      <c r="E273" s="7"/>
      <c r="F273" s="7">
        <v>6404</v>
      </c>
      <c r="G273" s="7">
        <f t="shared" si="47"/>
        <v>1216.76</v>
      </c>
      <c r="H273" s="7">
        <f t="shared" si="32"/>
        <v>7620.76</v>
      </c>
    </row>
    <row r="274" spans="1:8" x14ac:dyDescent="0.25">
      <c r="A274" s="1" t="s">
        <v>298</v>
      </c>
      <c r="B274" s="2"/>
      <c r="C274" s="2"/>
      <c r="D274" s="3" t="s">
        <v>123</v>
      </c>
      <c r="E274" s="7"/>
      <c r="F274" s="7">
        <v>9611</v>
      </c>
      <c r="G274" s="7">
        <f t="shared" si="47"/>
        <v>1826.09</v>
      </c>
      <c r="H274" s="7">
        <f t="shared" si="32"/>
        <v>11437.09</v>
      </c>
    </row>
    <row r="275" spans="1:8" x14ac:dyDescent="0.25">
      <c r="A275" s="1" t="s">
        <v>298</v>
      </c>
      <c r="B275" s="2"/>
      <c r="C275" s="2"/>
      <c r="D275" s="3" t="s">
        <v>124</v>
      </c>
      <c r="E275" s="7"/>
      <c r="F275" s="7">
        <v>21926</v>
      </c>
      <c r="G275" s="7">
        <f t="shared" si="47"/>
        <v>4165.9399999999996</v>
      </c>
      <c r="H275" s="7">
        <f t="shared" si="32"/>
        <v>26091.94</v>
      </c>
    </row>
    <row r="276" spans="1:8" x14ac:dyDescent="0.25">
      <c r="A276" s="1" t="s">
        <v>298</v>
      </c>
      <c r="B276" s="2"/>
      <c r="C276" s="2"/>
      <c r="D276" s="3" t="s">
        <v>125</v>
      </c>
      <c r="E276" s="7"/>
      <c r="F276" s="7">
        <v>39080</v>
      </c>
      <c r="G276" s="7">
        <f t="shared" si="47"/>
        <v>7425.2</v>
      </c>
      <c r="H276" s="7">
        <f t="shared" si="32"/>
        <v>46505.2</v>
      </c>
    </row>
    <row r="277" spans="1:8" x14ac:dyDescent="0.25">
      <c r="A277" s="1" t="s">
        <v>118</v>
      </c>
      <c r="B277" s="2"/>
      <c r="C277" s="2"/>
      <c r="D277" s="3"/>
      <c r="E277" s="7"/>
      <c r="F277" s="7">
        <v>4800</v>
      </c>
      <c r="G277" s="7">
        <f t="shared" si="47"/>
        <v>912</v>
      </c>
      <c r="H277" s="7">
        <f t="shared" si="32"/>
        <v>5712</v>
      </c>
    </row>
    <row r="278" spans="1:8" x14ac:dyDescent="0.25">
      <c r="A278" s="1" t="s">
        <v>53</v>
      </c>
      <c r="B278" s="2"/>
      <c r="C278" s="2"/>
      <c r="D278" s="3"/>
      <c r="E278" s="7"/>
      <c r="F278" s="7">
        <v>8096</v>
      </c>
      <c r="G278" s="7">
        <f t="shared" si="47"/>
        <v>1538.24</v>
      </c>
      <c r="H278" s="7">
        <f t="shared" si="32"/>
        <v>9634.24</v>
      </c>
    </row>
    <row r="279" spans="1:8" x14ac:dyDescent="0.25">
      <c r="A279" s="1" t="s">
        <v>47</v>
      </c>
      <c r="B279" s="2"/>
      <c r="C279" s="2"/>
      <c r="D279" s="3"/>
      <c r="E279" s="7"/>
      <c r="F279" s="7">
        <v>7108</v>
      </c>
      <c r="G279" s="7">
        <f t="shared" si="47"/>
        <v>1350.52</v>
      </c>
      <c r="H279" s="7">
        <f t="shared" si="32"/>
        <v>8458.52</v>
      </c>
    </row>
    <row r="280" spans="1:8" x14ac:dyDescent="0.25">
      <c r="A280" s="1" t="s">
        <v>42</v>
      </c>
      <c r="B280" s="2"/>
      <c r="C280" s="2"/>
      <c r="D280" s="3"/>
      <c r="E280" s="7"/>
      <c r="F280" s="7">
        <v>80000</v>
      </c>
      <c r="G280" s="7">
        <f t="shared" si="47"/>
        <v>15200</v>
      </c>
      <c r="H280" s="7">
        <f t="shared" si="32"/>
        <v>95200</v>
      </c>
    </row>
    <row r="281" spans="1:8" x14ac:dyDescent="0.25">
      <c r="A281" s="1" t="s">
        <v>300</v>
      </c>
      <c r="B281" s="2"/>
      <c r="C281" s="2"/>
      <c r="D281" s="3" t="s">
        <v>242</v>
      </c>
      <c r="E281" s="7"/>
      <c r="F281" s="7">
        <v>2996</v>
      </c>
      <c r="G281" s="7">
        <f t="shared" si="47"/>
        <v>569.24</v>
      </c>
      <c r="H281" s="7">
        <f t="shared" si="32"/>
        <v>3565.24</v>
      </c>
    </row>
    <row r="282" spans="1:8" x14ac:dyDescent="0.25">
      <c r="A282" s="1" t="s">
        <v>299</v>
      </c>
      <c r="B282" s="2"/>
      <c r="C282" s="2"/>
      <c r="D282" s="3" t="s">
        <v>151</v>
      </c>
      <c r="E282" s="7"/>
      <c r="F282" s="7">
        <v>3951</v>
      </c>
      <c r="G282" s="7">
        <f t="shared" si="47"/>
        <v>750.69</v>
      </c>
      <c r="H282" s="7">
        <f t="shared" si="32"/>
        <v>4701.6900000000005</v>
      </c>
    </row>
    <row r="283" spans="1:8" x14ac:dyDescent="0.25">
      <c r="A283" s="1" t="s">
        <v>299</v>
      </c>
      <c r="B283" s="2"/>
      <c r="C283" s="2"/>
      <c r="D283" s="3" t="s">
        <v>153</v>
      </c>
      <c r="E283" s="7"/>
      <c r="F283" s="7">
        <v>5448</v>
      </c>
      <c r="G283" s="7">
        <f t="shared" si="47"/>
        <v>1035.1200000000001</v>
      </c>
      <c r="H283" s="7">
        <f t="shared" si="32"/>
        <v>6483.12</v>
      </c>
    </row>
    <row r="284" spans="1:8" x14ac:dyDescent="0.25">
      <c r="A284" s="1" t="s">
        <v>299</v>
      </c>
      <c r="B284" s="2"/>
      <c r="C284" s="2"/>
      <c r="D284" s="3" t="s">
        <v>122</v>
      </c>
      <c r="E284" s="7"/>
      <c r="F284" s="7">
        <v>14301</v>
      </c>
      <c r="G284" s="7">
        <f t="shared" si="47"/>
        <v>2717.19</v>
      </c>
      <c r="H284" s="7">
        <f t="shared" si="32"/>
        <v>17018.189999999999</v>
      </c>
    </row>
    <row r="285" spans="1:8" x14ac:dyDescent="0.25">
      <c r="A285" s="1" t="s">
        <v>299</v>
      </c>
      <c r="B285" s="2"/>
      <c r="C285" s="2"/>
      <c r="D285" s="3" t="s">
        <v>123</v>
      </c>
      <c r="E285" s="7"/>
      <c r="F285" s="7">
        <v>22330</v>
      </c>
      <c r="G285" s="7">
        <f t="shared" si="47"/>
        <v>4242.7</v>
      </c>
      <c r="H285" s="7">
        <f t="shared" si="32"/>
        <v>26572.7</v>
      </c>
    </row>
    <row r="286" spans="1:8" x14ac:dyDescent="0.25">
      <c r="A286" s="1" t="s">
        <v>299</v>
      </c>
      <c r="B286" s="2"/>
      <c r="C286" s="2"/>
      <c r="D286" s="3" t="s">
        <v>124</v>
      </c>
      <c r="E286" s="7"/>
      <c r="F286" s="7">
        <v>70808</v>
      </c>
      <c r="G286" s="7">
        <f t="shared" si="47"/>
        <v>13453.52</v>
      </c>
      <c r="H286" s="7">
        <f t="shared" si="32"/>
        <v>84261.52</v>
      </c>
    </row>
    <row r="287" spans="1:8" x14ac:dyDescent="0.25">
      <c r="A287" s="1" t="s">
        <v>299</v>
      </c>
      <c r="B287" s="2"/>
      <c r="C287" s="2"/>
      <c r="D287" s="3" t="s">
        <v>125</v>
      </c>
      <c r="E287" s="7"/>
      <c r="F287" s="7">
        <v>122341</v>
      </c>
      <c r="G287" s="7">
        <f t="shared" si="47"/>
        <v>23244.79</v>
      </c>
      <c r="H287" s="7">
        <f t="shared" si="32"/>
        <v>145585.79</v>
      </c>
    </row>
    <row r="288" spans="1:8" x14ac:dyDescent="0.25">
      <c r="A288" s="1" t="s">
        <v>288</v>
      </c>
      <c r="B288" s="2"/>
      <c r="C288" s="2"/>
      <c r="D288" s="3" t="s">
        <v>151</v>
      </c>
      <c r="E288" s="7"/>
      <c r="F288" s="7">
        <v>15000</v>
      </c>
      <c r="G288" s="7">
        <f t="shared" si="47"/>
        <v>2850</v>
      </c>
      <c r="H288" s="7">
        <f t="shared" si="32"/>
        <v>17850</v>
      </c>
    </row>
    <row r="289" spans="1:8" x14ac:dyDescent="0.25">
      <c r="A289" s="1" t="s">
        <v>289</v>
      </c>
      <c r="B289" s="2"/>
      <c r="C289" s="2"/>
      <c r="D289" s="3" t="s">
        <v>154</v>
      </c>
      <c r="E289" s="7"/>
      <c r="F289" s="7">
        <v>6864</v>
      </c>
      <c r="G289" s="7">
        <f t="shared" si="47"/>
        <v>1304.1600000000001</v>
      </c>
      <c r="H289" s="7">
        <f t="shared" si="32"/>
        <v>8168.16</v>
      </c>
    </row>
    <row r="290" spans="1:8" x14ac:dyDescent="0.25">
      <c r="A290" s="1" t="s">
        <v>290</v>
      </c>
      <c r="B290" s="2"/>
      <c r="C290" s="2"/>
      <c r="D290" s="3" t="s">
        <v>122</v>
      </c>
      <c r="E290" s="7"/>
      <c r="F290" s="7">
        <v>12496</v>
      </c>
      <c r="G290" s="7">
        <f t="shared" ref="G290:G295" si="56">F290*0.19</f>
        <v>2374.2400000000002</v>
      </c>
      <c r="H290" s="7">
        <f t="shared" ref="H290:H295" si="57">F290+G290</f>
        <v>14870.24</v>
      </c>
    </row>
    <row r="291" spans="1:8" x14ac:dyDescent="0.25">
      <c r="A291" s="1" t="s">
        <v>290</v>
      </c>
      <c r="B291" s="2"/>
      <c r="C291" s="2"/>
      <c r="D291" s="3" t="s">
        <v>123</v>
      </c>
      <c r="E291" s="7"/>
      <c r="F291" s="7"/>
      <c r="G291" s="7">
        <f t="shared" si="56"/>
        <v>0</v>
      </c>
      <c r="H291" s="7">
        <f t="shared" si="57"/>
        <v>0</v>
      </c>
    </row>
    <row r="292" spans="1:8" x14ac:dyDescent="0.25">
      <c r="A292" s="1" t="s">
        <v>290</v>
      </c>
      <c r="B292" s="2"/>
      <c r="C292" s="2"/>
      <c r="D292" s="3" t="s">
        <v>124</v>
      </c>
      <c r="E292" s="7"/>
      <c r="F292" s="7">
        <v>28000</v>
      </c>
      <c r="G292" s="7">
        <f t="shared" si="56"/>
        <v>5320</v>
      </c>
      <c r="H292" s="7">
        <f t="shared" si="57"/>
        <v>33320</v>
      </c>
    </row>
    <row r="293" spans="1:8" x14ac:dyDescent="0.25">
      <c r="A293" s="1" t="s">
        <v>290</v>
      </c>
      <c r="B293" s="2"/>
      <c r="C293" s="2"/>
      <c r="D293" s="3" t="s">
        <v>125</v>
      </c>
      <c r="E293" s="7"/>
      <c r="F293" s="7"/>
      <c r="G293" s="7">
        <f t="shared" si="56"/>
        <v>0</v>
      </c>
      <c r="H293" s="7">
        <f t="shared" si="57"/>
        <v>0</v>
      </c>
    </row>
    <row r="294" spans="1:8" x14ac:dyDescent="0.25">
      <c r="A294" s="1" t="s">
        <v>220</v>
      </c>
      <c r="B294" s="2"/>
      <c r="C294" s="2"/>
      <c r="D294" s="3"/>
      <c r="E294" s="7"/>
      <c r="F294" s="7">
        <v>1377</v>
      </c>
      <c r="G294" s="7">
        <f t="shared" si="56"/>
        <v>261.63</v>
      </c>
      <c r="H294" s="7">
        <f t="shared" si="57"/>
        <v>1638.63</v>
      </c>
    </row>
    <row r="295" spans="1:8" x14ac:dyDescent="0.25">
      <c r="A295" s="1" t="s">
        <v>221</v>
      </c>
      <c r="B295" s="2"/>
      <c r="C295" s="2"/>
      <c r="D295" s="3"/>
      <c r="E295" s="7"/>
      <c r="F295" s="7">
        <v>2159</v>
      </c>
      <c r="G295" s="7">
        <f t="shared" si="56"/>
        <v>410.21</v>
      </c>
      <c r="H295" s="7">
        <f t="shared" si="57"/>
        <v>2569.21</v>
      </c>
    </row>
    <row r="296" spans="1:8" x14ac:dyDescent="0.25">
      <c r="A296" s="1" t="s">
        <v>86</v>
      </c>
      <c r="B296" s="2"/>
      <c r="C296" s="2"/>
      <c r="D296" s="3"/>
      <c r="E296" s="7"/>
      <c r="F296" s="7"/>
      <c r="G296" s="7">
        <f t="shared" si="47"/>
        <v>0</v>
      </c>
      <c r="H296" s="7">
        <f t="shared" si="32"/>
        <v>0</v>
      </c>
    </row>
    <row r="297" spans="1:8" x14ac:dyDescent="0.25">
      <c r="A297" s="1" t="s">
        <v>52</v>
      </c>
      <c r="B297" s="2"/>
      <c r="C297" s="2"/>
      <c r="D297" s="3"/>
      <c r="E297" s="7"/>
      <c r="F297" s="7">
        <v>18128</v>
      </c>
      <c r="G297" s="7">
        <f t="shared" si="47"/>
        <v>3444.32</v>
      </c>
      <c r="H297" s="7">
        <f t="shared" si="32"/>
        <v>21572.32</v>
      </c>
    </row>
    <row r="298" spans="1:8" x14ac:dyDescent="0.25">
      <c r="A298" s="1" t="s">
        <v>82</v>
      </c>
      <c r="B298" s="2"/>
      <c r="C298" s="2"/>
      <c r="D298" s="3"/>
      <c r="E298" s="7"/>
      <c r="F298" s="7">
        <v>46410</v>
      </c>
      <c r="G298" s="7">
        <f t="shared" si="47"/>
        <v>8817.9</v>
      </c>
      <c r="H298" s="7">
        <f t="shared" si="32"/>
        <v>55227.9</v>
      </c>
    </row>
    <row r="299" spans="1:8" x14ac:dyDescent="0.25">
      <c r="A299" s="1" t="s">
        <v>260</v>
      </c>
      <c r="B299" s="2"/>
      <c r="C299" s="2" t="s">
        <v>151</v>
      </c>
      <c r="D299" s="3"/>
      <c r="E299" s="7"/>
      <c r="F299" s="7">
        <v>432</v>
      </c>
      <c r="G299" s="7">
        <f t="shared" si="47"/>
        <v>82.08</v>
      </c>
      <c r="H299" s="7">
        <f t="shared" si="32"/>
        <v>514.08000000000004</v>
      </c>
    </row>
    <row r="300" spans="1:8" x14ac:dyDescent="0.25">
      <c r="A300" s="1" t="s">
        <v>260</v>
      </c>
      <c r="B300" s="2"/>
      <c r="C300" s="2" t="s">
        <v>153</v>
      </c>
      <c r="D300" s="3"/>
      <c r="E300" s="7"/>
      <c r="F300" s="7">
        <v>728</v>
      </c>
      <c r="G300" s="7">
        <f t="shared" si="47"/>
        <v>138.32</v>
      </c>
      <c r="H300" s="7">
        <f t="shared" si="32"/>
        <v>866.31999999999994</v>
      </c>
    </row>
    <row r="301" spans="1:8" x14ac:dyDescent="0.25">
      <c r="A301" s="1" t="s">
        <v>260</v>
      </c>
      <c r="B301" s="2"/>
      <c r="C301" s="2" t="s">
        <v>123</v>
      </c>
      <c r="D301" s="3"/>
      <c r="E301" s="7"/>
      <c r="F301" s="7">
        <v>7690</v>
      </c>
      <c r="G301" s="7">
        <f t="shared" si="47"/>
        <v>1461.1</v>
      </c>
      <c r="H301" s="7">
        <f t="shared" si="32"/>
        <v>9151.1</v>
      </c>
    </row>
    <row r="302" spans="1:8" x14ac:dyDescent="0.25">
      <c r="A302" s="1" t="s">
        <v>81</v>
      </c>
      <c r="B302" s="2"/>
      <c r="C302" s="2"/>
      <c r="D302" s="3"/>
      <c r="E302" s="7"/>
      <c r="F302" s="7">
        <v>1485</v>
      </c>
      <c r="G302" s="7">
        <f t="shared" si="47"/>
        <v>282.14999999999998</v>
      </c>
      <c r="H302" s="7">
        <f t="shared" si="32"/>
        <v>1767.15</v>
      </c>
    </row>
    <row r="303" spans="1:8" x14ac:dyDescent="0.25">
      <c r="A303" s="1" t="s">
        <v>72</v>
      </c>
      <c r="B303" s="2"/>
      <c r="C303" s="2"/>
      <c r="D303" s="3"/>
      <c r="E303" s="7"/>
      <c r="F303" s="7">
        <v>2600000</v>
      </c>
      <c r="G303" s="7">
        <f t="shared" ref="G303:G382" si="58">F303*0.19</f>
        <v>494000</v>
      </c>
      <c r="H303" s="7">
        <f t="shared" si="32"/>
        <v>3094000</v>
      </c>
    </row>
    <row r="304" spans="1:8" x14ac:dyDescent="0.25">
      <c r="A304" s="1" t="s">
        <v>268</v>
      </c>
      <c r="B304" s="2"/>
      <c r="C304" s="2"/>
      <c r="D304" s="3" t="s">
        <v>153</v>
      </c>
      <c r="E304" s="7" t="s">
        <v>265</v>
      </c>
      <c r="F304" s="7">
        <v>96774</v>
      </c>
      <c r="G304" s="7">
        <f>F304*0.19</f>
        <v>18387.060000000001</v>
      </c>
      <c r="H304" s="7">
        <f>F304+G304</f>
        <v>115161.06</v>
      </c>
    </row>
    <row r="305" spans="1:8" x14ac:dyDescent="0.25">
      <c r="A305" s="1" t="s">
        <v>266</v>
      </c>
      <c r="B305" s="2"/>
      <c r="C305" s="2"/>
      <c r="D305" s="3" t="s">
        <v>154</v>
      </c>
      <c r="E305" s="7" t="s">
        <v>265</v>
      </c>
      <c r="F305" s="7">
        <v>114884</v>
      </c>
      <c r="G305" s="16">
        <f t="shared" si="58"/>
        <v>21827.96</v>
      </c>
      <c r="H305" s="16">
        <f t="shared" si="32"/>
        <v>136711.96</v>
      </c>
    </row>
    <row r="306" spans="1:8" x14ac:dyDescent="0.25">
      <c r="A306" s="1" t="s">
        <v>266</v>
      </c>
      <c r="B306" s="2"/>
      <c r="C306" s="2"/>
      <c r="D306" s="3" t="s">
        <v>125</v>
      </c>
      <c r="E306" s="7" t="s">
        <v>265</v>
      </c>
      <c r="F306" s="7">
        <v>401588</v>
      </c>
      <c r="G306" s="16">
        <f t="shared" ref="G306" si="59">F306*0.19</f>
        <v>76301.72</v>
      </c>
      <c r="H306" s="16">
        <f t="shared" ref="H306" si="60">F306+G306</f>
        <v>477889.72</v>
      </c>
    </row>
    <row r="307" spans="1:8" x14ac:dyDescent="0.25">
      <c r="A307" s="1" t="s">
        <v>231</v>
      </c>
      <c r="B307" s="2"/>
      <c r="C307" s="2"/>
      <c r="D307" s="14" t="s">
        <v>151</v>
      </c>
      <c r="E307" s="7" t="s">
        <v>57</v>
      </c>
      <c r="F307" s="7">
        <v>105000</v>
      </c>
      <c r="G307" s="7">
        <f t="shared" si="58"/>
        <v>19950</v>
      </c>
      <c r="H307" s="7">
        <f t="shared" si="32"/>
        <v>124950</v>
      </c>
    </row>
    <row r="308" spans="1:8" x14ac:dyDescent="0.25">
      <c r="A308" s="1" t="s">
        <v>231</v>
      </c>
      <c r="B308" s="2"/>
      <c r="C308" s="2"/>
      <c r="D308" s="14" t="s">
        <v>153</v>
      </c>
      <c r="E308" s="7" t="s">
        <v>57</v>
      </c>
      <c r="F308" s="7">
        <v>112000</v>
      </c>
      <c r="G308" s="7">
        <f t="shared" ref="G308:G321" si="61">F308*0.19</f>
        <v>21280</v>
      </c>
      <c r="H308" s="7">
        <f t="shared" ref="H308:H321" si="62">F308+G308</f>
        <v>133280</v>
      </c>
    </row>
    <row r="309" spans="1:8" x14ac:dyDescent="0.25">
      <c r="A309" s="1" t="s">
        <v>231</v>
      </c>
      <c r="B309" s="2"/>
      <c r="C309" s="2"/>
      <c r="D309" s="14" t="s">
        <v>154</v>
      </c>
      <c r="E309" s="7" t="s">
        <v>57</v>
      </c>
      <c r="F309" s="7">
        <v>180500</v>
      </c>
      <c r="G309" s="7">
        <f t="shared" si="61"/>
        <v>34295</v>
      </c>
      <c r="H309" s="7">
        <f t="shared" si="62"/>
        <v>214795</v>
      </c>
    </row>
    <row r="310" spans="1:8" x14ac:dyDescent="0.25">
      <c r="A310" s="1" t="s">
        <v>231</v>
      </c>
      <c r="B310" s="2"/>
      <c r="C310" s="2"/>
      <c r="D310" s="14" t="s">
        <v>155</v>
      </c>
      <c r="E310" s="7" t="s">
        <v>57</v>
      </c>
      <c r="F310" s="7">
        <v>217700</v>
      </c>
      <c r="G310" s="7">
        <f t="shared" si="61"/>
        <v>41363</v>
      </c>
      <c r="H310" s="7">
        <f t="shared" si="62"/>
        <v>259063</v>
      </c>
    </row>
    <row r="311" spans="1:8" x14ac:dyDescent="0.25">
      <c r="A311" s="1" t="s">
        <v>231</v>
      </c>
      <c r="B311" s="2"/>
      <c r="C311" s="2"/>
      <c r="D311" s="14" t="s">
        <v>122</v>
      </c>
      <c r="E311" s="7" t="s">
        <v>57</v>
      </c>
      <c r="F311" s="7">
        <v>260000</v>
      </c>
      <c r="G311" s="7">
        <f t="shared" si="61"/>
        <v>49400</v>
      </c>
      <c r="H311" s="7">
        <f t="shared" si="62"/>
        <v>309400</v>
      </c>
    </row>
    <row r="312" spans="1:8" x14ac:dyDescent="0.25">
      <c r="A312" s="1" t="s">
        <v>231</v>
      </c>
      <c r="B312" s="2"/>
      <c r="C312" s="2"/>
      <c r="D312" s="14" t="s">
        <v>123</v>
      </c>
      <c r="E312" s="7" t="s">
        <v>57</v>
      </c>
      <c r="F312" s="7">
        <v>326000</v>
      </c>
      <c r="G312" s="7">
        <f t="shared" si="61"/>
        <v>61940</v>
      </c>
      <c r="H312" s="7">
        <f t="shared" si="62"/>
        <v>387940</v>
      </c>
    </row>
    <row r="313" spans="1:8" x14ac:dyDescent="0.25">
      <c r="A313" s="1" t="s">
        <v>231</v>
      </c>
      <c r="B313" s="2"/>
      <c r="C313" s="2"/>
      <c r="D313" s="14" t="s">
        <v>156</v>
      </c>
      <c r="E313" s="7" t="s">
        <v>57</v>
      </c>
      <c r="F313" s="7">
        <v>435000</v>
      </c>
      <c r="G313" s="7">
        <f t="shared" si="61"/>
        <v>82650</v>
      </c>
      <c r="H313" s="7">
        <f t="shared" si="62"/>
        <v>517650</v>
      </c>
    </row>
    <row r="314" spans="1:8" x14ac:dyDescent="0.25">
      <c r="A314" s="1" t="s">
        <v>231</v>
      </c>
      <c r="B314" s="2"/>
      <c r="C314" s="2"/>
      <c r="D314" s="14" t="s">
        <v>124</v>
      </c>
      <c r="E314" s="7" t="s">
        <v>57</v>
      </c>
      <c r="F314" s="7">
        <v>533000</v>
      </c>
      <c r="G314" s="7">
        <f t="shared" si="61"/>
        <v>101270</v>
      </c>
      <c r="H314" s="7">
        <f t="shared" si="62"/>
        <v>634270</v>
      </c>
    </row>
    <row r="315" spans="1:8" x14ac:dyDescent="0.25">
      <c r="A315" s="1" t="s">
        <v>231</v>
      </c>
      <c r="B315" s="2"/>
      <c r="C315" s="2"/>
      <c r="D315" s="14" t="s">
        <v>125</v>
      </c>
      <c r="E315" s="7" t="s">
        <v>57</v>
      </c>
      <c r="F315" s="7">
        <v>690000</v>
      </c>
      <c r="G315" s="7">
        <f t="shared" si="61"/>
        <v>131100</v>
      </c>
      <c r="H315" s="7">
        <f t="shared" si="62"/>
        <v>821100</v>
      </c>
    </row>
    <row r="316" spans="1:8" x14ac:dyDescent="0.25">
      <c r="A316" s="1" t="s">
        <v>231</v>
      </c>
      <c r="B316" s="2"/>
      <c r="C316" s="2"/>
      <c r="D316" s="14" t="s">
        <v>232</v>
      </c>
      <c r="E316" s="7" t="s">
        <v>57</v>
      </c>
      <c r="F316" s="7">
        <v>970000</v>
      </c>
      <c r="G316" s="7">
        <f t="shared" si="61"/>
        <v>184300</v>
      </c>
      <c r="H316" s="7">
        <f t="shared" si="62"/>
        <v>1154300</v>
      </c>
    </row>
    <row r="317" spans="1:8" x14ac:dyDescent="0.25">
      <c r="A317" s="1" t="s">
        <v>231</v>
      </c>
      <c r="B317" s="2"/>
      <c r="C317" s="2"/>
      <c r="D317" s="14" t="s">
        <v>233</v>
      </c>
      <c r="E317" s="7" t="s">
        <v>57</v>
      </c>
      <c r="F317" s="7">
        <v>1126000</v>
      </c>
      <c r="G317" s="7">
        <f t="shared" si="61"/>
        <v>213940</v>
      </c>
      <c r="H317" s="7">
        <f t="shared" si="62"/>
        <v>1339940</v>
      </c>
    </row>
    <row r="318" spans="1:8" x14ac:dyDescent="0.25">
      <c r="A318" s="1" t="s">
        <v>376</v>
      </c>
      <c r="B318" s="2"/>
      <c r="C318" s="2"/>
      <c r="D318" s="14" t="s">
        <v>233</v>
      </c>
      <c r="E318" s="7" t="s">
        <v>57</v>
      </c>
      <c r="F318" s="7">
        <v>1926000</v>
      </c>
      <c r="G318" s="7">
        <f t="shared" ref="G318" si="63">F318*0.19</f>
        <v>365940</v>
      </c>
      <c r="H318" s="7">
        <f t="shared" ref="H318" si="64">F318+G318</f>
        <v>2291940</v>
      </c>
    </row>
    <row r="319" spans="1:8" x14ac:dyDescent="0.25">
      <c r="A319" s="1" t="s">
        <v>231</v>
      </c>
      <c r="B319" s="2"/>
      <c r="C319" s="2"/>
      <c r="D319" s="14" t="s">
        <v>234</v>
      </c>
      <c r="E319" s="7" t="s">
        <v>57</v>
      </c>
      <c r="F319" s="7">
        <v>1603000</v>
      </c>
      <c r="G319" s="7">
        <f t="shared" si="61"/>
        <v>304570</v>
      </c>
      <c r="H319" s="7">
        <f t="shared" si="62"/>
        <v>1907570</v>
      </c>
    </row>
    <row r="320" spans="1:8" x14ac:dyDescent="0.25">
      <c r="A320" s="1" t="s">
        <v>231</v>
      </c>
      <c r="B320" s="2"/>
      <c r="C320" s="2"/>
      <c r="D320" s="14" t="s">
        <v>235</v>
      </c>
      <c r="E320" s="7" t="s">
        <v>57</v>
      </c>
      <c r="F320" s="7">
        <v>1205000</v>
      </c>
      <c r="G320" s="7">
        <f t="shared" si="61"/>
        <v>228950</v>
      </c>
      <c r="H320" s="7">
        <f t="shared" si="62"/>
        <v>1433950</v>
      </c>
    </row>
    <row r="321" spans="1:8" x14ac:dyDescent="0.25">
      <c r="A321" s="1" t="s">
        <v>231</v>
      </c>
      <c r="B321" s="2"/>
      <c r="C321" s="2"/>
      <c r="D321" s="14" t="s">
        <v>236</v>
      </c>
      <c r="E321" s="7" t="s">
        <v>57</v>
      </c>
      <c r="F321" s="7">
        <v>3037000</v>
      </c>
      <c r="G321" s="7">
        <f t="shared" si="61"/>
        <v>577030</v>
      </c>
      <c r="H321" s="7">
        <f t="shared" si="62"/>
        <v>3614030</v>
      </c>
    </row>
    <row r="322" spans="1:8" x14ac:dyDescent="0.25">
      <c r="A322" s="1" t="s">
        <v>231</v>
      </c>
      <c r="B322" s="2"/>
      <c r="C322" s="2"/>
      <c r="D322" s="14" t="s">
        <v>237</v>
      </c>
      <c r="E322" s="7" t="s">
        <v>57</v>
      </c>
      <c r="F322" s="7">
        <v>3460000</v>
      </c>
      <c r="G322" s="7">
        <f t="shared" ref="G322" si="65">F322*0.19</f>
        <v>657400</v>
      </c>
      <c r="H322" s="7">
        <f t="shared" ref="H322" si="66">F322+G322</f>
        <v>4117400</v>
      </c>
    </row>
    <row r="323" spans="1:8" x14ac:dyDescent="0.25">
      <c r="A323" s="1" t="s">
        <v>231</v>
      </c>
      <c r="B323" s="2"/>
      <c r="C323" s="2"/>
      <c r="D323" s="14" t="s">
        <v>238</v>
      </c>
      <c r="E323" s="7" t="s">
        <v>57</v>
      </c>
      <c r="F323" s="7">
        <v>3950000</v>
      </c>
      <c r="G323" s="7">
        <f t="shared" ref="G323:G324" si="67">F323*0.19</f>
        <v>750500</v>
      </c>
      <c r="H323" s="7">
        <f t="shared" ref="H323:H324" si="68">F323+G323</f>
        <v>4700500</v>
      </c>
    </row>
    <row r="324" spans="1:8" x14ac:dyDescent="0.25">
      <c r="A324" s="1" t="s">
        <v>239</v>
      </c>
      <c r="B324" s="2"/>
      <c r="C324" s="2"/>
      <c r="D324" s="14" t="s">
        <v>151</v>
      </c>
      <c r="E324" s="7" t="s">
        <v>57</v>
      </c>
      <c r="F324" s="7">
        <v>119000</v>
      </c>
      <c r="G324" s="7">
        <f t="shared" si="67"/>
        <v>22610</v>
      </c>
      <c r="H324" s="7">
        <f t="shared" si="68"/>
        <v>141610</v>
      </c>
    </row>
    <row r="325" spans="1:8" x14ac:dyDescent="0.25">
      <c r="A325" s="1" t="s">
        <v>239</v>
      </c>
      <c r="B325" s="2"/>
      <c r="C325" s="2"/>
      <c r="D325" s="14" t="s">
        <v>153</v>
      </c>
      <c r="E325" s="7" t="s">
        <v>57</v>
      </c>
      <c r="F325" s="7">
        <v>156000</v>
      </c>
      <c r="G325" s="7">
        <f t="shared" ref="G325:G339" si="69">F325*0.19</f>
        <v>29640</v>
      </c>
      <c r="H325" s="7">
        <f t="shared" ref="H325:H339" si="70">F325+G325</f>
        <v>185640</v>
      </c>
    </row>
    <row r="326" spans="1:8" x14ac:dyDescent="0.25">
      <c r="A326" s="1" t="s">
        <v>239</v>
      </c>
      <c r="B326" s="2"/>
      <c r="C326" s="2"/>
      <c r="D326" s="14" t="s">
        <v>154</v>
      </c>
      <c r="E326" s="7" t="s">
        <v>57</v>
      </c>
      <c r="F326" s="7">
        <v>216000</v>
      </c>
      <c r="G326" s="7">
        <f t="shared" si="69"/>
        <v>41040</v>
      </c>
      <c r="H326" s="7">
        <f t="shared" si="70"/>
        <v>257040</v>
      </c>
    </row>
    <row r="327" spans="1:8" x14ac:dyDescent="0.25">
      <c r="A327" s="1" t="s">
        <v>239</v>
      </c>
      <c r="B327" s="2"/>
      <c r="C327" s="2"/>
      <c r="D327" s="14" t="s">
        <v>155</v>
      </c>
      <c r="E327" s="7" t="s">
        <v>57</v>
      </c>
      <c r="F327" s="7">
        <v>314000</v>
      </c>
      <c r="G327" s="7">
        <f t="shared" si="69"/>
        <v>59660</v>
      </c>
      <c r="H327" s="7">
        <f t="shared" si="70"/>
        <v>373660</v>
      </c>
    </row>
    <row r="328" spans="1:8" x14ac:dyDescent="0.25">
      <c r="A328" s="1" t="s">
        <v>239</v>
      </c>
      <c r="B328" s="2"/>
      <c r="C328" s="2"/>
      <c r="D328" s="14" t="s">
        <v>122</v>
      </c>
      <c r="E328" s="7" t="s">
        <v>57</v>
      </c>
      <c r="F328" s="7">
        <v>330700</v>
      </c>
      <c r="G328" s="7">
        <f t="shared" si="69"/>
        <v>62833</v>
      </c>
      <c r="H328" s="7">
        <f t="shared" si="70"/>
        <v>393533</v>
      </c>
    </row>
    <row r="329" spans="1:8" x14ac:dyDescent="0.25">
      <c r="A329" s="1" t="s">
        <v>239</v>
      </c>
      <c r="B329" s="2"/>
      <c r="C329" s="2"/>
      <c r="D329" s="14" t="s">
        <v>123</v>
      </c>
      <c r="E329" s="7" t="s">
        <v>57</v>
      </c>
      <c r="F329" s="7">
        <v>455000</v>
      </c>
      <c r="G329" s="7">
        <f t="shared" si="69"/>
        <v>86450</v>
      </c>
      <c r="H329" s="7">
        <f t="shared" si="70"/>
        <v>541450</v>
      </c>
    </row>
    <row r="330" spans="1:8" x14ac:dyDescent="0.25">
      <c r="A330" s="1" t="s">
        <v>239</v>
      </c>
      <c r="B330" s="2"/>
      <c r="C330" s="2"/>
      <c r="D330" s="14" t="s">
        <v>156</v>
      </c>
      <c r="E330" s="7" t="s">
        <v>57</v>
      </c>
      <c r="F330" s="7">
        <v>704000</v>
      </c>
      <c r="G330" s="7">
        <f t="shared" si="69"/>
        <v>133760</v>
      </c>
      <c r="H330" s="7">
        <f t="shared" si="70"/>
        <v>837760</v>
      </c>
    </row>
    <row r="331" spans="1:8" x14ac:dyDescent="0.25">
      <c r="A331" s="1" t="s">
        <v>239</v>
      </c>
      <c r="B331" s="2"/>
      <c r="C331" s="2"/>
      <c r="D331" s="14" t="s">
        <v>124</v>
      </c>
      <c r="E331" s="7" t="s">
        <v>57</v>
      </c>
      <c r="F331" s="7">
        <v>1060000</v>
      </c>
      <c r="G331" s="7">
        <f t="shared" si="69"/>
        <v>201400</v>
      </c>
      <c r="H331" s="7">
        <f t="shared" si="70"/>
        <v>1261400</v>
      </c>
    </row>
    <row r="332" spans="1:8" x14ac:dyDescent="0.25">
      <c r="A332" s="1" t="s">
        <v>239</v>
      </c>
      <c r="B332" s="2"/>
      <c r="C332" s="2"/>
      <c r="D332" s="14" t="s">
        <v>125</v>
      </c>
      <c r="E332" s="7" t="s">
        <v>57</v>
      </c>
      <c r="F332" s="7">
        <v>1331000</v>
      </c>
      <c r="G332" s="7">
        <f t="shared" si="69"/>
        <v>252890</v>
      </c>
      <c r="H332" s="7">
        <f t="shared" si="70"/>
        <v>1583890</v>
      </c>
    </row>
    <row r="333" spans="1:8" x14ac:dyDescent="0.25">
      <c r="A333" s="1" t="s">
        <v>239</v>
      </c>
      <c r="B333" s="2"/>
      <c r="C333" s="2"/>
      <c r="D333" s="14" t="s">
        <v>232</v>
      </c>
      <c r="E333" s="7" t="s">
        <v>57</v>
      </c>
      <c r="F333" s="7">
        <v>1816000</v>
      </c>
      <c r="G333" s="7">
        <f t="shared" si="69"/>
        <v>345040</v>
      </c>
      <c r="H333" s="7">
        <f t="shared" si="70"/>
        <v>2161040</v>
      </c>
    </row>
    <row r="334" spans="1:8" x14ac:dyDescent="0.25">
      <c r="A334" s="1" t="s">
        <v>239</v>
      </c>
      <c r="B334" s="2"/>
      <c r="C334" s="2"/>
      <c r="D334" s="14" t="s">
        <v>233</v>
      </c>
      <c r="E334" s="7" t="s">
        <v>57</v>
      </c>
      <c r="F334" s="7">
        <v>2411000</v>
      </c>
      <c r="G334" s="7">
        <f t="shared" si="69"/>
        <v>458090</v>
      </c>
      <c r="H334" s="7">
        <f t="shared" si="70"/>
        <v>2869090</v>
      </c>
    </row>
    <row r="335" spans="1:8" x14ac:dyDescent="0.25">
      <c r="A335" s="1" t="s">
        <v>239</v>
      </c>
      <c r="B335" s="2"/>
      <c r="C335" s="2"/>
      <c r="D335" s="14" t="s">
        <v>234</v>
      </c>
      <c r="E335" s="7" t="s">
        <v>57</v>
      </c>
      <c r="F335" s="7">
        <v>3457000</v>
      </c>
      <c r="G335" s="7">
        <f t="shared" si="69"/>
        <v>656830</v>
      </c>
      <c r="H335" s="7">
        <f t="shared" si="70"/>
        <v>4113830</v>
      </c>
    </row>
    <row r="336" spans="1:8" x14ac:dyDescent="0.25">
      <c r="A336" s="1" t="s">
        <v>239</v>
      </c>
      <c r="B336" s="2"/>
      <c r="C336" s="2"/>
      <c r="D336" s="14" t="s">
        <v>235</v>
      </c>
      <c r="E336" s="7" t="s">
        <v>57</v>
      </c>
      <c r="F336" s="7">
        <v>5641000</v>
      </c>
      <c r="G336" s="7">
        <f t="shared" si="69"/>
        <v>1071790</v>
      </c>
      <c r="H336" s="7">
        <f t="shared" si="70"/>
        <v>6712790</v>
      </c>
    </row>
    <row r="337" spans="1:8" x14ac:dyDescent="0.25">
      <c r="A337" s="1" t="s">
        <v>239</v>
      </c>
      <c r="B337" s="2"/>
      <c r="C337" s="2"/>
      <c r="D337" s="14" t="s">
        <v>236</v>
      </c>
      <c r="E337" s="7" t="s">
        <v>57</v>
      </c>
      <c r="F337" s="7">
        <v>7268000</v>
      </c>
      <c r="G337" s="7">
        <f t="shared" si="69"/>
        <v>1380920</v>
      </c>
      <c r="H337" s="7">
        <f t="shared" si="70"/>
        <v>8648920</v>
      </c>
    </row>
    <row r="338" spans="1:8" x14ac:dyDescent="0.25">
      <c r="A338" s="1" t="s">
        <v>239</v>
      </c>
      <c r="B338" s="2"/>
      <c r="C338" s="2"/>
      <c r="D338" s="14" t="s">
        <v>237</v>
      </c>
      <c r="E338" s="7" t="s">
        <v>57</v>
      </c>
      <c r="F338" s="7">
        <v>9460000</v>
      </c>
      <c r="G338" s="7">
        <f t="shared" si="69"/>
        <v>1797400</v>
      </c>
      <c r="H338" s="7">
        <f t="shared" si="70"/>
        <v>11257400</v>
      </c>
    </row>
    <row r="339" spans="1:8" x14ac:dyDescent="0.25">
      <c r="A339" s="1" t="s">
        <v>239</v>
      </c>
      <c r="B339" s="2"/>
      <c r="C339" s="2"/>
      <c r="D339" s="14" t="s">
        <v>238</v>
      </c>
      <c r="E339" s="7" t="s">
        <v>57</v>
      </c>
      <c r="F339" s="7">
        <v>0</v>
      </c>
      <c r="G339" s="7">
        <f t="shared" si="69"/>
        <v>0</v>
      </c>
      <c r="H339" s="7">
        <f t="shared" si="70"/>
        <v>0</v>
      </c>
    </row>
    <row r="340" spans="1:8" x14ac:dyDescent="0.25">
      <c r="A340" s="1" t="s">
        <v>267</v>
      </c>
      <c r="B340" s="2"/>
      <c r="C340" s="2"/>
      <c r="D340" s="3" t="s">
        <v>122</v>
      </c>
      <c r="E340" s="7" t="s">
        <v>21</v>
      </c>
      <c r="F340" s="7">
        <v>189600</v>
      </c>
      <c r="G340" s="7">
        <f t="shared" ref="G340:G347" si="71">F340*0.19</f>
        <v>36024</v>
      </c>
      <c r="H340" s="7">
        <f t="shared" ref="H340:H347" si="72">F340+G340</f>
        <v>225624</v>
      </c>
    </row>
    <row r="341" spans="1:8" x14ac:dyDescent="0.25">
      <c r="A341" s="1" t="s">
        <v>269</v>
      </c>
      <c r="B341" s="2"/>
      <c r="C341" s="2"/>
      <c r="D341" s="3"/>
      <c r="E341" s="7" t="s">
        <v>57</v>
      </c>
      <c r="F341" s="7">
        <v>98693</v>
      </c>
      <c r="G341" s="7">
        <f t="shared" si="71"/>
        <v>18751.670000000002</v>
      </c>
      <c r="H341" s="7">
        <f t="shared" si="72"/>
        <v>117444.67</v>
      </c>
    </row>
    <row r="342" spans="1:8" x14ac:dyDescent="0.25">
      <c r="A342" s="1" t="s">
        <v>56</v>
      </c>
      <c r="B342" s="2"/>
      <c r="C342" s="2"/>
      <c r="D342" s="3"/>
      <c r="E342" s="7" t="s">
        <v>57</v>
      </c>
      <c r="F342" s="7">
        <v>114836</v>
      </c>
      <c r="G342" s="7">
        <f t="shared" si="71"/>
        <v>21818.84</v>
      </c>
      <c r="H342" s="7">
        <f t="shared" si="72"/>
        <v>136654.84</v>
      </c>
    </row>
    <row r="343" spans="1:8" x14ac:dyDescent="0.25">
      <c r="A343" s="20" t="s">
        <v>270</v>
      </c>
      <c r="B343" s="19"/>
      <c r="C343" s="19"/>
      <c r="D343" s="21" t="s">
        <v>272</v>
      </c>
      <c r="E343" s="18" t="s">
        <v>271</v>
      </c>
      <c r="F343" s="18">
        <v>43135</v>
      </c>
      <c r="G343" s="18">
        <f t="shared" si="71"/>
        <v>8195.65</v>
      </c>
      <c r="H343" s="18">
        <f t="shared" si="72"/>
        <v>51330.65</v>
      </c>
    </row>
    <row r="344" spans="1:8" x14ac:dyDescent="0.25">
      <c r="A344" s="20" t="s">
        <v>270</v>
      </c>
      <c r="B344" s="19"/>
      <c r="C344" s="19"/>
      <c r="D344" s="21" t="s">
        <v>153</v>
      </c>
      <c r="E344" s="18" t="s">
        <v>271</v>
      </c>
      <c r="F344" s="18">
        <v>54902</v>
      </c>
      <c r="G344" s="18">
        <f t="shared" si="71"/>
        <v>10431.380000000001</v>
      </c>
      <c r="H344" s="18">
        <f t="shared" si="72"/>
        <v>65333.380000000005</v>
      </c>
    </row>
    <row r="345" spans="1:8" x14ac:dyDescent="0.25">
      <c r="A345" s="20" t="s">
        <v>270</v>
      </c>
      <c r="B345" s="19"/>
      <c r="C345" s="19"/>
      <c r="D345" s="21" t="s">
        <v>154</v>
      </c>
      <c r="E345" s="18" t="s">
        <v>271</v>
      </c>
      <c r="F345" s="18">
        <v>79549</v>
      </c>
      <c r="G345" s="18">
        <f t="shared" si="71"/>
        <v>15114.31</v>
      </c>
      <c r="H345" s="18">
        <f t="shared" si="72"/>
        <v>94663.31</v>
      </c>
    </row>
    <row r="346" spans="1:8" x14ac:dyDescent="0.25">
      <c r="A346" s="1" t="s">
        <v>270</v>
      </c>
      <c r="B346" s="2"/>
      <c r="C346" s="2"/>
      <c r="D346" s="3" t="s">
        <v>122</v>
      </c>
      <c r="E346" s="18" t="s">
        <v>271</v>
      </c>
      <c r="F346" s="18">
        <v>130685</v>
      </c>
      <c r="G346" s="18">
        <f t="shared" si="71"/>
        <v>24830.15</v>
      </c>
      <c r="H346" s="18">
        <f t="shared" si="72"/>
        <v>155515.15</v>
      </c>
    </row>
    <row r="347" spans="1:8" x14ac:dyDescent="0.25">
      <c r="A347" s="1" t="s">
        <v>270</v>
      </c>
      <c r="B347" s="2"/>
      <c r="C347" s="2"/>
      <c r="D347" s="3" t="s">
        <v>123</v>
      </c>
      <c r="E347" s="18" t="s">
        <v>271</v>
      </c>
      <c r="F347" s="18">
        <v>165077</v>
      </c>
      <c r="G347" s="18">
        <f t="shared" si="71"/>
        <v>31364.63</v>
      </c>
      <c r="H347" s="18">
        <f t="shared" si="72"/>
        <v>196441.63</v>
      </c>
    </row>
    <row r="348" spans="1:8" x14ac:dyDescent="0.25">
      <c r="A348" s="1" t="s">
        <v>45</v>
      </c>
      <c r="B348" s="2"/>
      <c r="C348" s="2"/>
      <c r="D348" s="3"/>
      <c r="E348" s="7"/>
      <c r="F348" s="7">
        <v>36842</v>
      </c>
      <c r="G348" s="7">
        <f t="shared" si="58"/>
        <v>6999.9800000000005</v>
      </c>
      <c r="H348" s="7">
        <f t="shared" si="32"/>
        <v>43841.98</v>
      </c>
    </row>
    <row r="349" spans="1:8" x14ac:dyDescent="0.25">
      <c r="A349" s="1" t="s">
        <v>44</v>
      </c>
      <c r="B349" s="2"/>
      <c r="C349" s="2"/>
      <c r="D349" s="3"/>
      <c r="E349" s="7"/>
      <c r="F349" s="7">
        <v>25292</v>
      </c>
      <c r="G349" s="7">
        <f t="shared" si="58"/>
        <v>4805.4800000000005</v>
      </c>
      <c r="H349" s="7">
        <f t="shared" ref="H349:H509" si="73">F349+G349</f>
        <v>30097.48</v>
      </c>
    </row>
    <row r="350" spans="1:8" x14ac:dyDescent="0.25">
      <c r="A350" s="1" t="s">
        <v>240</v>
      </c>
      <c r="B350" s="2"/>
      <c r="C350" s="2"/>
      <c r="D350" s="3" t="s">
        <v>241</v>
      </c>
      <c r="E350" s="7" t="s">
        <v>21</v>
      </c>
      <c r="F350" s="7">
        <v>0</v>
      </c>
      <c r="G350" s="7">
        <f t="shared" si="58"/>
        <v>0</v>
      </c>
      <c r="H350" s="7">
        <f t="shared" si="73"/>
        <v>0</v>
      </c>
    </row>
    <row r="351" spans="1:8" x14ac:dyDescent="0.25">
      <c r="A351" s="1" t="s">
        <v>240</v>
      </c>
      <c r="B351" s="2"/>
      <c r="C351" s="2"/>
      <c r="D351" s="3" t="s">
        <v>242</v>
      </c>
      <c r="E351" s="7" t="s">
        <v>21</v>
      </c>
      <c r="F351" s="7">
        <v>11160</v>
      </c>
      <c r="G351" s="7">
        <f t="shared" si="58"/>
        <v>2120.4</v>
      </c>
      <c r="H351" s="7">
        <f t="shared" si="73"/>
        <v>13280.4</v>
      </c>
    </row>
    <row r="352" spans="1:8" x14ac:dyDescent="0.25">
      <c r="A352" s="1" t="s">
        <v>240</v>
      </c>
      <c r="B352" s="2"/>
      <c r="C352" s="2"/>
      <c r="D352" s="3" t="s">
        <v>151</v>
      </c>
      <c r="E352" s="7" t="s">
        <v>21</v>
      </c>
      <c r="F352" s="7">
        <v>15465</v>
      </c>
      <c r="G352" s="7">
        <f t="shared" si="58"/>
        <v>2938.35</v>
      </c>
      <c r="H352" s="7">
        <f t="shared" si="73"/>
        <v>18403.349999999999</v>
      </c>
    </row>
    <row r="353" spans="1:10" x14ac:dyDescent="0.25">
      <c r="A353" s="1" t="s">
        <v>305</v>
      </c>
      <c r="B353" s="2"/>
      <c r="C353" s="2"/>
      <c r="D353" s="3" t="s">
        <v>242</v>
      </c>
      <c r="E353" s="7" t="s">
        <v>21</v>
      </c>
      <c r="F353" s="7">
        <v>5728.5</v>
      </c>
      <c r="G353" s="16">
        <f t="shared" si="58"/>
        <v>1088.415</v>
      </c>
      <c r="H353" s="16">
        <f t="shared" si="73"/>
        <v>6816.915</v>
      </c>
    </row>
    <row r="354" spans="1:10" x14ac:dyDescent="0.25">
      <c r="A354" s="1" t="s">
        <v>305</v>
      </c>
      <c r="B354" s="2"/>
      <c r="C354" s="2"/>
      <c r="D354" s="3" t="s">
        <v>151</v>
      </c>
      <c r="E354" s="7" t="s">
        <v>21</v>
      </c>
      <c r="F354" s="7">
        <v>7105.5</v>
      </c>
      <c r="G354" s="16">
        <f t="shared" ref="G354" si="74">F354*0.19</f>
        <v>1350.0450000000001</v>
      </c>
      <c r="H354" s="16">
        <f t="shared" ref="H354" si="75">F354+G354</f>
        <v>8455.5450000000001</v>
      </c>
    </row>
    <row r="355" spans="1:10" x14ac:dyDescent="0.25">
      <c r="A355" s="1" t="s">
        <v>305</v>
      </c>
      <c r="B355" s="2"/>
      <c r="C355" s="2"/>
      <c r="D355" s="3" t="s">
        <v>153</v>
      </c>
      <c r="E355" s="7" t="s">
        <v>21</v>
      </c>
      <c r="F355" s="7">
        <v>9712.5</v>
      </c>
      <c r="G355" s="15">
        <f t="shared" si="58"/>
        <v>1845.375</v>
      </c>
      <c r="H355" s="15">
        <f t="shared" si="73"/>
        <v>11557.875</v>
      </c>
    </row>
    <row r="356" spans="1:10" x14ac:dyDescent="0.25">
      <c r="A356" s="1" t="s">
        <v>306</v>
      </c>
      <c r="B356" s="2"/>
      <c r="C356" s="2"/>
      <c r="D356" s="3" t="s">
        <v>154</v>
      </c>
      <c r="E356" s="7" t="s">
        <v>21</v>
      </c>
      <c r="F356" s="7">
        <v>12067.5</v>
      </c>
      <c r="G356" s="15">
        <f t="shared" si="58"/>
        <v>2292.8249999999998</v>
      </c>
      <c r="H356" s="15">
        <f t="shared" si="73"/>
        <v>14360.325000000001</v>
      </c>
    </row>
    <row r="357" spans="1:10" x14ac:dyDescent="0.25">
      <c r="A357" s="1" t="s">
        <v>306</v>
      </c>
      <c r="B357" s="2"/>
      <c r="C357" s="2"/>
      <c r="D357" s="3" t="s">
        <v>155</v>
      </c>
      <c r="E357" s="7" t="s">
        <v>21</v>
      </c>
      <c r="F357" s="7">
        <v>15832.5</v>
      </c>
      <c r="G357" s="15">
        <f t="shared" ref="G357" si="76">F357*0.19</f>
        <v>3008.1750000000002</v>
      </c>
      <c r="H357" s="15">
        <f t="shared" ref="H357" si="77">F357+G357</f>
        <v>18840.674999999999</v>
      </c>
    </row>
    <row r="358" spans="1:10" x14ac:dyDescent="0.25">
      <c r="A358" s="1" t="s">
        <v>305</v>
      </c>
      <c r="B358" s="2"/>
      <c r="C358" s="2"/>
      <c r="D358" s="3" t="s">
        <v>122</v>
      </c>
      <c r="E358" s="7" t="s">
        <v>21</v>
      </c>
      <c r="F358" s="7">
        <v>19222.5</v>
      </c>
      <c r="G358" s="15">
        <f t="shared" si="58"/>
        <v>3652.2750000000001</v>
      </c>
      <c r="H358" s="15">
        <f t="shared" si="73"/>
        <v>22874.775000000001</v>
      </c>
    </row>
    <row r="359" spans="1:10" x14ac:dyDescent="0.25">
      <c r="A359" s="1" t="s">
        <v>305</v>
      </c>
      <c r="B359" s="2"/>
      <c r="C359" s="2"/>
      <c r="D359" s="3" t="s">
        <v>158</v>
      </c>
      <c r="E359" s="7" t="s">
        <v>21</v>
      </c>
      <c r="F359" s="7">
        <v>25560</v>
      </c>
      <c r="G359" s="7">
        <f t="shared" si="58"/>
        <v>4856.3999999999996</v>
      </c>
      <c r="H359" s="7">
        <f t="shared" si="73"/>
        <v>30416.400000000001</v>
      </c>
    </row>
    <row r="360" spans="1:10" x14ac:dyDescent="0.25">
      <c r="A360" s="1" t="s">
        <v>307</v>
      </c>
      <c r="B360" s="2"/>
      <c r="C360" s="2"/>
      <c r="D360" s="3" t="s">
        <v>156</v>
      </c>
      <c r="E360" s="7" t="s">
        <v>21</v>
      </c>
      <c r="F360" s="7">
        <v>41760</v>
      </c>
      <c r="G360" s="7">
        <f t="shared" si="58"/>
        <v>7934.4000000000005</v>
      </c>
      <c r="H360" s="7">
        <f t="shared" si="73"/>
        <v>49694.400000000001</v>
      </c>
    </row>
    <row r="361" spans="1:10" x14ac:dyDescent="0.25">
      <c r="A361" s="1" t="s">
        <v>308</v>
      </c>
      <c r="B361" s="2"/>
      <c r="C361" s="2"/>
      <c r="D361" s="3" t="s">
        <v>124</v>
      </c>
      <c r="E361" s="7" t="s">
        <v>21</v>
      </c>
      <c r="F361" s="7">
        <v>54637.5</v>
      </c>
      <c r="G361" s="15">
        <f>F361*0.19</f>
        <v>10381.125</v>
      </c>
      <c r="H361" s="15">
        <f>F361+G361</f>
        <v>65018.625</v>
      </c>
    </row>
    <row r="362" spans="1:10" x14ac:dyDescent="0.25">
      <c r="A362" s="1" t="s">
        <v>307</v>
      </c>
      <c r="B362" s="2"/>
      <c r="C362" s="2"/>
      <c r="D362" s="3" t="s">
        <v>125</v>
      </c>
      <c r="E362" s="7" t="s">
        <v>21</v>
      </c>
      <c r="F362" s="7">
        <v>77760</v>
      </c>
      <c r="G362" s="15">
        <f t="shared" ref="G362:G363" si="78">F362*0.19</f>
        <v>14774.4</v>
      </c>
      <c r="H362" s="15">
        <f t="shared" ref="H362:H363" si="79">F362+G362</f>
        <v>92534.399999999994</v>
      </c>
    </row>
    <row r="363" spans="1:10" x14ac:dyDescent="0.25">
      <c r="A363" s="1" t="s">
        <v>309</v>
      </c>
      <c r="B363" s="2"/>
      <c r="C363" s="2"/>
      <c r="D363" s="3" t="s">
        <v>233</v>
      </c>
      <c r="E363" s="7" t="s">
        <v>21</v>
      </c>
      <c r="F363" s="7">
        <v>135525</v>
      </c>
      <c r="G363" s="15">
        <f t="shared" si="78"/>
        <v>25749.75</v>
      </c>
      <c r="H363" s="15">
        <f t="shared" si="79"/>
        <v>161274.75</v>
      </c>
    </row>
    <row r="364" spans="1:10" x14ac:dyDescent="0.25">
      <c r="A364" s="1" t="s">
        <v>302</v>
      </c>
      <c r="B364" s="2"/>
      <c r="C364" s="2"/>
      <c r="D364" s="3" t="s">
        <v>151</v>
      </c>
      <c r="E364" s="7" t="s">
        <v>21</v>
      </c>
      <c r="F364" s="7">
        <v>10447.5</v>
      </c>
      <c r="G364" s="15">
        <f t="shared" si="58"/>
        <v>1985.0250000000001</v>
      </c>
      <c r="H364" s="16">
        <f t="shared" si="73"/>
        <v>12432.525</v>
      </c>
      <c r="J364" t="s">
        <v>247</v>
      </c>
    </row>
    <row r="365" spans="1:10" x14ac:dyDescent="0.25">
      <c r="A365" s="1" t="s">
        <v>303</v>
      </c>
      <c r="B365" s="2"/>
      <c r="C365" s="2"/>
      <c r="D365" s="3" t="s">
        <v>153</v>
      </c>
      <c r="E365" s="7" t="s">
        <v>21</v>
      </c>
      <c r="F365" s="7">
        <v>13012.5</v>
      </c>
      <c r="G365" s="15">
        <f>F365*0.19</f>
        <v>2472.375</v>
      </c>
      <c r="H365" s="16">
        <f>F365+G365</f>
        <v>15484.875</v>
      </c>
    </row>
    <row r="366" spans="1:10" x14ac:dyDescent="0.25">
      <c r="A366" s="1" t="s">
        <v>303</v>
      </c>
      <c r="B366" s="2"/>
      <c r="C366" s="2"/>
      <c r="D366" s="3" t="s">
        <v>154</v>
      </c>
      <c r="E366" s="7" t="s">
        <v>21</v>
      </c>
      <c r="F366" s="7">
        <v>17647.5</v>
      </c>
      <c r="G366" s="15">
        <f>F366*0.19</f>
        <v>3353.0250000000001</v>
      </c>
      <c r="H366" s="16">
        <f>F366+G366</f>
        <v>21000.525000000001</v>
      </c>
    </row>
    <row r="367" spans="1:10" x14ac:dyDescent="0.25">
      <c r="A367" s="1" t="s">
        <v>303</v>
      </c>
      <c r="B367" s="2"/>
      <c r="C367" s="2"/>
      <c r="D367" s="3" t="s">
        <v>155</v>
      </c>
      <c r="E367" s="7" t="s">
        <v>21</v>
      </c>
      <c r="F367" s="7">
        <v>20347.5</v>
      </c>
      <c r="G367" s="15">
        <f>F367*0.19</f>
        <v>3866.0250000000001</v>
      </c>
      <c r="H367" s="15">
        <f>F367+G367</f>
        <v>24213.525000000001</v>
      </c>
      <c r="I367" t="s">
        <v>292</v>
      </c>
    </row>
    <row r="368" spans="1:10" x14ac:dyDescent="0.25">
      <c r="A368" s="1" t="s">
        <v>303</v>
      </c>
      <c r="B368" s="2"/>
      <c r="C368" s="2"/>
      <c r="D368" s="3" t="s">
        <v>122</v>
      </c>
      <c r="E368" s="7" t="s">
        <v>21</v>
      </c>
      <c r="F368" s="7">
        <v>25057.5</v>
      </c>
      <c r="G368" s="15">
        <f>F368*0.19</f>
        <v>4760.9250000000002</v>
      </c>
      <c r="H368" s="15">
        <f>F368+G368</f>
        <v>29818.424999999999</v>
      </c>
    </row>
    <row r="369" spans="1:8" x14ac:dyDescent="0.25">
      <c r="A369" s="1" t="s">
        <v>304</v>
      </c>
      <c r="B369" s="2"/>
      <c r="C369" s="2"/>
      <c r="D369" s="3" t="s">
        <v>158</v>
      </c>
      <c r="E369" s="7" t="s">
        <v>21</v>
      </c>
      <c r="F369" s="7">
        <v>34575</v>
      </c>
      <c r="G369" s="7">
        <f t="shared" ref="G369" si="80">F369*0.19</f>
        <v>6569.25</v>
      </c>
      <c r="H369" s="7">
        <f t="shared" ref="H369" si="81">F369+G369</f>
        <v>41144.25</v>
      </c>
    </row>
    <row r="370" spans="1:8" x14ac:dyDescent="0.25">
      <c r="A370" s="1" t="s">
        <v>303</v>
      </c>
      <c r="B370" s="2"/>
      <c r="C370" s="2"/>
      <c r="D370" s="3" t="s">
        <v>156</v>
      </c>
      <c r="E370" s="7" t="s">
        <v>21</v>
      </c>
      <c r="F370" s="7">
        <v>55207.5</v>
      </c>
      <c r="G370" s="15">
        <f t="shared" ref="G370" si="82">F370*0.19</f>
        <v>10489.424999999999</v>
      </c>
      <c r="H370" s="15">
        <f t="shared" ref="H370" si="83">F370+G370</f>
        <v>65696.925000000003</v>
      </c>
    </row>
    <row r="371" spans="1:8" x14ac:dyDescent="0.25">
      <c r="A371" s="1" t="s">
        <v>303</v>
      </c>
      <c r="B371" s="2"/>
      <c r="C371" s="2"/>
      <c r="D371" s="3" t="s">
        <v>124</v>
      </c>
      <c r="E371" s="7" t="s">
        <v>21</v>
      </c>
      <c r="F371" s="7">
        <v>73912.5</v>
      </c>
      <c r="G371" s="7">
        <f>F371*0.19</f>
        <v>14043.375</v>
      </c>
      <c r="H371" s="7">
        <f>F371+G371</f>
        <v>87955.875</v>
      </c>
    </row>
    <row r="372" spans="1:8" x14ac:dyDescent="0.25">
      <c r="A372" s="1" t="s">
        <v>303</v>
      </c>
      <c r="B372" s="2"/>
      <c r="C372" s="2"/>
      <c r="D372" s="3" t="s">
        <v>125</v>
      </c>
      <c r="E372" s="7" t="s">
        <v>21</v>
      </c>
      <c r="F372" s="7">
        <v>106605</v>
      </c>
      <c r="G372" s="7">
        <f t="shared" ref="G372:G373" si="84">F372*0.19</f>
        <v>20254.95</v>
      </c>
      <c r="H372" s="7">
        <f t="shared" ref="H372:H373" si="85">F372+G372</f>
        <v>126859.95</v>
      </c>
    </row>
    <row r="373" spans="1:8" x14ac:dyDescent="0.25">
      <c r="A373" s="1" t="s">
        <v>303</v>
      </c>
      <c r="B373" s="2"/>
      <c r="C373" s="2"/>
      <c r="D373" s="3" t="s">
        <v>233</v>
      </c>
      <c r="E373" s="7" t="s">
        <v>21</v>
      </c>
      <c r="F373" s="7">
        <v>197370</v>
      </c>
      <c r="G373" s="7">
        <f t="shared" si="84"/>
        <v>37500.300000000003</v>
      </c>
      <c r="H373" s="7">
        <f t="shared" si="85"/>
        <v>234870.3</v>
      </c>
    </row>
    <row r="374" spans="1:8" x14ac:dyDescent="0.25">
      <c r="A374" s="1" t="s">
        <v>303</v>
      </c>
      <c r="B374" s="2"/>
      <c r="C374" s="2"/>
      <c r="D374" s="3" t="s">
        <v>234</v>
      </c>
      <c r="E374" s="7" t="s">
        <v>21</v>
      </c>
      <c r="F374" s="7">
        <v>260415</v>
      </c>
      <c r="G374" s="16">
        <f t="shared" ref="G374" si="86">F374*0.19</f>
        <v>49478.85</v>
      </c>
      <c r="H374" s="16">
        <f t="shared" ref="H374" si="87">F374+G374</f>
        <v>309893.84999999998</v>
      </c>
    </row>
    <row r="375" spans="1:8" x14ac:dyDescent="0.25">
      <c r="A375" s="1" t="s">
        <v>372</v>
      </c>
      <c r="B375" s="2"/>
      <c r="C375" s="2"/>
      <c r="D375" s="3" t="s">
        <v>153</v>
      </c>
      <c r="E375" s="7" t="s">
        <v>21</v>
      </c>
      <c r="F375" s="7">
        <v>16162.5</v>
      </c>
      <c r="G375" s="15">
        <f>F375*0.19</f>
        <v>3070.875</v>
      </c>
      <c r="H375" s="16">
        <f>F375+G375</f>
        <v>19233.375</v>
      </c>
    </row>
    <row r="376" spans="1:8" x14ac:dyDescent="0.25">
      <c r="A376" s="1" t="s">
        <v>36</v>
      </c>
      <c r="B376" s="2"/>
      <c r="C376" s="2"/>
      <c r="D376" s="3"/>
      <c r="E376" s="7" t="s">
        <v>21</v>
      </c>
      <c r="F376" s="7">
        <v>21200</v>
      </c>
      <c r="G376" s="7">
        <f t="shared" si="58"/>
        <v>4028</v>
      </c>
      <c r="H376" s="7">
        <f t="shared" si="73"/>
        <v>25228</v>
      </c>
    </row>
    <row r="377" spans="1:8" x14ac:dyDescent="0.25">
      <c r="A377" s="1" t="s">
        <v>23</v>
      </c>
      <c r="B377" s="2"/>
      <c r="C377" s="2"/>
      <c r="D377" s="3"/>
      <c r="E377" s="7" t="s">
        <v>21</v>
      </c>
      <c r="F377" s="7">
        <v>52489</v>
      </c>
      <c r="G377" s="7">
        <f t="shared" si="58"/>
        <v>9972.91</v>
      </c>
      <c r="H377" s="7">
        <f t="shared" si="73"/>
        <v>62461.91</v>
      </c>
    </row>
    <row r="378" spans="1:8" x14ac:dyDescent="0.25">
      <c r="A378" s="1" t="s">
        <v>34</v>
      </c>
      <c r="B378" s="2"/>
      <c r="C378" s="2"/>
      <c r="D378" s="3"/>
      <c r="E378" s="7" t="s">
        <v>21</v>
      </c>
      <c r="F378" s="7">
        <v>14417</v>
      </c>
      <c r="G378" s="7">
        <f t="shared" si="58"/>
        <v>2739.23</v>
      </c>
      <c r="H378" s="7">
        <f t="shared" si="73"/>
        <v>17156.23</v>
      </c>
    </row>
    <row r="379" spans="1:8" x14ac:dyDescent="0.25">
      <c r="A379" s="1" t="s">
        <v>33</v>
      </c>
      <c r="B379" s="2"/>
      <c r="C379" s="2"/>
      <c r="D379" s="3"/>
      <c r="E379" s="7" t="s">
        <v>21</v>
      </c>
      <c r="F379" s="7">
        <v>21400</v>
      </c>
      <c r="G379" s="7">
        <f t="shared" si="58"/>
        <v>4066</v>
      </c>
      <c r="H379" s="7">
        <f t="shared" si="73"/>
        <v>25466</v>
      </c>
    </row>
    <row r="380" spans="1:8" x14ac:dyDescent="0.25">
      <c r="A380" s="1" t="s">
        <v>35</v>
      </c>
      <c r="B380" s="2"/>
      <c r="C380" s="2"/>
      <c r="D380" s="3"/>
      <c r="E380" s="7" t="s">
        <v>21</v>
      </c>
      <c r="F380" s="7">
        <v>55166.67</v>
      </c>
      <c r="G380" s="7">
        <f t="shared" si="58"/>
        <v>10481.667299999999</v>
      </c>
      <c r="H380" s="7">
        <f t="shared" si="73"/>
        <v>65648.337299999999</v>
      </c>
    </row>
    <row r="381" spans="1:8" x14ac:dyDescent="0.25">
      <c r="A381" s="1" t="s">
        <v>119</v>
      </c>
      <c r="B381" s="2"/>
      <c r="C381" s="2"/>
      <c r="D381" s="3"/>
      <c r="E381" s="7"/>
      <c r="F381" s="7">
        <v>140000</v>
      </c>
      <c r="G381" s="7">
        <f t="shared" si="58"/>
        <v>26600</v>
      </c>
      <c r="H381" s="7">
        <f t="shared" si="73"/>
        <v>166600</v>
      </c>
    </row>
    <row r="382" spans="1:8" x14ac:dyDescent="0.25">
      <c r="A382" s="1" t="s">
        <v>24</v>
      </c>
      <c r="B382" s="2"/>
      <c r="C382" s="2"/>
      <c r="D382" s="3"/>
      <c r="E382" s="7" t="s">
        <v>21</v>
      </c>
      <c r="F382" s="7">
        <v>96860</v>
      </c>
      <c r="G382" s="7">
        <f t="shared" si="58"/>
        <v>18403.400000000001</v>
      </c>
      <c r="H382" s="7">
        <f t="shared" si="73"/>
        <v>115263.4</v>
      </c>
    </row>
    <row r="383" spans="1:8" x14ac:dyDescent="0.25">
      <c r="A383" s="1" t="s">
        <v>22</v>
      </c>
      <c r="B383" s="2"/>
      <c r="C383" s="2"/>
      <c r="D383" s="3"/>
      <c r="E383" s="7" t="s">
        <v>21</v>
      </c>
      <c r="F383" s="7">
        <v>20900</v>
      </c>
      <c r="G383" s="7">
        <f t="shared" ref="G383:G440" si="88">F383*0.19</f>
        <v>3971</v>
      </c>
      <c r="H383" s="7">
        <f t="shared" si="73"/>
        <v>24871</v>
      </c>
    </row>
    <row r="384" spans="1:8" x14ac:dyDescent="0.25">
      <c r="A384" s="1" t="s">
        <v>157</v>
      </c>
      <c r="B384" s="2"/>
      <c r="C384" s="2"/>
      <c r="D384" s="3" t="s">
        <v>151</v>
      </c>
      <c r="E384" s="7"/>
      <c r="F384" s="7">
        <v>2713.2</v>
      </c>
      <c r="G384" s="15">
        <f t="shared" si="88"/>
        <v>515.50799999999992</v>
      </c>
      <c r="H384" s="15">
        <f t="shared" si="73"/>
        <v>3228.7079999999996</v>
      </c>
    </row>
    <row r="385" spans="1:8" x14ac:dyDescent="0.25">
      <c r="A385" s="1" t="s">
        <v>157</v>
      </c>
      <c r="B385" s="2"/>
      <c r="C385" s="2"/>
      <c r="D385" s="3" t="s">
        <v>153</v>
      </c>
      <c r="E385" s="7"/>
      <c r="F385" s="7">
        <v>3837.75</v>
      </c>
      <c r="G385" s="15">
        <f t="shared" si="88"/>
        <v>729.17250000000001</v>
      </c>
      <c r="H385" s="15">
        <f t="shared" si="73"/>
        <v>4566.9224999999997</v>
      </c>
    </row>
    <row r="386" spans="1:8" x14ac:dyDescent="0.25">
      <c r="A386" s="1" t="s">
        <v>157</v>
      </c>
      <c r="B386" s="2"/>
      <c r="C386" s="2"/>
      <c r="D386" s="3" t="s">
        <v>154</v>
      </c>
      <c r="E386" s="7"/>
      <c r="F386" s="7">
        <v>5292.1</v>
      </c>
      <c r="G386" s="15">
        <f t="shared" si="88"/>
        <v>1005.4990000000001</v>
      </c>
      <c r="H386" s="15">
        <f t="shared" si="73"/>
        <v>6297.5990000000002</v>
      </c>
    </row>
    <row r="387" spans="1:8" x14ac:dyDescent="0.25">
      <c r="A387" s="1" t="s">
        <v>157</v>
      </c>
      <c r="B387" s="2"/>
      <c r="C387" s="2"/>
      <c r="D387" s="3" t="s">
        <v>155</v>
      </c>
      <c r="E387" s="7"/>
      <c r="F387" s="7">
        <v>7608.35</v>
      </c>
      <c r="G387" s="15">
        <f t="shared" si="88"/>
        <v>1445.5865000000001</v>
      </c>
      <c r="H387" s="15">
        <f t="shared" si="73"/>
        <v>9053.9364999999998</v>
      </c>
    </row>
    <row r="388" spans="1:8" x14ac:dyDescent="0.25">
      <c r="A388" s="1" t="s">
        <v>157</v>
      </c>
      <c r="B388" s="2"/>
      <c r="C388" s="2"/>
      <c r="D388" s="3" t="s">
        <v>122</v>
      </c>
      <c r="E388" s="7"/>
      <c r="F388" s="7">
        <v>9589.7000000000007</v>
      </c>
      <c r="G388" s="15">
        <f t="shared" si="88"/>
        <v>1822.0430000000001</v>
      </c>
      <c r="H388" s="15">
        <f t="shared" si="73"/>
        <v>11411.743</v>
      </c>
    </row>
    <row r="389" spans="1:8" x14ac:dyDescent="0.25">
      <c r="A389" s="1" t="s">
        <v>157</v>
      </c>
      <c r="B389" s="2"/>
      <c r="C389" s="2"/>
      <c r="D389" s="3" t="s">
        <v>158</v>
      </c>
      <c r="E389" s="7"/>
      <c r="F389" s="7">
        <v>12632.7</v>
      </c>
      <c r="G389" s="15">
        <f t="shared" si="88"/>
        <v>2400.2130000000002</v>
      </c>
      <c r="H389" s="15">
        <f t="shared" si="73"/>
        <v>15032.913</v>
      </c>
    </row>
    <row r="390" spans="1:8" x14ac:dyDescent="0.25">
      <c r="A390" s="1" t="s">
        <v>157</v>
      </c>
      <c r="B390" s="2"/>
      <c r="C390" s="2"/>
      <c r="D390" s="3" t="s">
        <v>156</v>
      </c>
      <c r="E390" s="7"/>
      <c r="F390" s="7"/>
      <c r="G390" s="15">
        <f t="shared" si="88"/>
        <v>0</v>
      </c>
      <c r="H390" s="15">
        <f t="shared" si="73"/>
        <v>0</v>
      </c>
    </row>
    <row r="391" spans="1:8" x14ac:dyDescent="0.25">
      <c r="A391" s="1" t="s">
        <v>157</v>
      </c>
      <c r="B391" s="2"/>
      <c r="C391" s="2"/>
      <c r="D391" s="3" t="s">
        <v>124</v>
      </c>
      <c r="E391" s="7"/>
      <c r="F391" s="7">
        <v>36047.65</v>
      </c>
      <c r="G391" s="15">
        <f t="shared" si="88"/>
        <v>6849.0535</v>
      </c>
      <c r="H391" s="15">
        <f t="shared" si="73"/>
        <v>42896.703500000003</v>
      </c>
    </row>
    <row r="392" spans="1:8" x14ac:dyDescent="0.25">
      <c r="A392" s="1" t="s">
        <v>157</v>
      </c>
      <c r="B392" s="2"/>
      <c r="C392" s="2"/>
      <c r="D392" s="3" t="s">
        <v>125</v>
      </c>
      <c r="E392" s="7"/>
      <c r="F392" s="7">
        <v>62434.2</v>
      </c>
      <c r="G392" s="15">
        <f t="shared" si="88"/>
        <v>11862.498</v>
      </c>
      <c r="H392" s="15">
        <f t="shared" si="73"/>
        <v>74296.698000000004</v>
      </c>
    </row>
    <row r="393" spans="1:8" x14ac:dyDescent="0.25">
      <c r="A393" s="1" t="s">
        <v>273</v>
      </c>
      <c r="B393" s="2"/>
      <c r="C393" s="2"/>
      <c r="D393" s="3" t="s">
        <v>272</v>
      </c>
      <c r="E393" s="7"/>
      <c r="F393" s="7">
        <v>3455</v>
      </c>
      <c r="G393" s="15">
        <f t="shared" si="88"/>
        <v>656.45</v>
      </c>
      <c r="H393" s="15">
        <f t="shared" si="73"/>
        <v>4111.45</v>
      </c>
    </row>
    <row r="394" spans="1:8" x14ac:dyDescent="0.25">
      <c r="A394" s="1" t="s">
        <v>327</v>
      </c>
      <c r="B394" s="2"/>
      <c r="C394" s="2"/>
      <c r="D394" s="3" t="s">
        <v>151</v>
      </c>
      <c r="E394" s="7"/>
      <c r="F394" s="7">
        <v>1716</v>
      </c>
      <c r="G394" s="15">
        <f t="shared" si="88"/>
        <v>326.04000000000002</v>
      </c>
      <c r="H394" s="15">
        <f t="shared" si="73"/>
        <v>2042.04</v>
      </c>
    </row>
    <row r="395" spans="1:8" x14ac:dyDescent="0.25">
      <c r="A395" s="1" t="s">
        <v>326</v>
      </c>
      <c r="B395" s="2"/>
      <c r="C395" s="2"/>
      <c r="D395" s="3" t="s">
        <v>151</v>
      </c>
      <c r="E395" s="7"/>
      <c r="F395" s="7">
        <v>4224</v>
      </c>
      <c r="G395" s="15">
        <f t="shared" si="88"/>
        <v>802.56000000000006</v>
      </c>
      <c r="H395" s="15">
        <f t="shared" si="73"/>
        <v>5026.5600000000004</v>
      </c>
    </row>
    <row r="396" spans="1:8" x14ac:dyDescent="0.25">
      <c r="A396" s="1" t="s">
        <v>325</v>
      </c>
      <c r="B396" s="2"/>
      <c r="C396" s="2"/>
      <c r="D396" s="3" t="s">
        <v>125</v>
      </c>
      <c r="E396" s="7"/>
      <c r="F396" s="7" t="s">
        <v>247</v>
      </c>
      <c r="G396" s="7" t="e">
        <f t="shared" ref="G396" si="89">F396*0.19</f>
        <v>#VALUE!</v>
      </c>
      <c r="H396" s="7" t="e">
        <f t="shared" ref="H396" si="90">F396+G396</f>
        <v>#VALUE!</v>
      </c>
    </row>
    <row r="397" spans="1:8" x14ac:dyDescent="0.25">
      <c r="A397" s="1" t="s">
        <v>110</v>
      </c>
      <c r="B397" s="2"/>
      <c r="C397" s="2"/>
      <c r="D397" s="3"/>
      <c r="E397" s="7"/>
      <c r="F397" s="7">
        <v>3000</v>
      </c>
      <c r="G397" s="7">
        <f t="shared" si="88"/>
        <v>570</v>
      </c>
      <c r="H397" s="7">
        <f t="shared" si="73"/>
        <v>3570</v>
      </c>
    </row>
    <row r="398" spans="1:8" x14ac:dyDescent="0.25">
      <c r="A398" s="1" t="s">
        <v>130</v>
      </c>
      <c r="B398" s="2"/>
      <c r="C398" s="2"/>
      <c r="D398" s="3"/>
      <c r="E398" s="7"/>
      <c r="F398" s="7">
        <v>28710</v>
      </c>
      <c r="G398" s="7">
        <f>F398*0.19</f>
        <v>5454.9</v>
      </c>
      <c r="H398" s="7">
        <f>F398+G398</f>
        <v>34164.9</v>
      </c>
    </row>
    <row r="399" spans="1:8" x14ac:dyDescent="0.25">
      <c r="A399" s="1" t="s">
        <v>244</v>
      </c>
      <c r="B399" s="2"/>
      <c r="C399" s="2"/>
      <c r="D399" s="3"/>
      <c r="E399" s="7"/>
      <c r="F399" s="7">
        <v>3020</v>
      </c>
      <c r="G399" s="7">
        <f t="shared" ref="G399" si="91">F399*0.19</f>
        <v>573.79999999999995</v>
      </c>
      <c r="H399" s="7">
        <f t="shared" ref="H399" si="92">F399+G399</f>
        <v>3593.8</v>
      </c>
    </row>
    <row r="400" spans="1:8" x14ac:dyDescent="0.25">
      <c r="A400" s="1" t="s">
        <v>76</v>
      </c>
      <c r="B400" s="2"/>
      <c r="C400" s="2"/>
      <c r="D400" s="3"/>
      <c r="E400" s="7"/>
      <c r="F400" s="7">
        <v>5040</v>
      </c>
      <c r="G400" s="7">
        <f t="shared" si="88"/>
        <v>957.6</v>
      </c>
      <c r="H400" s="7">
        <f t="shared" si="73"/>
        <v>5997.6</v>
      </c>
    </row>
    <row r="401" spans="1:8" x14ac:dyDescent="0.25">
      <c r="A401" s="1" t="s">
        <v>69</v>
      </c>
      <c r="B401" s="2"/>
      <c r="C401" s="2"/>
      <c r="D401" s="3"/>
      <c r="E401" s="7"/>
      <c r="F401" s="7">
        <v>9600</v>
      </c>
      <c r="G401" s="7">
        <f t="shared" si="88"/>
        <v>1824</v>
      </c>
      <c r="H401" s="7">
        <f t="shared" si="73"/>
        <v>11424</v>
      </c>
    </row>
    <row r="402" spans="1:8" x14ac:dyDescent="0.25">
      <c r="A402" s="1" t="s">
        <v>109</v>
      </c>
      <c r="B402" s="2"/>
      <c r="C402" s="2"/>
      <c r="D402" s="3"/>
      <c r="E402" s="7"/>
      <c r="F402" s="7">
        <v>234786</v>
      </c>
      <c r="G402" s="7">
        <f t="shared" si="88"/>
        <v>44609.340000000004</v>
      </c>
      <c r="H402" s="7">
        <f t="shared" si="73"/>
        <v>279395.34000000003</v>
      </c>
    </row>
    <row r="403" spans="1:8" x14ac:dyDescent="0.25">
      <c r="A403" s="1" t="s">
        <v>79</v>
      </c>
      <c r="B403" s="2"/>
      <c r="C403" s="2"/>
      <c r="D403" s="3"/>
      <c r="E403" s="7"/>
      <c r="F403" s="7">
        <v>9324.5</v>
      </c>
      <c r="G403" s="7">
        <f t="shared" si="88"/>
        <v>1771.655</v>
      </c>
      <c r="H403" s="7">
        <f t="shared" si="73"/>
        <v>11096.155000000001</v>
      </c>
    </row>
    <row r="404" spans="1:8" x14ac:dyDescent="0.25">
      <c r="A404" s="1" t="s">
        <v>39</v>
      </c>
      <c r="B404" s="2"/>
      <c r="C404" s="2"/>
      <c r="D404" s="3"/>
      <c r="E404" s="7"/>
      <c r="F404" s="7">
        <v>3705</v>
      </c>
      <c r="G404" s="7">
        <f t="shared" si="88"/>
        <v>703.95</v>
      </c>
      <c r="H404" s="7">
        <f t="shared" si="73"/>
        <v>4408.95</v>
      </c>
    </row>
    <row r="405" spans="1:8" x14ac:dyDescent="0.25">
      <c r="A405" s="1" t="s">
        <v>222</v>
      </c>
      <c r="B405" s="2"/>
      <c r="C405" s="2" t="s">
        <v>151</v>
      </c>
      <c r="D405" s="3"/>
      <c r="E405" s="7"/>
      <c r="F405" s="7">
        <v>800</v>
      </c>
      <c r="G405" s="7">
        <f t="shared" si="88"/>
        <v>152</v>
      </c>
      <c r="H405" s="7">
        <f t="shared" si="73"/>
        <v>952</v>
      </c>
    </row>
    <row r="406" spans="1:8" x14ac:dyDescent="0.25">
      <c r="A406" s="1" t="s">
        <v>222</v>
      </c>
      <c r="B406" s="2"/>
      <c r="C406" s="2" t="s">
        <v>153</v>
      </c>
      <c r="D406" s="3"/>
      <c r="E406" s="7"/>
      <c r="F406" s="7">
        <v>1089</v>
      </c>
      <c r="G406" s="7">
        <f t="shared" si="88"/>
        <v>206.91</v>
      </c>
      <c r="H406" s="7">
        <f t="shared" si="73"/>
        <v>1295.9100000000001</v>
      </c>
    </row>
    <row r="407" spans="1:8" x14ac:dyDescent="0.25">
      <c r="A407" s="1" t="s">
        <v>222</v>
      </c>
      <c r="B407" s="2"/>
      <c r="C407" s="2" t="s">
        <v>154</v>
      </c>
      <c r="D407" s="3"/>
      <c r="E407" s="7"/>
      <c r="F407" s="7">
        <v>1920</v>
      </c>
      <c r="G407" s="7">
        <f t="shared" si="88"/>
        <v>364.8</v>
      </c>
      <c r="H407" s="7">
        <f t="shared" si="73"/>
        <v>2284.8000000000002</v>
      </c>
    </row>
    <row r="408" spans="1:8" x14ac:dyDescent="0.25">
      <c r="A408" s="1" t="s">
        <v>222</v>
      </c>
      <c r="B408" s="2"/>
      <c r="C408" s="2" t="s">
        <v>122</v>
      </c>
      <c r="D408" s="3"/>
      <c r="E408" s="7"/>
      <c r="F408" s="7">
        <v>3262</v>
      </c>
      <c r="G408" s="7">
        <f t="shared" si="88"/>
        <v>619.78</v>
      </c>
      <c r="H408" s="7">
        <f t="shared" si="73"/>
        <v>3881.7799999999997</v>
      </c>
    </row>
    <row r="409" spans="1:8" x14ac:dyDescent="0.25">
      <c r="A409" s="1" t="s">
        <v>222</v>
      </c>
      <c r="B409" s="2"/>
      <c r="C409" s="2" t="s">
        <v>123</v>
      </c>
      <c r="D409" s="3"/>
      <c r="E409" s="7"/>
      <c r="F409" s="7">
        <v>5150</v>
      </c>
      <c r="G409" s="7">
        <f t="shared" si="88"/>
        <v>978.5</v>
      </c>
      <c r="H409" s="7">
        <f t="shared" si="73"/>
        <v>6128.5</v>
      </c>
    </row>
    <row r="410" spans="1:8" x14ac:dyDescent="0.25">
      <c r="A410" s="1" t="s">
        <v>248</v>
      </c>
      <c r="B410" s="2"/>
      <c r="C410" s="2" t="s">
        <v>151</v>
      </c>
      <c r="D410" s="3"/>
      <c r="E410" s="7"/>
      <c r="F410" s="7">
        <v>1395</v>
      </c>
      <c r="G410" s="7">
        <f t="shared" si="88"/>
        <v>265.05</v>
      </c>
      <c r="H410" s="7">
        <f t="shared" si="73"/>
        <v>1660.05</v>
      </c>
    </row>
    <row r="411" spans="1:8" x14ac:dyDescent="0.25">
      <c r="A411" s="1" t="s">
        <v>248</v>
      </c>
      <c r="B411" s="2"/>
      <c r="C411" s="2" t="s">
        <v>153</v>
      </c>
      <c r="D411" s="3"/>
      <c r="E411" s="7"/>
      <c r="F411" s="7">
        <v>1830</v>
      </c>
      <c r="G411" s="7">
        <f t="shared" si="88"/>
        <v>347.7</v>
      </c>
      <c r="H411" s="7">
        <f t="shared" si="73"/>
        <v>2177.6999999999998</v>
      </c>
    </row>
    <row r="412" spans="1:8" x14ac:dyDescent="0.25">
      <c r="A412" s="1" t="s">
        <v>248</v>
      </c>
      <c r="B412" s="2"/>
      <c r="C412" s="2" t="s">
        <v>154</v>
      </c>
      <c r="D412" s="3"/>
      <c r="E412" s="7"/>
      <c r="F412" s="7">
        <v>2782.5</v>
      </c>
      <c r="G412" s="7">
        <f t="shared" si="88"/>
        <v>528.67499999999995</v>
      </c>
      <c r="H412" s="7">
        <f t="shared" si="73"/>
        <v>3311.1750000000002</v>
      </c>
    </row>
    <row r="413" spans="1:8" x14ac:dyDescent="0.25">
      <c r="A413" s="1" t="s">
        <v>248</v>
      </c>
      <c r="B413" s="2"/>
      <c r="C413" s="2" t="s">
        <v>122</v>
      </c>
      <c r="D413" s="3"/>
      <c r="E413" s="7"/>
      <c r="F413" s="7">
        <v>4762</v>
      </c>
      <c r="G413" s="7">
        <f t="shared" si="88"/>
        <v>904.78</v>
      </c>
      <c r="H413" s="7">
        <f t="shared" si="73"/>
        <v>5666.78</v>
      </c>
    </row>
    <row r="414" spans="1:8" x14ac:dyDescent="0.25">
      <c r="A414" s="1" t="s">
        <v>248</v>
      </c>
      <c r="B414" s="2"/>
      <c r="C414" s="2" t="s">
        <v>123</v>
      </c>
      <c r="D414" s="3"/>
      <c r="E414" s="7"/>
      <c r="F414" s="7">
        <v>7192</v>
      </c>
      <c r="G414" s="7">
        <f t="shared" si="88"/>
        <v>1366.48</v>
      </c>
      <c r="H414" s="7">
        <f t="shared" si="73"/>
        <v>8558.48</v>
      </c>
    </row>
    <row r="415" spans="1:8" x14ac:dyDescent="0.25">
      <c r="A415" s="1" t="s">
        <v>348</v>
      </c>
      <c r="B415" s="2"/>
      <c r="C415" s="2"/>
      <c r="D415" s="3" t="s">
        <v>124</v>
      </c>
      <c r="E415" s="7"/>
      <c r="F415" s="7">
        <v>11175</v>
      </c>
      <c r="G415" s="7">
        <f t="shared" si="88"/>
        <v>2123.25</v>
      </c>
      <c r="H415" s="7">
        <f t="shared" si="73"/>
        <v>13298.25</v>
      </c>
    </row>
    <row r="416" spans="1:8" x14ac:dyDescent="0.25">
      <c r="A416" s="1" t="s">
        <v>348</v>
      </c>
      <c r="B416" s="2"/>
      <c r="C416" s="2"/>
      <c r="D416" s="3" t="s">
        <v>125</v>
      </c>
      <c r="E416" s="7"/>
      <c r="F416" s="7">
        <v>13875</v>
      </c>
      <c r="G416" s="7">
        <f t="shared" si="88"/>
        <v>2636.25</v>
      </c>
      <c r="H416" s="7">
        <f t="shared" si="73"/>
        <v>16511.25</v>
      </c>
    </row>
    <row r="417" spans="1:8" x14ac:dyDescent="0.25">
      <c r="A417" s="1" t="s">
        <v>257</v>
      </c>
      <c r="B417" s="2"/>
      <c r="C417" s="2" t="s">
        <v>155</v>
      </c>
      <c r="D417" s="3"/>
      <c r="E417" s="7"/>
      <c r="F417" s="7">
        <v>986</v>
      </c>
      <c r="G417" s="7">
        <f t="shared" ref="G417" si="93">F417*0.19</f>
        <v>187.34</v>
      </c>
      <c r="H417" s="15">
        <f t="shared" ref="H417" si="94">F417+G417</f>
        <v>1173.3399999999999</v>
      </c>
    </row>
    <row r="418" spans="1:8" x14ac:dyDescent="0.25">
      <c r="A418" s="1" t="s">
        <v>257</v>
      </c>
      <c r="B418" s="2"/>
      <c r="C418" s="2" t="s">
        <v>155</v>
      </c>
      <c r="D418" s="3"/>
      <c r="E418" s="7"/>
      <c r="F418" s="7">
        <v>986</v>
      </c>
      <c r="G418" s="7">
        <f t="shared" si="88"/>
        <v>187.34</v>
      </c>
      <c r="H418" s="15">
        <f t="shared" si="73"/>
        <v>1173.3399999999999</v>
      </c>
    </row>
    <row r="419" spans="1:8" x14ac:dyDescent="0.25">
      <c r="A419" s="1" t="s">
        <v>257</v>
      </c>
      <c r="B419" s="2"/>
      <c r="C419" s="2" t="s">
        <v>122</v>
      </c>
      <c r="D419" s="3"/>
      <c r="E419" s="7"/>
      <c r="F419" s="7">
        <v>1357</v>
      </c>
      <c r="G419" s="7">
        <f t="shared" si="88"/>
        <v>257.83</v>
      </c>
      <c r="H419" s="7">
        <f t="shared" si="73"/>
        <v>1614.83</v>
      </c>
    </row>
    <row r="420" spans="1:8" x14ac:dyDescent="0.25">
      <c r="A420" s="1" t="s">
        <v>257</v>
      </c>
      <c r="B420" s="2"/>
      <c r="C420" s="2" t="s">
        <v>123</v>
      </c>
      <c r="D420" s="3"/>
      <c r="E420" s="7"/>
      <c r="F420" s="7">
        <v>2217</v>
      </c>
      <c r="G420" s="7">
        <f t="shared" si="88"/>
        <v>421.23</v>
      </c>
      <c r="H420" s="7">
        <f t="shared" si="73"/>
        <v>2638.23</v>
      </c>
    </row>
    <row r="421" spans="1:8" x14ac:dyDescent="0.25">
      <c r="A421" s="1" t="s">
        <v>257</v>
      </c>
      <c r="B421" s="2"/>
      <c r="C421" s="2" t="s">
        <v>124</v>
      </c>
      <c r="D421" s="3"/>
      <c r="E421" s="7"/>
      <c r="F421" s="7">
        <v>10840</v>
      </c>
      <c r="G421" s="7">
        <f t="shared" si="88"/>
        <v>2059.6</v>
      </c>
      <c r="H421" s="7">
        <f t="shared" si="73"/>
        <v>12899.6</v>
      </c>
    </row>
    <row r="422" spans="1:8" x14ac:dyDescent="0.25">
      <c r="A422" s="1" t="s">
        <v>257</v>
      </c>
      <c r="B422" s="2"/>
      <c r="C422" s="2" t="s">
        <v>233</v>
      </c>
      <c r="D422" s="3"/>
      <c r="E422" s="7"/>
      <c r="F422" s="7">
        <v>71535</v>
      </c>
      <c r="G422" s="7">
        <f t="shared" si="88"/>
        <v>13591.65</v>
      </c>
      <c r="H422" s="7">
        <f t="shared" si="73"/>
        <v>85126.65</v>
      </c>
    </row>
    <row r="423" spans="1:8" x14ac:dyDescent="0.25">
      <c r="A423" s="1" t="s">
        <v>38</v>
      </c>
      <c r="B423" s="2"/>
      <c r="C423" s="2"/>
      <c r="D423" s="3"/>
      <c r="E423" s="7"/>
      <c r="F423" s="7">
        <v>18805.5</v>
      </c>
      <c r="G423" s="7">
        <f t="shared" si="88"/>
        <v>3573.0450000000001</v>
      </c>
      <c r="H423" s="7">
        <f t="shared" si="73"/>
        <v>22378.544999999998</v>
      </c>
    </row>
    <row r="424" spans="1:8" x14ac:dyDescent="0.25">
      <c r="A424" s="1" t="s">
        <v>25</v>
      </c>
      <c r="B424" s="2"/>
      <c r="C424" s="2"/>
      <c r="D424" s="3"/>
      <c r="E424" s="7"/>
      <c r="F424" s="7">
        <v>9907</v>
      </c>
      <c r="G424" s="7">
        <f>F424*0.19</f>
        <v>1882.33</v>
      </c>
      <c r="H424" s="7">
        <f>F424+G424</f>
        <v>11789.33</v>
      </c>
    </row>
    <row r="425" spans="1:8" x14ac:dyDescent="0.25">
      <c r="A425" s="1" t="s">
        <v>78</v>
      </c>
      <c r="B425" s="2"/>
      <c r="C425" s="2"/>
      <c r="D425" s="3"/>
      <c r="E425" s="7"/>
      <c r="F425" s="7">
        <v>13725</v>
      </c>
      <c r="G425" s="7">
        <f>F425*0.19</f>
        <v>2607.75</v>
      </c>
      <c r="H425" s="7">
        <f>F425+G425</f>
        <v>16332.75</v>
      </c>
    </row>
    <row r="426" spans="1:8" x14ac:dyDescent="0.25">
      <c r="A426" s="1" t="s">
        <v>77</v>
      </c>
      <c r="B426" s="2"/>
      <c r="C426" s="2"/>
      <c r="D426" s="3"/>
      <c r="E426" s="7"/>
      <c r="F426" s="7">
        <v>19530</v>
      </c>
      <c r="G426" s="7">
        <f>F426*0.19</f>
        <v>3710.7</v>
      </c>
      <c r="H426" s="7">
        <f>F426+G426</f>
        <v>23240.7</v>
      </c>
    </row>
    <row r="427" spans="1:8" x14ac:dyDescent="0.25">
      <c r="A427" s="1" t="s">
        <v>255</v>
      </c>
      <c r="B427" s="2"/>
      <c r="C427" s="2"/>
      <c r="D427" s="3"/>
      <c r="E427" s="7"/>
      <c r="F427" s="7">
        <v>33748</v>
      </c>
      <c r="G427" s="7">
        <f>F427*0.19</f>
        <v>6412.12</v>
      </c>
      <c r="H427" s="7">
        <f>F427+G427</f>
        <v>40160.120000000003</v>
      </c>
    </row>
    <row r="428" spans="1:8" x14ac:dyDescent="0.25">
      <c r="A428" s="1" t="s">
        <v>256</v>
      </c>
      <c r="B428" s="2"/>
      <c r="C428" s="2"/>
      <c r="D428" s="3"/>
      <c r="E428" s="7"/>
      <c r="F428" s="7">
        <v>51040</v>
      </c>
      <c r="G428" s="7">
        <f>F428*0.19</f>
        <v>9697.6</v>
      </c>
      <c r="H428" s="7">
        <f>F428+G428</f>
        <v>60737.599999999999</v>
      </c>
    </row>
    <row r="429" spans="1:8" x14ac:dyDescent="0.25">
      <c r="A429" s="1" t="s">
        <v>223</v>
      </c>
      <c r="B429" s="2"/>
      <c r="C429" s="2"/>
      <c r="D429" s="3"/>
      <c r="E429" s="7"/>
      <c r="F429" s="7">
        <v>5558</v>
      </c>
      <c r="G429" s="7">
        <f t="shared" si="88"/>
        <v>1056.02</v>
      </c>
      <c r="H429" s="7">
        <f t="shared" si="73"/>
        <v>6614.02</v>
      </c>
    </row>
    <row r="430" spans="1:8" x14ac:dyDescent="0.25">
      <c r="A430" s="1" t="s">
        <v>224</v>
      </c>
      <c r="B430" s="2"/>
      <c r="C430" s="2"/>
      <c r="D430" s="3"/>
      <c r="E430" s="7"/>
      <c r="F430" s="7">
        <v>8641</v>
      </c>
      <c r="G430" s="7">
        <f t="shared" ref="G430" si="95">F430*0.19</f>
        <v>1641.79</v>
      </c>
      <c r="H430" s="7">
        <f t="shared" ref="H430" si="96">F430+G430</f>
        <v>10282.790000000001</v>
      </c>
    </row>
    <row r="431" spans="1:8" x14ac:dyDescent="0.25">
      <c r="A431" s="1" t="s">
        <v>40</v>
      </c>
      <c r="B431" s="2"/>
      <c r="C431" s="2"/>
      <c r="D431" s="3"/>
      <c r="E431" s="7"/>
      <c r="F431" s="7">
        <v>21122</v>
      </c>
      <c r="G431" s="7">
        <f t="shared" si="88"/>
        <v>4013.18</v>
      </c>
      <c r="H431" s="7">
        <f t="shared" si="73"/>
        <v>25135.18</v>
      </c>
    </row>
    <row r="432" spans="1:8" x14ac:dyDescent="0.25">
      <c r="A432" s="1" t="s">
        <v>318</v>
      </c>
      <c r="B432" s="2"/>
      <c r="C432" s="2" t="s">
        <v>154</v>
      </c>
      <c r="D432" s="3"/>
      <c r="E432" s="7"/>
      <c r="F432" s="7">
        <v>10824</v>
      </c>
      <c r="G432" s="7">
        <f t="shared" si="88"/>
        <v>2056.56</v>
      </c>
      <c r="H432" s="7">
        <f t="shared" si="73"/>
        <v>12880.56</v>
      </c>
    </row>
    <row r="433" spans="1:8" x14ac:dyDescent="0.25">
      <c r="A433" s="1" t="s">
        <v>318</v>
      </c>
      <c r="B433" s="2"/>
      <c r="C433" s="2" t="s">
        <v>123</v>
      </c>
      <c r="D433" s="3"/>
      <c r="E433" s="7"/>
      <c r="F433" s="7">
        <v>29920</v>
      </c>
      <c r="G433" s="7">
        <f t="shared" si="88"/>
        <v>5684.8</v>
      </c>
      <c r="H433" s="7">
        <f t="shared" si="73"/>
        <v>35604.800000000003</v>
      </c>
    </row>
    <row r="434" spans="1:8" x14ac:dyDescent="0.25">
      <c r="A434" s="1" t="s">
        <v>261</v>
      </c>
      <c r="B434" s="2"/>
      <c r="C434" s="2" t="s">
        <v>151</v>
      </c>
      <c r="D434" s="3"/>
      <c r="E434" s="7"/>
      <c r="F434" s="7">
        <v>1840</v>
      </c>
      <c r="G434" s="7">
        <f t="shared" si="88"/>
        <v>349.6</v>
      </c>
      <c r="H434" s="7">
        <f t="shared" si="73"/>
        <v>2189.6</v>
      </c>
    </row>
    <row r="435" spans="1:8" x14ac:dyDescent="0.25">
      <c r="A435" s="1" t="s">
        <v>261</v>
      </c>
      <c r="B435" s="2"/>
      <c r="C435" s="2" t="s">
        <v>155</v>
      </c>
      <c r="D435" s="3"/>
      <c r="E435" s="7"/>
      <c r="F435" s="7">
        <v>5450</v>
      </c>
      <c r="G435" s="7">
        <f t="shared" si="88"/>
        <v>1035.5</v>
      </c>
      <c r="H435" s="7">
        <f t="shared" si="73"/>
        <v>6485.5</v>
      </c>
    </row>
    <row r="436" spans="1:8" x14ac:dyDescent="0.25">
      <c r="A436" s="1" t="s">
        <v>261</v>
      </c>
      <c r="B436" s="2"/>
      <c r="C436" s="2" t="s">
        <v>122</v>
      </c>
      <c r="D436" s="3"/>
      <c r="E436" s="7"/>
      <c r="F436" s="7">
        <v>9350</v>
      </c>
      <c r="G436" s="7">
        <f t="shared" si="88"/>
        <v>1776.5</v>
      </c>
      <c r="H436" s="7">
        <f t="shared" si="73"/>
        <v>11126.5</v>
      </c>
    </row>
    <row r="437" spans="1:8" x14ac:dyDescent="0.25">
      <c r="A437" s="1" t="s">
        <v>261</v>
      </c>
      <c r="B437" s="2"/>
      <c r="C437" s="2" t="s">
        <v>123</v>
      </c>
      <c r="D437" s="3"/>
      <c r="E437" s="7"/>
      <c r="F437" s="7">
        <v>12550</v>
      </c>
      <c r="G437" s="7">
        <f t="shared" si="88"/>
        <v>2384.5</v>
      </c>
      <c r="H437" s="7">
        <f t="shared" si="73"/>
        <v>14934.5</v>
      </c>
    </row>
    <row r="438" spans="1:8" x14ac:dyDescent="0.25">
      <c r="A438" s="1" t="s">
        <v>250</v>
      </c>
      <c r="B438" s="2"/>
      <c r="C438" s="2"/>
      <c r="D438" s="3"/>
      <c r="E438" s="7"/>
      <c r="F438" s="7">
        <v>23775</v>
      </c>
      <c r="G438" s="7">
        <f t="shared" si="88"/>
        <v>4517.25</v>
      </c>
      <c r="H438" s="7">
        <f t="shared" si="73"/>
        <v>28292.25</v>
      </c>
    </row>
    <row r="439" spans="1:8" x14ac:dyDescent="0.25">
      <c r="A439" s="1" t="s">
        <v>243</v>
      </c>
      <c r="B439" s="2"/>
      <c r="C439" s="2"/>
      <c r="D439" s="3"/>
      <c r="E439" s="7"/>
      <c r="F439" s="7">
        <v>112500</v>
      </c>
      <c r="G439" s="7">
        <f t="shared" si="88"/>
        <v>21375</v>
      </c>
      <c r="H439" s="7">
        <f t="shared" si="73"/>
        <v>133875</v>
      </c>
    </row>
    <row r="440" spans="1:8" x14ac:dyDescent="0.25">
      <c r="A440" s="1" t="s">
        <v>252</v>
      </c>
      <c r="B440" s="2"/>
      <c r="C440" s="2"/>
      <c r="D440" s="3"/>
      <c r="E440" s="7"/>
      <c r="F440" s="7">
        <v>425625</v>
      </c>
      <c r="G440" s="7">
        <f t="shared" si="88"/>
        <v>80868.75</v>
      </c>
      <c r="H440" s="7">
        <f t="shared" si="73"/>
        <v>506493.75</v>
      </c>
    </row>
    <row r="441" spans="1:8" x14ac:dyDescent="0.25">
      <c r="A441" s="1" t="s">
        <v>89</v>
      </c>
      <c r="B441" s="2"/>
      <c r="C441" s="2"/>
      <c r="D441" s="3"/>
      <c r="E441" s="7"/>
      <c r="F441" s="7">
        <v>173052</v>
      </c>
      <c r="G441" s="7">
        <v>34610</v>
      </c>
      <c r="H441" s="7">
        <f t="shared" si="73"/>
        <v>207662</v>
      </c>
    </row>
    <row r="442" spans="1:8" x14ac:dyDescent="0.25">
      <c r="A442" s="1" t="s">
        <v>13</v>
      </c>
      <c r="B442" s="2"/>
      <c r="C442" s="2"/>
      <c r="D442" s="3"/>
      <c r="E442" s="7"/>
      <c r="F442" s="7">
        <v>50710</v>
      </c>
      <c r="G442" s="7">
        <f>F442*0.19</f>
        <v>9634.9</v>
      </c>
      <c r="H442" s="7">
        <f t="shared" si="73"/>
        <v>60344.9</v>
      </c>
    </row>
    <row r="443" spans="1:8" x14ac:dyDescent="0.25">
      <c r="A443" s="1" t="s">
        <v>14</v>
      </c>
      <c r="B443" s="2"/>
      <c r="C443" s="2"/>
      <c r="D443" s="3"/>
      <c r="E443" s="7"/>
      <c r="F443" s="7">
        <v>146313.29999999999</v>
      </c>
      <c r="G443" s="15">
        <f>F443*0.19</f>
        <v>27799.526999999998</v>
      </c>
      <c r="H443" s="15">
        <f t="shared" si="73"/>
        <v>174112.82699999999</v>
      </c>
    </row>
    <row r="444" spans="1:8" x14ac:dyDescent="0.25">
      <c r="A444" s="1" t="s">
        <v>15</v>
      </c>
      <c r="B444" s="2"/>
      <c r="C444" s="2"/>
      <c r="D444" s="3"/>
      <c r="E444" s="7"/>
      <c r="F444" s="7">
        <v>182160</v>
      </c>
      <c r="G444" s="7">
        <f>F444*0.19</f>
        <v>34610.400000000001</v>
      </c>
      <c r="H444" s="7">
        <f t="shared" si="73"/>
        <v>216770.4</v>
      </c>
    </row>
    <row r="445" spans="1:8" x14ac:dyDescent="0.25">
      <c r="A445" s="1" t="s">
        <v>94</v>
      </c>
      <c r="B445" s="2"/>
      <c r="C445" s="2"/>
      <c r="D445" s="3"/>
      <c r="E445" s="7"/>
      <c r="F445" s="7">
        <v>121011</v>
      </c>
      <c r="G445" s="7">
        <v>24202</v>
      </c>
      <c r="H445" s="7">
        <f t="shared" si="73"/>
        <v>145213</v>
      </c>
    </row>
    <row r="446" spans="1:8" x14ac:dyDescent="0.25">
      <c r="A446" s="1" t="s">
        <v>93</v>
      </c>
      <c r="B446" s="2"/>
      <c r="C446" s="2"/>
      <c r="D446" s="3"/>
      <c r="E446" s="7"/>
      <c r="F446" s="7">
        <v>48175</v>
      </c>
      <c r="G446" s="7">
        <v>9635</v>
      </c>
      <c r="H446" s="7">
        <f t="shared" si="73"/>
        <v>57810</v>
      </c>
    </row>
    <row r="447" spans="1:8" x14ac:dyDescent="0.25">
      <c r="A447" s="1" t="s">
        <v>95</v>
      </c>
      <c r="B447" s="2"/>
      <c r="C447" s="2"/>
      <c r="D447" s="3"/>
      <c r="E447" s="7"/>
      <c r="F447" s="7">
        <v>173052</v>
      </c>
      <c r="G447" s="7">
        <v>34610</v>
      </c>
      <c r="H447" s="7">
        <f t="shared" si="73"/>
        <v>207662</v>
      </c>
    </row>
    <row r="448" spans="1:8" x14ac:dyDescent="0.25">
      <c r="A448" s="1" t="s">
        <v>28</v>
      </c>
      <c r="B448" s="2"/>
      <c r="C448" s="2"/>
      <c r="D448" s="3"/>
      <c r="E448" s="7"/>
      <c r="F448" s="7">
        <v>107000</v>
      </c>
      <c r="G448" s="7">
        <f t="shared" ref="G448:G517" si="97">F448*0.19</f>
        <v>20330</v>
      </c>
      <c r="H448" s="7">
        <f t="shared" si="73"/>
        <v>127330</v>
      </c>
    </row>
    <row r="449" spans="1:8" x14ac:dyDescent="0.25">
      <c r="A449" s="1" t="s">
        <v>84</v>
      </c>
      <c r="B449" s="2"/>
      <c r="C449" s="2"/>
      <c r="D449" s="3"/>
      <c r="E449" s="7"/>
      <c r="F449" s="7">
        <v>69275</v>
      </c>
      <c r="G449" s="7">
        <f t="shared" si="97"/>
        <v>13162.25</v>
      </c>
      <c r="H449" s="7">
        <f t="shared" si="73"/>
        <v>82437.25</v>
      </c>
    </row>
    <row r="450" spans="1:8" x14ac:dyDescent="0.25">
      <c r="A450" s="1" t="s">
        <v>152</v>
      </c>
      <c r="B450" s="2"/>
      <c r="C450" s="2" t="s">
        <v>151</v>
      </c>
      <c r="D450" s="3"/>
      <c r="E450" s="7"/>
      <c r="F450" s="7">
        <v>12128.65</v>
      </c>
      <c r="G450" s="15">
        <f t="shared" si="97"/>
        <v>2304.4434999999999</v>
      </c>
      <c r="H450" s="15">
        <f t="shared" si="73"/>
        <v>14433.093499999999</v>
      </c>
    </row>
    <row r="451" spans="1:8" x14ac:dyDescent="0.25">
      <c r="A451" s="1" t="s">
        <v>152</v>
      </c>
      <c r="B451" s="2"/>
      <c r="C451" s="2" t="s">
        <v>153</v>
      </c>
      <c r="D451" s="3"/>
      <c r="E451" s="7"/>
      <c r="F451" s="7">
        <v>16184.85</v>
      </c>
      <c r="G451" s="15">
        <f t="shared" si="97"/>
        <v>3075.1215000000002</v>
      </c>
      <c r="H451" s="15">
        <f t="shared" si="73"/>
        <v>19259.9715</v>
      </c>
    </row>
    <row r="452" spans="1:8" x14ac:dyDescent="0.25">
      <c r="A452" s="1" t="s">
        <v>152</v>
      </c>
      <c r="B452" s="2"/>
      <c r="C452" s="2" t="s">
        <v>154</v>
      </c>
      <c r="D452" s="3"/>
      <c r="E452" s="7"/>
      <c r="F452" s="7">
        <v>22874.35</v>
      </c>
      <c r="G452" s="15">
        <f t="shared" si="97"/>
        <v>4346.1264999999994</v>
      </c>
      <c r="H452" s="15">
        <f t="shared" si="73"/>
        <v>27220.476499999997</v>
      </c>
    </row>
    <row r="453" spans="1:8" x14ac:dyDescent="0.25">
      <c r="A453" s="1" t="s">
        <v>152</v>
      </c>
      <c r="B453" s="2"/>
      <c r="C453" s="2" t="s">
        <v>155</v>
      </c>
      <c r="D453" s="3"/>
      <c r="E453" s="7"/>
      <c r="F453" s="7">
        <v>38913</v>
      </c>
      <c r="G453" s="16">
        <f t="shared" si="97"/>
        <v>7393.47</v>
      </c>
      <c r="H453" s="7">
        <f t="shared" si="73"/>
        <v>46306.47</v>
      </c>
    </row>
    <row r="454" spans="1:8" x14ac:dyDescent="0.25">
      <c r="A454" s="1" t="s">
        <v>152</v>
      </c>
      <c r="B454" s="2"/>
      <c r="C454" s="2" t="s">
        <v>122</v>
      </c>
      <c r="D454" s="3"/>
      <c r="E454" s="7"/>
      <c r="F454" s="7">
        <v>50127</v>
      </c>
      <c r="G454" s="15">
        <f t="shared" si="97"/>
        <v>9524.130000000001</v>
      </c>
      <c r="H454" s="15">
        <f t="shared" si="73"/>
        <v>59651.130000000005</v>
      </c>
    </row>
    <row r="455" spans="1:8" x14ac:dyDescent="0.25">
      <c r="A455" s="1" t="s">
        <v>152</v>
      </c>
      <c r="B455" s="2"/>
      <c r="C455" s="2" t="s">
        <v>123</v>
      </c>
      <c r="D455" s="3"/>
      <c r="E455" s="7"/>
      <c r="F455" s="7">
        <v>65486.55</v>
      </c>
      <c r="G455" s="15">
        <f t="shared" si="97"/>
        <v>12442.444500000001</v>
      </c>
      <c r="H455" s="15">
        <f t="shared" si="73"/>
        <v>77928.994500000001</v>
      </c>
    </row>
    <row r="456" spans="1:8" x14ac:dyDescent="0.25">
      <c r="A456" s="1" t="s">
        <v>152</v>
      </c>
      <c r="B456" s="2"/>
      <c r="C456" s="2" t="s">
        <v>156</v>
      </c>
      <c r="D456" s="3"/>
      <c r="E456" s="7"/>
      <c r="F456" s="7"/>
      <c r="G456" s="7">
        <f t="shared" si="97"/>
        <v>0</v>
      </c>
      <c r="H456" s="7">
        <f t="shared" si="73"/>
        <v>0</v>
      </c>
    </row>
    <row r="457" spans="1:8" x14ac:dyDescent="0.25">
      <c r="A457" s="1" t="s">
        <v>152</v>
      </c>
      <c r="B457" s="2"/>
      <c r="C457" s="2" t="s">
        <v>124</v>
      </c>
      <c r="D457" s="3"/>
      <c r="E457" s="7"/>
      <c r="F457" s="7">
        <v>172573.8</v>
      </c>
      <c r="G457" s="15">
        <f t="shared" si="97"/>
        <v>32789.021999999997</v>
      </c>
      <c r="H457" s="15">
        <f t="shared" si="73"/>
        <v>205362.82199999999</v>
      </c>
    </row>
    <row r="458" spans="1:8" x14ac:dyDescent="0.25">
      <c r="A458" s="1" t="s">
        <v>152</v>
      </c>
      <c r="B458" s="2"/>
      <c r="C458" s="2" t="s">
        <v>125</v>
      </c>
      <c r="D458" s="3"/>
      <c r="E458" s="7"/>
      <c r="F458" s="15">
        <v>293444.65000000002</v>
      </c>
      <c r="G458" s="15">
        <f t="shared" si="97"/>
        <v>55754.483500000002</v>
      </c>
      <c r="H458" s="15">
        <f t="shared" si="73"/>
        <v>349199.1335</v>
      </c>
    </row>
    <row r="459" spans="1:8" x14ac:dyDescent="0.25">
      <c r="A459" s="1" t="s">
        <v>283</v>
      </c>
      <c r="B459" s="2"/>
      <c r="C459" s="2"/>
      <c r="D459" s="3" t="s">
        <v>151</v>
      </c>
      <c r="E459" s="7"/>
      <c r="F459" s="15">
        <v>19096</v>
      </c>
      <c r="G459" s="15">
        <f t="shared" si="97"/>
        <v>3628.2400000000002</v>
      </c>
      <c r="H459" s="15">
        <f t="shared" si="73"/>
        <v>22724.240000000002</v>
      </c>
    </row>
    <row r="460" spans="1:8" x14ac:dyDescent="0.25">
      <c r="A460" s="1" t="s">
        <v>283</v>
      </c>
      <c r="B460" s="2"/>
      <c r="C460" s="2"/>
      <c r="D460" s="3" t="s">
        <v>154</v>
      </c>
      <c r="E460" s="7"/>
      <c r="F460" s="15">
        <v>31240</v>
      </c>
      <c r="G460" s="15">
        <f t="shared" si="97"/>
        <v>5935.6</v>
      </c>
      <c r="H460" s="15">
        <f t="shared" si="73"/>
        <v>37175.599999999999</v>
      </c>
    </row>
    <row r="461" spans="1:8" x14ac:dyDescent="0.25">
      <c r="A461" s="1" t="s">
        <v>283</v>
      </c>
      <c r="B461" s="2"/>
      <c r="C461" s="2"/>
      <c r="D461" s="3" t="s">
        <v>122</v>
      </c>
      <c r="E461" s="7"/>
      <c r="F461" s="7"/>
      <c r="G461" s="15">
        <f t="shared" si="97"/>
        <v>0</v>
      </c>
      <c r="H461" s="15">
        <f t="shared" si="73"/>
        <v>0</v>
      </c>
    </row>
    <row r="462" spans="1:8" x14ac:dyDescent="0.25">
      <c r="A462" s="1" t="s">
        <v>283</v>
      </c>
      <c r="B462" s="2"/>
      <c r="C462" s="2"/>
      <c r="D462" s="3" t="s">
        <v>123</v>
      </c>
      <c r="E462" s="7"/>
      <c r="F462" s="7">
        <v>90112</v>
      </c>
      <c r="G462" s="15">
        <f t="shared" si="97"/>
        <v>17121.28</v>
      </c>
      <c r="H462" s="15">
        <f t="shared" si="73"/>
        <v>107233.28</v>
      </c>
    </row>
    <row r="463" spans="1:8" x14ac:dyDescent="0.25">
      <c r="A463" s="1" t="s">
        <v>145</v>
      </c>
      <c r="B463" s="2"/>
      <c r="C463" s="2"/>
      <c r="D463" s="3"/>
      <c r="E463" s="7"/>
      <c r="F463" s="7">
        <v>20394.05</v>
      </c>
      <c r="G463" s="15">
        <f t="shared" ref="G463" si="98">F463*0.19</f>
        <v>3874.8694999999998</v>
      </c>
      <c r="H463" s="15">
        <f t="shared" ref="H463" si="99">F463+G463</f>
        <v>24268.9195</v>
      </c>
    </row>
    <row r="464" spans="1:8" x14ac:dyDescent="0.25">
      <c r="A464" s="1" t="s">
        <v>146</v>
      </c>
      <c r="B464" s="2"/>
      <c r="C464" s="2"/>
      <c r="D464" s="3"/>
      <c r="E464" s="7"/>
      <c r="F464" s="7">
        <v>15850.8</v>
      </c>
      <c r="G464" s="15">
        <f t="shared" ref="G464" si="100">F464*0.19</f>
        <v>3011.652</v>
      </c>
      <c r="H464" s="15">
        <f t="shared" ref="H464" si="101">F464+G464</f>
        <v>18862.451999999997</v>
      </c>
    </row>
    <row r="465" spans="1:8" x14ac:dyDescent="0.25">
      <c r="A465" s="1" t="s">
        <v>139</v>
      </c>
      <c r="B465" s="2"/>
      <c r="C465" s="2"/>
      <c r="D465" s="3"/>
      <c r="E465" s="7"/>
      <c r="F465" s="7">
        <v>16823.2</v>
      </c>
      <c r="G465" s="15">
        <f t="shared" ref="G465:G470" si="102">F465*0.19</f>
        <v>3196.4080000000004</v>
      </c>
      <c r="H465" s="15">
        <f t="shared" ref="H465:H470" si="103">F465+G465</f>
        <v>20019.608</v>
      </c>
    </row>
    <row r="466" spans="1:8" x14ac:dyDescent="0.25">
      <c r="A466" s="1" t="s">
        <v>147</v>
      </c>
      <c r="B466" s="2"/>
      <c r="C466" s="2"/>
      <c r="D466" s="3"/>
      <c r="E466" s="7"/>
      <c r="F466" s="7">
        <v>31611.759999999998</v>
      </c>
      <c r="G466" s="15">
        <f t="shared" si="102"/>
        <v>6006.2343999999994</v>
      </c>
      <c r="H466" s="15">
        <f t="shared" si="103"/>
        <v>37617.994399999996</v>
      </c>
    </row>
    <row r="467" spans="1:8" x14ac:dyDescent="0.25">
      <c r="A467" s="1" t="s">
        <v>148</v>
      </c>
      <c r="B467" s="2"/>
      <c r="C467" s="2"/>
      <c r="D467" s="3"/>
      <c r="E467" s="7"/>
      <c r="F467" s="7">
        <v>43956</v>
      </c>
      <c r="G467" s="15">
        <f t="shared" si="102"/>
        <v>8351.64</v>
      </c>
      <c r="H467" s="15">
        <f t="shared" si="103"/>
        <v>52307.64</v>
      </c>
    </row>
    <row r="468" spans="1:8" x14ac:dyDescent="0.25">
      <c r="A468" s="1" t="s">
        <v>138</v>
      </c>
      <c r="B468" s="2"/>
      <c r="C468" s="2"/>
      <c r="D468" s="3"/>
      <c r="E468" s="7"/>
      <c r="F468" s="7">
        <v>56549</v>
      </c>
      <c r="G468" s="7">
        <f t="shared" si="102"/>
        <v>10744.31</v>
      </c>
      <c r="H468" s="7">
        <f t="shared" si="103"/>
        <v>67293.31</v>
      </c>
    </row>
    <row r="469" spans="1:8" x14ac:dyDescent="0.25">
      <c r="A469" s="1" t="s">
        <v>137</v>
      </c>
      <c r="B469" s="2"/>
      <c r="C469" s="2"/>
      <c r="D469" s="3"/>
      <c r="E469" s="7"/>
      <c r="F469" s="7">
        <v>72287.399999999994</v>
      </c>
      <c r="G469" s="15">
        <f t="shared" si="102"/>
        <v>13734.606</v>
      </c>
      <c r="H469" s="15">
        <f t="shared" si="103"/>
        <v>86022.005999999994</v>
      </c>
    </row>
    <row r="470" spans="1:8" ht="15.75" customHeight="1" x14ac:dyDescent="0.25">
      <c r="A470" s="1" t="s">
        <v>135</v>
      </c>
      <c r="B470" s="2"/>
      <c r="C470" s="2"/>
      <c r="D470" s="3"/>
      <c r="E470" s="7"/>
      <c r="F470" s="7">
        <v>112303</v>
      </c>
      <c r="G470" s="7">
        <f t="shared" si="102"/>
        <v>21337.57</v>
      </c>
      <c r="H470" s="16">
        <f t="shared" si="103"/>
        <v>133640.57</v>
      </c>
    </row>
    <row r="471" spans="1:8" ht="15.75" customHeight="1" x14ac:dyDescent="0.25">
      <c r="A471" s="1" t="s">
        <v>149</v>
      </c>
      <c r="B471" s="2"/>
      <c r="C471" s="2"/>
      <c r="D471" s="3"/>
      <c r="E471" s="7"/>
      <c r="F471" s="7">
        <v>234812.6</v>
      </c>
      <c r="G471" s="7">
        <f t="shared" ref="G471:G472" si="104">F471*0.19</f>
        <v>44614.394</v>
      </c>
      <c r="H471" s="16">
        <f t="shared" ref="H471:H472" si="105">F471+G471</f>
        <v>279426.99400000001</v>
      </c>
    </row>
    <row r="472" spans="1:8" ht="15.75" customHeight="1" x14ac:dyDescent="0.25">
      <c r="A472" s="1" t="s">
        <v>150</v>
      </c>
      <c r="B472" s="2"/>
      <c r="C472" s="2"/>
      <c r="D472" s="3"/>
      <c r="E472" s="7"/>
      <c r="F472" s="7">
        <v>421135.65</v>
      </c>
      <c r="G472" s="7">
        <f t="shared" si="104"/>
        <v>80015.77350000001</v>
      </c>
      <c r="H472" s="16">
        <f t="shared" si="105"/>
        <v>501151.42350000003</v>
      </c>
    </row>
    <row r="473" spans="1:8" x14ac:dyDescent="0.25">
      <c r="A473" s="1" t="s">
        <v>136</v>
      </c>
      <c r="B473" s="2"/>
      <c r="C473" s="2"/>
      <c r="D473" s="3"/>
      <c r="E473" s="7"/>
      <c r="F473" s="7">
        <v>540060</v>
      </c>
      <c r="G473" s="7">
        <f>F473*0.19</f>
        <v>102611.4</v>
      </c>
      <c r="H473" s="7">
        <f>F473+G473</f>
        <v>642671.4</v>
      </c>
    </row>
    <row r="474" spans="1:8" x14ac:dyDescent="0.25">
      <c r="A474" s="14" t="s">
        <v>159</v>
      </c>
      <c r="B474" s="14"/>
      <c r="C474" s="14"/>
      <c r="D474" s="14"/>
      <c r="E474" s="14"/>
      <c r="F474" s="14">
        <v>15000</v>
      </c>
      <c r="G474" s="14">
        <f>F474*0.19</f>
        <v>2850</v>
      </c>
      <c r="H474" s="14">
        <f>F474+G474</f>
        <v>17850</v>
      </c>
    </row>
    <row r="475" spans="1:8" x14ac:dyDescent="0.25">
      <c r="A475" s="14" t="s">
        <v>160</v>
      </c>
      <c r="B475" s="14"/>
      <c r="C475" s="14"/>
      <c r="D475" s="14"/>
      <c r="E475" s="14"/>
      <c r="F475" s="14">
        <v>21000</v>
      </c>
      <c r="G475" s="14">
        <f>F475*0.19</f>
        <v>3990</v>
      </c>
      <c r="H475" s="14">
        <f>F475+G475</f>
        <v>24990</v>
      </c>
    </row>
    <row r="476" spans="1:8" x14ac:dyDescent="0.25">
      <c r="A476" s="14" t="s">
        <v>161</v>
      </c>
      <c r="B476" s="14"/>
      <c r="C476" s="14"/>
      <c r="D476" s="14"/>
      <c r="E476" s="14"/>
      <c r="F476" s="14"/>
      <c r="G476" s="14">
        <f t="shared" ref="G476:G484" si="106">F476*0.19</f>
        <v>0</v>
      </c>
      <c r="H476" s="14">
        <f t="shared" ref="H476:H484" si="107">F476+G476</f>
        <v>0</v>
      </c>
    </row>
    <row r="477" spans="1:8" x14ac:dyDescent="0.25">
      <c r="A477" s="14" t="s">
        <v>245</v>
      </c>
      <c r="B477" s="14"/>
      <c r="C477" s="14"/>
      <c r="D477" s="14"/>
      <c r="E477" s="14"/>
      <c r="F477" s="14">
        <v>21000</v>
      </c>
      <c r="G477" s="14">
        <f t="shared" si="106"/>
        <v>3990</v>
      </c>
      <c r="H477" s="14">
        <f t="shared" si="107"/>
        <v>24990</v>
      </c>
    </row>
    <row r="478" spans="1:8" x14ac:dyDescent="0.25">
      <c r="A478" s="14" t="s">
        <v>246</v>
      </c>
      <c r="B478" s="14"/>
      <c r="C478" s="14"/>
      <c r="D478" s="14"/>
      <c r="E478" s="14"/>
      <c r="F478" s="14">
        <v>31500</v>
      </c>
      <c r="G478" s="14">
        <f t="shared" si="106"/>
        <v>5985</v>
      </c>
      <c r="H478" s="14">
        <f t="shared" si="107"/>
        <v>37485</v>
      </c>
    </row>
    <row r="479" spans="1:8" x14ac:dyDescent="0.25">
      <c r="A479" s="14" t="s">
        <v>162</v>
      </c>
      <c r="B479" s="14"/>
      <c r="C479" s="14"/>
      <c r="D479" s="14"/>
      <c r="E479" s="14"/>
      <c r="F479" s="14">
        <v>58500</v>
      </c>
      <c r="G479" s="14">
        <f t="shared" si="106"/>
        <v>11115</v>
      </c>
      <c r="H479" s="14">
        <f t="shared" si="107"/>
        <v>69615</v>
      </c>
    </row>
    <row r="480" spans="1:8" x14ac:dyDescent="0.25">
      <c r="A480" s="14" t="s">
        <v>163</v>
      </c>
      <c r="B480" s="14"/>
      <c r="C480" s="14"/>
      <c r="D480" s="14"/>
      <c r="E480" s="14"/>
      <c r="F480" s="14">
        <v>60000</v>
      </c>
      <c r="G480" s="14">
        <f t="shared" si="106"/>
        <v>11400</v>
      </c>
      <c r="H480" s="14">
        <f t="shared" si="107"/>
        <v>71400</v>
      </c>
    </row>
    <row r="481" spans="1:10" x14ac:dyDescent="0.25">
      <c r="A481" s="14" t="s">
        <v>164</v>
      </c>
      <c r="B481" s="14"/>
      <c r="C481" s="14"/>
      <c r="D481" s="14"/>
      <c r="E481" s="14"/>
      <c r="F481" s="14">
        <v>81500</v>
      </c>
      <c r="G481" s="14">
        <f t="shared" si="106"/>
        <v>15485</v>
      </c>
      <c r="H481" s="14">
        <f t="shared" si="107"/>
        <v>96985</v>
      </c>
    </row>
    <row r="482" spans="1:10" x14ac:dyDescent="0.25">
      <c r="A482" s="14" t="s">
        <v>165</v>
      </c>
      <c r="B482" s="14"/>
      <c r="C482" s="14"/>
      <c r="D482" s="14"/>
      <c r="E482" s="14"/>
      <c r="F482" s="14">
        <v>180000</v>
      </c>
      <c r="G482" s="14">
        <f t="shared" si="106"/>
        <v>34200</v>
      </c>
      <c r="H482" s="14">
        <f t="shared" si="107"/>
        <v>214200</v>
      </c>
    </row>
    <row r="483" spans="1:10" x14ac:dyDescent="0.25">
      <c r="A483" s="14" t="s">
        <v>166</v>
      </c>
      <c r="B483" s="14"/>
      <c r="C483" s="14"/>
      <c r="D483" s="14"/>
      <c r="E483" s="14"/>
      <c r="F483" s="14">
        <v>250000</v>
      </c>
      <c r="G483" s="14">
        <f t="shared" si="106"/>
        <v>47500</v>
      </c>
      <c r="H483" s="14">
        <f t="shared" si="107"/>
        <v>297500</v>
      </c>
    </row>
    <row r="484" spans="1:10" x14ac:dyDescent="0.25">
      <c r="A484" s="14" t="s">
        <v>167</v>
      </c>
      <c r="B484" s="14"/>
      <c r="C484" s="14"/>
      <c r="D484" s="14"/>
      <c r="E484" s="14"/>
      <c r="F484" s="14">
        <v>425000</v>
      </c>
      <c r="G484" s="14">
        <f t="shared" si="106"/>
        <v>80750</v>
      </c>
      <c r="H484" s="14">
        <f t="shared" si="107"/>
        <v>505750</v>
      </c>
    </row>
    <row r="485" spans="1:10" x14ac:dyDescent="0.25">
      <c r="A485" s="1" t="s">
        <v>287</v>
      </c>
      <c r="B485" s="2"/>
      <c r="C485" s="2"/>
      <c r="D485" s="3" t="s">
        <v>154</v>
      </c>
      <c r="E485" s="7"/>
      <c r="F485" s="7">
        <v>40572.199999999997</v>
      </c>
      <c r="G485" s="7">
        <f t="shared" si="97"/>
        <v>7708.7179999999998</v>
      </c>
      <c r="H485" s="7">
        <f t="shared" si="73"/>
        <v>48280.917999999998</v>
      </c>
    </row>
    <row r="486" spans="1:10" x14ac:dyDescent="0.25">
      <c r="A486" s="1" t="s">
        <v>311</v>
      </c>
      <c r="B486" s="2"/>
      <c r="C486" s="2"/>
      <c r="D486" s="3" t="s">
        <v>122</v>
      </c>
      <c r="E486" s="7"/>
      <c r="F486" s="7">
        <v>97219.6</v>
      </c>
      <c r="G486" s="15">
        <f>F486*0.19</f>
        <v>18471.724000000002</v>
      </c>
      <c r="H486" s="15">
        <f>F486+G486</f>
        <v>115691.32400000001</v>
      </c>
    </row>
    <row r="487" spans="1:10" x14ac:dyDescent="0.25">
      <c r="A487" s="1" t="s">
        <v>311</v>
      </c>
      <c r="B487" s="2"/>
      <c r="C487" s="2"/>
      <c r="D487" s="3" t="s">
        <v>123</v>
      </c>
      <c r="E487" s="7"/>
      <c r="F487" s="7">
        <v>136820.25</v>
      </c>
      <c r="G487" s="16">
        <f t="shared" ref="G487" si="108">F487*0.19</f>
        <v>25995.8475</v>
      </c>
      <c r="H487" s="16">
        <f t="shared" ref="H487" si="109">F487+G487</f>
        <v>162816.0975</v>
      </c>
    </row>
    <row r="488" spans="1:10" x14ac:dyDescent="0.25">
      <c r="A488" s="1" t="s">
        <v>286</v>
      </c>
      <c r="B488" s="2"/>
      <c r="C488" s="2"/>
      <c r="D488" s="3" t="s">
        <v>151</v>
      </c>
      <c r="E488" s="7"/>
      <c r="F488" s="7">
        <v>27405</v>
      </c>
      <c r="G488" s="7">
        <f>F488*0.19</f>
        <v>5206.95</v>
      </c>
      <c r="H488" s="7">
        <f>F488+G488</f>
        <v>32611.95</v>
      </c>
    </row>
    <row r="489" spans="1:10" x14ac:dyDescent="0.25">
      <c r="A489" s="1" t="s">
        <v>286</v>
      </c>
      <c r="B489" s="2"/>
      <c r="C489" s="2"/>
      <c r="D489" s="3" t="s">
        <v>153</v>
      </c>
      <c r="E489" s="7"/>
      <c r="F489" s="7">
        <v>38734</v>
      </c>
      <c r="G489" s="7">
        <f>F489*0.19</f>
        <v>7359.46</v>
      </c>
      <c r="H489" s="7">
        <f>F489+G489</f>
        <v>46093.46</v>
      </c>
    </row>
    <row r="490" spans="1:10" x14ac:dyDescent="0.25">
      <c r="A490" s="1" t="s">
        <v>286</v>
      </c>
      <c r="B490" s="2"/>
      <c r="C490" s="2"/>
      <c r="D490" s="3" t="s">
        <v>154</v>
      </c>
      <c r="E490" s="7"/>
      <c r="F490" s="7">
        <v>53035</v>
      </c>
      <c r="G490" s="7">
        <f>F490*0.19</f>
        <v>10076.65</v>
      </c>
      <c r="H490" s="7">
        <f>F490+G490</f>
        <v>63111.65</v>
      </c>
    </row>
    <row r="491" spans="1:10" x14ac:dyDescent="0.25">
      <c r="A491" s="1" t="s">
        <v>286</v>
      </c>
      <c r="B491" s="2"/>
      <c r="C491" s="2"/>
      <c r="D491" s="3" t="s">
        <v>122</v>
      </c>
      <c r="E491" s="7"/>
      <c r="F491" s="7">
        <v>114376</v>
      </c>
      <c r="G491" s="7">
        <f>F491*0.19</f>
        <v>21731.439999999999</v>
      </c>
      <c r="H491" s="7">
        <f>F491+G491</f>
        <v>136107.44</v>
      </c>
    </row>
    <row r="492" spans="1:10" x14ac:dyDescent="0.25">
      <c r="A492" s="1" t="s">
        <v>286</v>
      </c>
      <c r="B492" s="2"/>
      <c r="C492" s="2"/>
      <c r="D492" s="3" t="s">
        <v>123</v>
      </c>
      <c r="E492" s="7"/>
      <c r="F492" s="7">
        <v>160965</v>
      </c>
      <c r="G492" s="7">
        <f t="shared" si="97"/>
        <v>30583.35</v>
      </c>
      <c r="H492" s="7">
        <f t="shared" si="73"/>
        <v>191548.35</v>
      </c>
    </row>
    <row r="493" spans="1:10" x14ac:dyDescent="0.25">
      <c r="A493" s="1" t="s">
        <v>286</v>
      </c>
      <c r="B493" s="2"/>
      <c r="C493" s="2"/>
      <c r="D493" s="3" t="s">
        <v>124</v>
      </c>
      <c r="E493" s="7"/>
      <c r="F493" s="7">
        <v>620364</v>
      </c>
      <c r="G493" s="7">
        <f t="shared" ref="G493:G495" si="110">F493*0.19</f>
        <v>117869.16</v>
      </c>
      <c r="H493" s="7">
        <f t="shared" ref="H493:H495" si="111">F493+G493</f>
        <v>738233.16</v>
      </c>
    </row>
    <row r="494" spans="1:10" x14ac:dyDescent="0.25">
      <c r="A494" s="1" t="s">
        <v>320</v>
      </c>
      <c r="B494" s="2"/>
      <c r="C494" s="2"/>
      <c r="D494" s="3" t="s">
        <v>319</v>
      </c>
      <c r="E494" s="7"/>
      <c r="F494" s="7">
        <v>26136</v>
      </c>
      <c r="G494" s="7">
        <f t="shared" si="110"/>
        <v>4965.84</v>
      </c>
      <c r="H494" s="7">
        <f t="shared" si="111"/>
        <v>31101.84</v>
      </c>
      <c r="J494" t="s">
        <v>247</v>
      </c>
    </row>
    <row r="495" spans="1:10" x14ac:dyDescent="0.25">
      <c r="A495" s="1" t="s">
        <v>320</v>
      </c>
      <c r="B495" s="2"/>
      <c r="C495" s="2"/>
      <c r="D495" s="3" t="s">
        <v>122</v>
      </c>
      <c r="E495" s="7"/>
      <c r="F495" s="7">
        <v>44000</v>
      </c>
      <c r="G495" s="7">
        <f t="shared" si="110"/>
        <v>8360</v>
      </c>
      <c r="H495" s="7">
        <f t="shared" si="111"/>
        <v>52360</v>
      </c>
    </row>
    <row r="496" spans="1:10" x14ac:dyDescent="0.25">
      <c r="A496" s="1" t="s">
        <v>253</v>
      </c>
      <c r="B496" s="2"/>
      <c r="C496" s="2"/>
      <c r="D496" s="3" t="s">
        <v>151</v>
      </c>
      <c r="E496" s="7"/>
      <c r="F496" s="7">
        <v>1313.4</v>
      </c>
      <c r="G496" s="7">
        <f t="shared" si="97"/>
        <v>249.54600000000002</v>
      </c>
      <c r="H496" s="7">
        <f t="shared" si="73"/>
        <v>1562.9460000000001</v>
      </c>
    </row>
    <row r="497" spans="1:8" x14ac:dyDescent="0.25">
      <c r="A497" s="1" t="s">
        <v>253</v>
      </c>
      <c r="B497" s="2"/>
      <c r="C497" s="2"/>
      <c r="D497" s="3" t="s">
        <v>154</v>
      </c>
      <c r="E497" s="7"/>
      <c r="F497" s="7">
        <v>3151</v>
      </c>
      <c r="G497" s="7">
        <f t="shared" si="97"/>
        <v>598.69000000000005</v>
      </c>
      <c r="H497" s="7">
        <f t="shared" si="73"/>
        <v>3749.69</v>
      </c>
    </row>
    <row r="498" spans="1:8" x14ac:dyDescent="0.25">
      <c r="A498" s="1" t="s">
        <v>253</v>
      </c>
      <c r="B498" s="2"/>
      <c r="C498" s="2"/>
      <c r="D498" s="3" t="s">
        <v>122</v>
      </c>
      <c r="E498" s="7"/>
      <c r="F498" s="7">
        <v>7626</v>
      </c>
      <c r="G498" s="7">
        <f t="shared" si="97"/>
        <v>1448.94</v>
      </c>
      <c r="H498" s="7">
        <f t="shared" si="73"/>
        <v>9074.94</v>
      </c>
    </row>
    <row r="499" spans="1:8" x14ac:dyDescent="0.25">
      <c r="A499" s="1" t="s">
        <v>253</v>
      </c>
      <c r="B499" s="2"/>
      <c r="C499" s="2"/>
      <c r="D499" s="3" t="s">
        <v>158</v>
      </c>
      <c r="E499" s="7"/>
      <c r="F499" s="7">
        <v>10465</v>
      </c>
      <c r="G499" s="7">
        <f t="shared" si="97"/>
        <v>1988.3500000000001</v>
      </c>
      <c r="H499" s="7">
        <f t="shared" si="73"/>
        <v>12453.35</v>
      </c>
    </row>
    <row r="500" spans="1:8" x14ac:dyDescent="0.25">
      <c r="A500" s="1" t="s">
        <v>253</v>
      </c>
      <c r="B500" s="2"/>
      <c r="C500" s="2"/>
      <c r="D500" s="3" t="s">
        <v>124</v>
      </c>
      <c r="E500" s="7"/>
      <c r="F500" s="7">
        <v>32892</v>
      </c>
      <c r="G500" s="7">
        <f t="shared" si="97"/>
        <v>6249.4800000000005</v>
      </c>
      <c r="H500" s="7">
        <f t="shared" si="73"/>
        <v>39141.480000000003</v>
      </c>
    </row>
    <row r="501" spans="1:8" x14ac:dyDescent="0.25">
      <c r="A501" s="1" t="s">
        <v>253</v>
      </c>
      <c r="B501" s="2"/>
      <c r="C501" s="2"/>
      <c r="D501" s="3" t="s">
        <v>125</v>
      </c>
      <c r="E501" s="7"/>
      <c r="F501" s="7">
        <v>57128</v>
      </c>
      <c r="G501" s="7">
        <f t="shared" si="97"/>
        <v>10854.32</v>
      </c>
      <c r="H501" s="7">
        <f t="shared" si="73"/>
        <v>67982.320000000007</v>
      </c>
    </row>
    <row r="502" spans="1:8" x14ac:dyDescent="0.25">
      <c r="A502" s="1" t="s">
        <v>254</v>
      </c>
      <c r="B502" s="2"/>
      <c r="C502" s="2"/>
      <c r="D502" s="3" t="s">
        <v>151</v>
      </c>
      <c r="E502" s="7"/>
      <c r="F502" s="7">
        <v>1313.4</v>
      </c>
      <c r="G502" s="7">
        <f t="shared" si="97"/>
        <v>249.54600000000002</v>
      </c>
      <c r="H502" s="7">
        <f t="shared" si="73"/>
        <v>1562.9460000000001</v>
      </c>
    </row>
    <row r="503" spans="1:8" x14ac:dyDescent="0.25">
      <c r="A503" s="1" t="s">
        <v>254</v>
      </c>
      <c r="B503" s="2"/>
      <c r="C503" s="2"/>
      <c r="D503" s="3" t="s">
        <v>154</v>
      </c>
      <c r="E503" s="7"/>
      <c r="F503" s="7">
        <v>3151</v>
      </c>
      <c r="G503" s="7">
        <f t="shared" si="97"/>
        <v>598.69000000000005</v>
      </c>
      <c r="H503" s="7">
        <f t="shared" si="73"/>
        <v>3749.69</v>
      </c>
    </row>
    <row r="504" spans="1:8" x14ac:dyDescent="0.25">
      <c r="A504" s="1" t="s">
        <v>254</v>
      </c>
      <c r="B504" s="2"/>
      <c r="C504" s="2"/>
      <c r="D504" s="3" t="s">
        <v>122</v>
      </c>
      <c r="E504" s="7"/>
      <c r="F504" s="7">
        <v>7626</v>
      </c>
      <c r="G504" s="7">
        <f t="shared" si="97"/>
        <v>1448.94</v>
      </c>
      <c r="H504" s="7">
        <f t="shared" si="73"/>
        <v>9074.94</v>
      </c>
    </row>
    <row r="505" spans="1:8" x14ac:dyDescent="0.25">
      <c r="A505" s="1" t="s">
        <v>254</v>
      </c>
      <c r="B505" s="2"/>
      <c r="C505" s="2"/>
      <c r="D505" s="3" t="s">
        <v>158</v>
      </c>
      <c r="E505" s="7"/>
      <c r="F505" s="7">
        <v>10465</v>
      </c>
      <c r="G505" s="7">
        <f t="shared" si="97"/>
        <v>1988.3500000000001</v>
      </c>
      <c r="H505" s="7">
        <f t="shared" si="73"/>
        <v>12453.35</v>
      </c>
    </row>
    <row r="506" spans="1:8" x14ac:dyDescent="0.25">
      <c r="A506" s="1" t="s">
        <v>254</v>
      </c>
      <c r="B506" s="2"/>
      <c r="C506" s="2"/>
      <c r="D506" s="3" t="s">
        <v>124</v>
      </c>
      <c r="E506" s="7"/>
      <c r="F506" s="7">
        <v>32892</v>
      </c>
      <c r="G506" s="7">
        <f t="shared" si="97"/>
        <v>6249.4800000000005</v>
      </c>
      <c r="H506" s="7">
        <f t="shared" si="73"/>
        <v>39141.480000000003</v>
      </c>
    </row>
    <row r="507" spans="1:8" x14ac:dyDescent="0.25">
      <c r="A507" s="1" t="s">
        <v>254</v>
      </c>
      <c r="B507" s="2"/>
      <c r="C507" s="2"/>
      <c r="D507" s="3" t="s">
        <v>125</v>
      </c>
      <c r="E507" s="7"/>
      <c r="F507" s="7">
        <v>57128</v>
      </c>
      <c r="G507" s="7">
        <f t="shared" si="97"/>
        <v>10854.32</v>
      </c>
      <c r="H507" s="7">
        <f t="shared" si="73"/>
        <v>67982.320000000007</v>
      </c>
    </row>
    <row r="508" spans="1:8" x14ac:dyDescent="0.25">
      <c r="A508" s="1" t="s">
        <v>73</v>
      </c>
      <c r="B508" s="2"/>
      <c r="C508" s="2"/>
      <c r="D508" s="3"/>
      <c r="E508" s="7"/>
      <c r="F508" s="7">
        <v>107715</v>
      </c>
      <c r="G508" s="7">
        <f t="shared" si="97"/>
        <v>20465.849999999999</v>
      </c>
      <c r="H508" s="7">
        <f t="shared" si="73"/>
        <v>128180.85</v>
      </c>
    </row>
    <row r="509" spans="1:8" x14ac:dyDescent="0.25">
      <c r="A509" s="1" t="s">
        <v>120</v>
      </c>
      <c r="B509" s="2"/>
      <c r="C509" s="2"/>
      <c r="D509" s="3"/>
      <c r="E509" s="7"/>
      <c r="F509" s="7">
        <v>155488</v>
      </c>
      <c r="G509" s="7">
        <f t="shared" si="97"/>
        <v>29542.720000000001</v>
      </c>
      <c r="H509" s="7">
        <f t="shared" si="73"/>
        <v>185030.72</v>
      </c>
    </row>
    <row r="510" spans="1:8" x14ac:dyDescent="0.25">
      <c r="A510" s="1" t="s">
        <v>140</v>
      </c>
      <c r="B510" s="2"/>
      <c r="C510" s="2"/>
      <c r="D510" s="3"/>
      <c r="E510" s="7"/>
      <c r="F510" s="7">
        <v>80329</v>
      </c>
      <c r="G510" s="7">
        <f>F510*0.19</f>
        <v>15262.51</v>
      </c>
      <c r="H510" s="7">
        <f>F510+G510</f>
        <v>95591.51</v>
      </c>
    </row>
    <row r="511" spans="1:8" x14ac:dyDescent="0.25">
      <c r="A511" s="1" t="s">
        <v>229</v>
      </c>
      <c r="B511" s="2"/>
      <c r="C511" s="2"/>
      <c r="D511" s="3"/>
      <c r="E511" s="7"/>
      <c r="F511" s="7">
        <v>261184</v>
      </c>
      <c r="G511" s="16">
        <f t="shared" ref="G511" si="112">F511*0.19</f>
        <v>49624.959999999999</v>
      </c>
      <c r="H511" s="16">
        <f t="shared" ref="H511" si="113">F511+G511</f>
        <v>310808.96000000002</v>
      </c>
    </row>
    <row r="512" spans="1:8" x14ac:dyDescent="0.25">
      <c r="A512" s="1" t="s">
        <v>37</v>
      </c>
      <c r="B512" s="2"/>
      <c r="C512" s="2"/>
      <c r="D512" s="3"/>
      <c r="E512" s="7"/>
      <c r="F512" s="7">
        <v>369160</v>
      </c>
      <c r="G512" s="7">
        <f t="shared" si="97"/>
        <v>70140.399999999994</v>
      </c>
      <c r="H512" s="7">
        <f t="shared" ref="H512:H545" si="114">F512+G512</f>
        <v>439300.4</v>
      </c>
    </row>
    <row r="513" spans="1:8" x14ac:dyDescent="0.25">
      <c r="A513" s="1" t="s">
        <v>249</v>
      </c>
      <c r="B513" s="2"/>
      <c r="C513" s="2"/>
      <c r="D513" s="3"/>
      <c r="E513" s="7"/>
      <c r="F513" s="7">
        <v>168750</v>
      </c>
      <c r="G513" s="7">
        <f t="shared" si="97"/>
        <v>32062.5</v>
      </c>
      <c r="H513" s="7">
        <f t="shared" si="114"/>
        <v>200812.5</v>
      </c>
    </row>
    <row r="514" spans="1:8" x14ac:dyDescent="0.25">
      <c r="A514" s="1" t="s">
        <v>11</v>
      </c>
      <c r="B514" s="2"/>
      <c r="C514" s="2"/>
      <c r="D514" s="3"/>
      <c r="E514" s="7"/>
      <c r="F514" s="7">
        <v>67980</v>
      </c>
      <c r="G514" s="7">
        <f t="shared" si="97"/>
        <v>12916.2</v>
      </c>
      <c r="H514" s="7">
        <f t="shared" si="114"/>
        <v>80896.2</v>
      </c>
    </row>
    <row r="515" spans="1:8" x14ac:dyDescent="0.25">
      <c r="A515" s="1" t="s">
        <v>9</v>
      </c>
      <c r="B515" s="2"/>
      <c r="C515" s="2"/>
      <c r="D515" s="3"/>
      <c r="E515" s="7"/>
      <c r="F515" s="7">
        <v>23265</v>
      </c>
      <c r="G515" s="7">
        <f t="shared" si="97"/>
        <v>4420.3500000000004</v>
      </c>
      <c r="H515" s="7">
        <f t="shared" si="114"/>
        <v>27685.35</v>
      </c>
    </row>
    <row r="516" spans="1:8" x14ac:dyDescent="0.25">
      <c r="A516" s="1" t="s">
        <v>10</v>
      </c>
      <c r="B516" s="2"/>
      <c r="C516" s="2"/>
      <c r="D516" s="3"/>
      <c r="E516" s="7"/>
      <c r="F516" s="7">
        <v>50380</v>
      </c>
      <c r="G516" s="7">
        <f t="shared" si="97"/>
        <v>9572.2000000000007</v>
      </c>
      <c r="H516" s="7">
        <f t="shared" si="114"/>
        <v>59952.2</v>
      </c>
    </row>
    <row r="517" spans="1:8" x14ac:dyDescent="0.25">
      <c r="A517" s="1" t="s">
        <v>91</v>
      </c>
      <c r="B517" s="2"/>
      <c r="C517" s="2"/>
      <c r="D517" s="3"/>
      <c r="E517" s="7"/>
      <c r="F517" s="7">
        <v>79537.8</v>
      </c>
      <c r="G517" s="15">
        <f t="shared" si="97"/>
        <v>15112.182000000001</v>
      </c>
      <c r="H517" s="15">
        <f t="shared" si="114"/>
        <v>94649.982000000004</v>
      </c>
    </row>
    <row r="518" spans="1:8" x14ac:dyDescent="0.25">
      <c r="A518" s="1" t="s">
        <v>90</v>
      </c>
      <c r="B518" s="2"/>
      <c r="C518" s="2"/>
      <c r="D518" s="3"/>
      <c r="E518" s="7"/>
      <c r="F518" s="7">
        <v>22102</v>
      </c>
      <c r="G518" s="7">
        <v>4420</v>
      </c>
      <c r="H518" s="7">
        <f t="shared" si="114"/>
        <v>26522</v>
      </c>
    </row>
    <row r="519" spans="1:8" x14ac:dyDescent="0.25">
      <c r="A519" s="1" t="s">
        <v>92</v>
      </c>
      <c r="B519" s="2"/>
      <c r="C519" s="2"/>
      <c r="D519" s="3"/>
      <c r="E519" s="7"/>
      <c r="F519" s="7">
        <v>64581</v>
      </c>
      <c r="G519" s="7">
        <v>12916</v>
      </c>
      <c r="H519" s="7">
        <f t="shared" si="114"/>
        <v>77497</v>
      </c>
    </row>
    <row r="520" spans="1:8" x14ac:dyDescent="0.25">
      <c r="A520" s="1" t="s">
        <v>6</v>
      </c>
      <c r="B520" s="2"/>
      <c r="C520" s="2"/>
      <c r="D520" s="3"/>
      <c r="E520" s="7"/>
      <c r="F520" s="7">
        <v>1131900</v>
      </c>
      <c r="G520" s="7">
        <f>F520*0.19</f>
        <v>215061</v>
      </c>
      <c r="H520" s="7">
        <f t="shared" si="114"/>
        <v>1346961</v>
      </c>
    </row>
    <row r="521" spans="1:8" x14ac:dyDescent="0.25">
      <c r="A521" s="1" t="s">
        <v>88</v>
      </c>
      <c r="B521" s="2"/>
      <c r="C521" s="2"/>
      <c r="D521" s="3"/>
      <c r="E521" s="7"/>
      <c r="F521" s="7">
        <v>1075305</v>
      </c>
      <c r="G521" s="16">
        <f t="shared" ref="G521:G524" si="115">F521*0.19</f>
        <v>204307.95</v>
      </c>
      <c r="H521" s="16">
        <f t="shared" si="114"/>
        <v>1279612.95</v>
      </c>
    </row>
    <row r="522" spans="1:8" x14ac:dyDescent="0.25">
      <c r="A522" s="1" t="s">
        <v>8</v>
      </c>
      <c r="B522" s="2"/>
      <c r="C522" s="2"/>
      <c r="D522" s="3"/>
      <c r="E522" s="7"/>
      <c r="F522" s="7">
        <v>46555</v>
      </c>
      <c r="G522" s="7">
        <f t="shared" si="115"/>
        <v>8845.4500000000007</v>
      </c>
      <c r="H522" s="16">
        <f t="shared" si="114"/>
        <v>55400.45</v>
      </c>
    </row>
    <row r="523" spans="1:8" x14ac:dyDescent="0.25">
      <c r="A523" s="1" t="s">
        <v>7</v>
      </c>
      <c r="B523" s="2"/>
      <c r="C523" s="2"/>
      <c r="D523" s="3"/>
      <c r="E523" s="7"/>
      <c r="F523" s="7">
        <v>29626</v>
      </c>
      <c r="G523" s="7">
        <f t="shared" si="115"/>
        <v>5628.9400000000005</v>
      </c>
      <c r="H523" s="16">
        <f t="shared" si="114"/>
        <v>35254.94</v>
      </c>
    </row>
    <row r="524" spans="1:8" x14ac:dyDescent="0.25">
      <c r="A524" s="1" t="s">
        <v>328</v>
      </c>
      <c r="B524" s="2"/>
      <c r="C524" s="2"/>
      <c r="D524" s="7" t="s">
        <v>154</v>
      </c>
      <c r="E524" s="7"/>
      <c r="F524" s="7">
        <v>48691</v>
      </c>
      <c r="G524" s="7">
        <f t="shared" si="115"/>
        <v>9251.2900000000009</v>
      </c>
      <c r="H524" s="16">
        <f t="shared" si="114"/>
        <v>57942.29</v>
      </c>
    </row>
    <row r="525" spans="1:8" x14ac:dyDescent="0.25">
      <c r="A525" s="1" t="s">
        <v>301</v>
      </c>
      <c r="B525" s="2"/>
      <c r="C525" s="2"/>
      <c r="D525" s="7" t="s">
        <v>151</v>
      </c>
      <c r="E525" s="7"/>
      <c r="F525" s="7">
        <v>53400</v>
      </c>
      <c r="G525" s="17">
        <f>F525*0.19</f>
        <v>10146</v>
      </c>
      <c r="H525" s="7">
        <f>F525+G525</f>
        <v>63546</v>
      </c>
    </row>
    <row r="526" spans="1:8" x14ac:dyDescent="0.25">
      <c r="A526" s="1" t="s">
        <v>301</v>
      </c>
      <c r="B526" s="2"/>
      <c r="C526" s="2"/>
      <c r="D526" s="7" t="s">
        <v>153</v>
      </c>
      <c r="E526" s="7"/>
      <c r="F526" s="16">
        <v>66333.75</v>
      </c>
      <c r="G526" s="15">
        <f>F526*0.19</f>
        <v>12603.4125</v>
      </c>
      <c r="H526" s="15">
        <f>F526+G526</f>
        <v>78937.162500000006</v>
      </c>
    </row>
    <row r="527" spans="1:8" x14ac:dyDescent="0.25">
      <c r="A527" s="1" t="s">
        <v>301</v>
      </c>
      <c r="B527" s="2"/>
      <c r="C527" s="2"/>
      <c r="D527" s="7" t="s">
        <v>154</v>
      </c>
      <c r="E527" s="7"/>
      <c r="F527" s="7">
        <v>104170</v>
      </c>
      <c r="G527" s="7">
        <f>F527*0.19</f>
        <v>19792.3</v>
      </c>
      <c r="H527" s="7">
        <f>F527+G527</f>
        <v>123962.3</v>
      </c>
    </row>
    <row r="528" spans="1:8" x14ac:dyDescent="0.25">
      <c r="A528" s="1" t="s">
        <v>301</v>
      </c>
      <c r="B528" s="2"/>
      <c r="C528" s="2"/>
      <c r="D528" s="7" t="s">
        <v>122</v>
      </c>
      <c r="E528" s="7"/>
      <c r="F528" s="16">
        <v>219912.65</v>
      </c>
      <c r="G528" s="17">
        <f>F528*0.19</f>
        <v>41783.4035</v>
      </c>
      <c r="H528" s="15">
        <f>F528+G528</f>
        <v>261696.05349999998</v>
      </c>
    </row>
    <row r="529" spans="1:8" x14ac:dyDescent="0.25">
      <c r="A529" s="1" t="s">
        <v>301</v>
      </c>
      <c r="B529" s="2"/>
      <c r="C529" s="2"/>
      <c r="D529" s="7" t="s">
        <v>123</v>
      </c>
      <c r="E529" s="7"/>
      <c r="F529" s="16">
        <v>336157.5</v>
      </c>
      <c r="G529" s="17">
        <f>F529*0.19</f>
        <v>63869.925000000003</v>
      </c>
      <c r="H529" s="15">
        <f>F529+G529</f>
        <v>400027.42499999999</v>
      </c>
    </row>
    <row r="530" spans="1:8" x14ac:dyDescent="0.25">
      <c r="A530" s="1" t="s">
        <v>347</v>
      </c>
      <c r="B530" s="2"/>
      <c r="C530" s="2"/>
      <c r="D530" s="7" t="s">
        <v>151</v>
      </c>
      <c r="E530" s="7"/>
      <c r="F530" s="16">
        <v>31120</v>
      </c>
      <c r="G530" s="17">
        <f t="shared" ref="G530:G532" si="116">F530*0.19</f>
        <v>5912.8</v>
      </c>
      <c r="H530" s="15">
        <f t="shared" ref="H530:H532" si="117">F530+G530</f>
        <v>37032.800000000003</v>
      </c>
    </row>
    <row r="531" spans="1:8" x14ac:dyDescent="0.25">
      <c r="A531" s="1" t="s">
        <v>347</v>
      </c>
      <c r="B531" s="2"/>
      <c r="C531" s="2"/>
      <c r="D531" s="7" t="s">
        <v>154</v>
      </c>
      <c r="E531" s="7"/>
      <c r="F531" s="16">
        <v>70560</v>
      </c>
      <c r="G531" s="17">
        <f t="shared" si="116"/>
        <v>13406.4</v>
      </c>
      <c r="H531" s="15">
        <f t="shared" si="117"/>
        <v>83966.399999999994</v>
      </c>
    </row>
    <row r="532" spans="1:8" x14ac:dyDescent="0.25">
      <c r="A532" s="1" t="s">
        <v>347</v>
      </c>
      <c r="B532" s="2"/>
      <c r="C532" s="2"/>
      <c r="D532" s="7" t="s">
        <v>122</v>
      </c>
      <c r="E532" s="7"/>
      <c r="F532" s="16">
        <v>184800</v>
      </c>
      <c r="G532" s="17">
        <f t="shared" si="116"/>
        <v>35112</v>
      </c>
      <c r="H532" s="15">
        <f t="shared" si="117"/>
        <v>219912</v>
      </c>
    </row>
    <row r="533" spans="1:8" x14ac:dyDescent="0.25">
      <c r="A533" s="1" t="s">
        <v>291</v>
      </c>
      <c r="B533" s="2"/>
      <c r="C533" s="2"/>
      <c r="D533" s="3" t="s">
        <v>154</v>
      </c>
      <c r="E533" s="7"/>
      <c r="F533" s="7">
        <v>140550</v>
      </c>
      <c r="G533" s="15">
        <f t="shared" ref="G533:G535" si="118">F533*0.19</f>
        <v>26704.5</v>
      </c>
      <c r="H533" s="15">
        <f t="shared" si="114"/>
        <v>167254.5</v>
      </c>
    </row>
    <row r="534" spans="1:8" x14ac:dyDescent="0.25">
      <c r="A534" s="1" t="s">
        <v>291</v>
      </c>
      <c r="B534" s="2"/>
      <c r="C534" s="2"/>
      <c r="D534" s="3" t="s">
        <v>122</v>
      </c>
      <c r="E534" s="7"/>
      <c r="F534" s="7">
        <v>265725</v>
      </c>
      <c r="G534" s="15">
        <f t="shared" si="118"/>
        <v>50487.75</v>
      </c>
      <c r="H534" s="15">
        <f t="shared" si="114"/>
        <v>316212.75</v>
      </c>
    </row>
    <row r="535" spans="1:8" x14ac:dyDescent="0.25">
      <c r="A535" s="1" t="s">
        <v>291</v>
      </c>
      <c r="B535" s="2"/>
      <c r="C535" s="2"/>
      <c r="D535" s="3" t="s">
        <v>123</v>
      </c>
      <c r="E535" s="7"/>
      <c r="F535" s="7">
        <v>314250</v>
      </c>
      <c r="G535" s="15">
        <f t="shared" si="118"/>
        <v>59707.5</v>
      </c>
      <c r="H535" s="15">
        <f t="shared" si="114"/>
        <v>373957.5</v>
      </c>
    </row>
    <row r="536" spans="1:8" x14ac:dyDescent="0.25">
      <c r="A536" s="1" t="s">
        <v>131</v>
      </c>
      <c r="B536" s="2"/>
      <c r="C536" s="2"/>
      <c r="D536" s="3"/>
      <c r="E536" s="7"/>
      <c r="F536" s="7" t="s">
        <v>292</v>
      </c>
      <c r="G536" s="7" t="e">
        <f t="shared" ref="G536:G545" si="119">F536*0.19</f>
        <v>#VALUE!</v>
      </c>
      <c r="H536" s="7" t="e">
        <f t="shared" si="114"/>
        <v>#VALUE!</v>
      </c>
    </row>
    <row r="537" spans="1:8" x14ac:dyDescent="0.25">
      <c r="A537" s="1" t="s">
        <v>112</v>
      </c>
      <c r="B537" s="2"/>
      <c r="C537" s="2"/>
      <c r="D537" s="3"/>
      <c r="E537" s="7"/>
      <c r="F537" s="7">
        <v>120150</v>
      </c>
      <c r="G537" s="7">
        <f t="shared" si="119"/>
        <v>22828.5</v>
      </c>
      <c r="H537" s="7">
        <f t="shared" si="114"/>
        <v>142978.5</v>
      </c>
    </row>
    <row r="538" spans="1:8" x14ac:dyDescent="0.25">
      <c r="A538" s="1" t="s">
        <v>96</v>
      </c>
      <c r="B538" s="2"/>
      <c r="C538" s="2"/>
      <c r="D538" s="3"/>
      <c r="E538" s="7"/>
      <c r="F538" s="7">
        <v>511600</v>
      </c>
      <c r="G538" s="7">
        <f t="shared" si="119"/>
        <v>97204</v>
      </c>
      <c r="H538" s="7">
        <f t="shared" si="114"/>
        <v>608804</v>
      </c>
    </row>
    <row r="539" spans="1:8" x14ac:dyDescent="0.25">
      <c r="A539" s="1" t="s">
        <v>129</v>
      </c>
      <c r="B539" s="2"/>
      <c r="C539" s="2"/>
      <c r="D539" s="3"/>
      <c r="E539" s="7"/>
      <c r="F539" s="7">
        <v>133380</v>
      </c>
      <c r="G539" s="7">
        <f t="shared" si="119"/>
        <v>25342.2</v>
      </c>
      <c r="H539" s="7">
        <f t="shared" si="114"/>
        <v>158722.20000000001</v>
      </c>
    </row>
    <row r="540" spans="1:8" x14ac:dyDescent="0.25">
      <c r="A540" s="1" t="s">
        <v>128</v>
      </c>
      <c r="B540" s="2"/>
      <c r="C540" s="2"/>
      <c r="D540" s="3"/>
      <c r="E540" s="7"/>
      <c r="F540" s="7">
        <v>35610</v>
      </c>
      <c r="G540" s="7">
        <f t="shared" si="119"/>
        <v>6765.9</v>
      </c>
      <c r="H540" s="7">
        <f t="shared" si="114"/>
        <v>42375.9</v>
      </c>
    </row>
    <row r="541" spans="1:8" x14ac:dyDescent="0.25">
      <c r="A541" s="1" t="s">
        <v>126</v>
      </c>
      <c r="B541" s="2"/>
      <c r="C541" s="2"/>
      <c r="D541" s="3"/>
      <c r="E541" s="7"/>
      <c r="F541" s="7">
        <v>31675.5</v>
      </c>
      <c r="G541" s="7">
        <f t="shared" si="119"/>
        <v>6018.3450000000003</v>
      </c>
      <c r="H541" s="7">
        <f t="shared" si="114"/>
        <v>37693.845000000001</v>
      </c>
    </row>
    <row r="542" spans="1:8" x14ac:dyDescent="0.25">
      <c r="A542" s="1" t="s">
        <v>127</v>
      </c>
      <c r="B542" s="2"/>
      <c r="C542" s="2"/>
      <c r="D542" s="3"/>
      <c r="E542" s="7"/>
      <c r="F542" s="7">
        <v>32925</v>
      </c>
      <c r="G542" s="7">
        <f t="shared" si="119"/>
        <v>6255.75</v>
      </c>
      <c r="H542" s="7">
        <f t="shared" si="114"/>
        <v>39180.75</v>
      </c>
    </row>
    <row r="543" spans="1:8" x14ac:dyDescent="0.25">
      <c r="A543" s="1" t="s">
        <v>225</v>
      </c>
      <c r="B543" s="2"/>
      <c r="C543" s="2"/>
      <c r="D543" s="3"/>
      <c r="E543" s="7"/>
      <c r="F543" s="7">
        <v>7653</v>
      </c>
      <c r="G543" s="15">
        <f t="shared" ref="G543:G544" si="120">F543*0.19</f>
        <v>1454.07</v>
      </c>
      <c r="H543" s="15">
        <f t="shared" ref="H543:H544" si="121">F543+G543</f>
        <v>9107.07</v>
      </c>
    </row>
    <row r="544" spans="1:8" x14ac:dyDescent="0.25">
      <c r="A544" s="1" t="s">
        <v>226</v>
      </c>
      <c r="B544" s="2"/>
      <c r="C544" s="2"/>
      <c r="D544" s="3"/>
      <c r="E544" s="7"/>
      <c r="F544" s="7">
        <v>15160</v>
      </c>
      <c r="G544" s="15">
        <f t="shared" si="120"/>
        <v>2880.4</v>
      </c>
      <c r="H544" s="15">
        <f t="shared" si="121"/>
        <v>18040.400000000001</v>
      </c>
    </row>
    <row r="545" spans="1:8" x14ac:dyDescent="0.25">
      <c r="A545" s="1" t="s">
        <v>168</v>
      </c>
      <c r="B545" s="2"/>
      <c r="C545" s="2"/>
      <c r="D545" s="3"/>
      <c r="E545" s="7"/>
      <c r="F545" s="16">
        <v>25086</v>
      </c>
      <c r="G545" s="15">
        <f t="shared" si="119"/>
        <v>4766.34</v>
      </c>
      <c r="H545" s="15">
        <f t="shared" si="114"/>
        <v>29852.34</v>
      </c>
    </row>
    <row r="546" spans="1:8" x14ac:dyDescent="0.25">
      <c r="A546" s="1" t="s">
        <v>132</v>
      </c>
      <c r="B546" s="2"/>
      <c r="C546" s="2"/>
      <c r="D546" s="3"/>
      <c r="E546" s="7" t="s">
        <v>57</v>
      </c>
      <c r="F546" s="7">
        <v>391515</v>
      </c>
      <c r="G546" s="7">
        <f t="shared" ref="G546:G579" si="122">F546*0.19</f>
        <v>74387.850000000006</v>
      </c>
      <c r="H546" s="7">
        <f t="shared" ref="H546:H579" si="123">F546+G546</f>
        <v>465902.85</v>
      </c>
    </row>
    <row r="547" spans="1:8" x14ac:dyDescent="0.25">
      <c r="A547" s="1" t="s">
        <v>133</v>
      </c>
      <c r="B547" s="2"/>
      <c r="C547" s="2"/>
      <c r="D547" s="3"/>
      <c r="E547" s="7"/>
      <c r="F547" s="7">
        <v>375812</v>
      </c>
      <c r="G547" s="7">
        <f t="shared" si="122"/>
        <v>71404.28</v>
      </c>
      <c r="H547" s="7">
        <f t="shared" si="123"/>
        <v>447216.28</v>
      </c>
    </row>
    <row r="548" spans="1:8" x14ac:dyDescent="0.25">
      <c r="A548" s="1" t="s">
        <v>134</v>
      </c>
      <c r="B548" s="2"/>
      <c r="C548" s="2"/>
      <c r="D548" s="3"/>
      <c r="E548" s="7"/>
      <c r="F548" s="7">
        <v>31240</v>
      </c>
      <c r="G548" s="7">
        <f t="shared" si="122"/>
        <v>5935.6</v>
      </c>
      <c r="H548" s="7">
        <f t="shared" si="123"/>
        <v>37175.599999999999</v>
      </c>
    </row>
    <row r="549" spans="1:8" x14ac:dyDescent="0.25">
      <c r="A549" s="1" t="s">
        <v>141</v>
      </c>
      <c r="B549" s="2"/>
      <c r="C549" s="2"/>
      <c r="D549" s="3"/>
      <c r="E549" s="7"/>
      <c r="F549" s="7">
        <v>20733</v>
      </c>
      <c r="G549" s="7">
        <f t="shared" si="122"/>
        <v>3939.27</v>
      </c>
      <c r="H549" s="7">
        <f t="shared" si="123"/>
        <v>24672.27</v>
      </c>
    </row>
    <row r="550" spans="1:8" x14ac:dyDescent="0.25">
      <c r="A550" s="1" t="s">
        <v>142</v>
      </c>
      <c r="B550" s="2"/>
      <c r="C550" s="2"/>
      <c r="D550" s="3"/>
      <c r="E550" s="7"/>
      <c r="F550" s="7">
        <v>31016</v>
      </c>
      <c r="G550" s="7">
        <f t="shared" si="122"/>
        <v>5893.04</v>
      </c>
      <c r="H550" s="7">
        <f t="shared" si="123"/>
        <v>36909.040000000001</v>
      </c>
    </row>
    <row r="551" spans="1:8" x14ac:dyDescent="0.25">
      <c r="A551" s="1" t="s">
        <v>143</v>
      </c>
      <c r="B551" s="2"/>
      <c r="C551" s="2"/>
      <c r="D551" s="3"/>
      <c r="E551" s="7"/>
      <c r="F551" s="7">
        <v>80329</v>
      </c>
      <c r="G551" s="7">
        <f t="shared" si="122"/>
        <v>15262.51</v>
      </c>
      <c r="H551" s="7">
        <f t="shared" si="123"/>
        <v>95591.51</v>
      </c>
    </row>
    <row r="552" spans="1:8" x14ac:dyDescent="0.25">
      <c r="A552" s="1" t="s">
        <v>144</v>
      </c>
      <c r="B552" s="2"/>
      <c r="C552" s="2"/>
      <c r="D552" s="3"/>
      <c r="E552" s="7"/>
      <c r="F552" s="7">
        <v>10062</v>
      </c>
      <c r="G552" s="7">
        <f t="shared" si="122"/>
        <v>1911.78</v>
      </c>
      <c r="H552" s="7">
        <f t="shared" si="123"/>
        <v>11973.78</v>
      </c>
    </row>
    <row r="553" spans="1:8" x14ac:dyDescent="0.25">
      <c r="A553" s="1"/>
      <c r="B553" s="2"/>
      <c r="C553" s="2"/>
      <c r="D553" s="3"/>
      <c r="E553" s="7"/>
      <c r="F553" s="7"/>
      <c r="G553" s="7">
        <f t="shared" si="122"/>
        <v>0</v>
      </c>
      <c r="H553" s="7">
        <f t="shared" si="123"/>
        <v>0</v>
      </c>
    </row>
    <row r="554" spans="1:8" x14ac:dyDescent="0.25">
      <c r="A554" s="1"/>
      <c r="B554" s="2"/>
      <c r="C554" s="2"/>
      <c r="D554" s="3"/>
      <c r="E554" s="7"/>
      <c r="F554" s="7"/>
      <c r="G554" s="7">
        <f t="shared" si="122"/>
        <v>0</v>
      </c>
      <c r="H554" s="7">
        <f t="shared" si="123"/>
        <v>0</v>
      </c>
    </row>
    <row r="555" spans="1:8" x14ac:dyDescent="0.25">
      <c r="A555" s="1"/>
      <c r="B555" s="2"/>
      <c r="C555" s="2"/>
      <c r="D555" s="3"/>
      <c r="E555" s="7"/>
      <c r="F555" s="7"/>
      <c r="G555" s="7">
        <f t="shared" si="122"/>
        <v>0</v>
      </c>
      <c r="H555" s="7">
        <f t="shared" si="123"/>
        <v>0</v>
      </c>
    </row>
    <row r="556" spans="1:8" x14ac:dyDescent="0.25">
      <c r="A556" s="1"/>
      <c r="B556" s="2"/>
      <c r="C556" s="2"/>
      <c r="D556" s="3"/>
      <c r="E556" s="7"/>
      <c r="F556" s="7"/>
      <c r="G556" s="7">
        <f t="shared" si="122"/>
        <v>0</v>
      </c>
      <c r="H556" s="7">
        <f t="shared" si="123"/>
        <v>0</v>
      </c>
    </row>
    <row r="557" spans="1:8" x14ac:dyDescent="0.25">
      <c r="A557" s="1"/>
      <c r="B557" s="2"/>
      <c r="C557" s="2"/>
      <c r="D557" s="3"/>
      <c r="E557" s="7"/>
      <c r="F557" s="7"/>
      <c r="G557" s="7">
        <f t="shared" si="122"/>
        <v>0</v>
      </c>
      <c r="H557" s="7">
        <f t="shared" si="123"/>
        <v>0</v>
      </c>
    </row>
    <row r="558" spans="1:8" x14ac:dyDescent="0.25">
      <c r="A558" s="1"/>
      <c r="B558" s="2"/>
      <c r="C558" s="2"/>
      <c r="D558" s="3"/>
      <c r="E558" s="7"/>
      <c r="F558" s="7"/>
      <c r="G558" s="7">
        <f t="shared" si="122"/>
        <v>0</v>
      </c>
      <c r="H558" s="7">
        <f t="shared" si="123"/>
        <v>0</v>
      </c>
    </row>
    <row r="559" spans="1:8" x14ac:dyDescent="0.25">
      <c r="A559" s="1"/>
      <c r="B559" s="2"/>
      <c r="C559" s="2"/>
      <c r="D559" s="3"/>
      <c r="E559" s="7"/>
      <c r="F559" s="7"/>
      <c r="G559" s="7">
        <f t="shared" si="122"/>
        <v>0</v>
      </c>
      <c r="H559" s="7">
        <f t="shared" si="123"/>
        <v>0</v>
      </c>
    </row>
    <row r="560" spans="1:8" x14ac:dyDescent="0.25">
      <c r="A560" s="1"/>
      <c r="B560" s="2"/>
      <c r="C560" s="2"/>
      <c r="D560" s="3"/>
      <c r="E560" s="7"/>
      <c r="F560" s="7"/>
      <c r="G560" s="7">
        <f t="shared" si="122"/>
        <v>0</v>
      </c>
      <c r="H560" s="7">
        <f t="shared" si="123"/>
        <v>0</v>
      </c>
    </row>
    <row r="561" spans="1:8" x14ac:dyDescent="0.25">
      <c r="A561" s="1"/>
      <c r="B561" s="2"/>
      <c r="C561" s="2"/>
      <c r="D561" s="3"/>
      <c r="E561" s="7"/>
      <c r="F561" s="7"/>
      <c r="G561" s="7">
        <f t="shared" si="122"/>
        <v>0</v>
      </c>
      <c r="H561" s="7">
        <f t="shared" si="123"/>
        <v>0</v>
      </c>
    </row>
    <row r="562" spans="1:8" x14ac:dyDescent="0.25">
      <c r="A562" s="1"/>
      <c r="B562" s="2"/>
      <c r="C562" s="2"/>
      <c r="D562" s="3"/>
      <c r="E562" s="7"/>
      <c r="F562" s="7"/>
      <c r="G562" s="7">
        <f t="shared" si="122"/>
        <v>0</v>
      </c>
      <c r="H562" s="7">
        <f t="shared" si="123"/>
        <v>0</v>
      </c>
    </row>
    <row r="563" spans="1:8" x14ac:dyDescent="0.25">
      <c r="A563" s="1"/>
      <c r="B563" s="2"/>
      <c r="C563" s="2"/>
      <c r="D563" s="3"/>
      <c r="E563" s="7"/>
      <c r="F563" s="7"/>
      <c r="G563" s="7">
        <f t="shared" si="122"/>
        <v>0</v>
      </c>
      <c r="H563" s="7">
        <f t="shared" si="123"/>
        <v>0</v>
      </c>
    </row>
    <row r="564" spans="1:8" x14ac:dyDescent="0.25">
      <c r="A564" s="1"/>
      <c r="B564" s="2"/>
      <c r="C564" s="2"/>
      <c r="D564" s="3"/>
      <c r="E564" s="7"/>
      <c r="F564" s="7"/>
      <c r="G564" s="7">
        <f t="shared" si="122"/>
        <v>0</v>
      </c>
      <c r="H564" s="7">
        <f t="shared" si="123"/>
        <v>0</v>
      </c>
    </row>
    <row r="565" spans="1:8" x14ac:dyDescent="0.25">
      <c r="A565" s="1"/>
      <c r="B565" s="2"/>
      <c r="C565" s="2"/>
      <c r="D565" s="3"/>
      <c r="E565" s="7"/>
      <c r="F565" s="7"/>
      <c r="G565" s="7">
        <f t="shared" si="122"/>
        <v>0</v>
      </c>
      <c r="H565" s="7">
        <f t="shared" si="123"/>
        <v>0</v>
      </c>
    </row>
    <row r="566" spans="1:8" x14ac:dyDescent="0.25">
      <c r="A566" s="1"/>
      <c r="B566" s="2"/>
      <c r="C566" s="2"/>
      <c r="D566" s="3"/>
      <c r="E566" s="7"/>
      <c r="F566" s="7"/>
      <c r="G566" s="7">
        <f t="shared" si="122"/>
        <v>0</v>
      </c>
      <c r="H566" s="7">
        <f t="shared" si="123"/>
        <v>0</v>
      </c>
    </row>
    <row r="567" spans="1:8" x14ac:dyDescent="0.25">
      <c r="A567" s="1"/>
      <c r="B567" s="2"/>
      <c r="C567" s="2"/>
      <c r="D567" s="3"/>
      <c r="E567" s="7"/>
      <c r="F567" s="7"/>
      <c r="G567" s="7">
        <f t="shared" si="122"/>
        <v>0</v>
      </c>
      <c r="H567" s="7">
        <f t="shared" si="123"/>
        <v>0</v>
      </c>
    </row>
    <row r="568" spans="1:8" x14ac:dyDescent="0.25">
      <c r="A568" s="1"/>
      <c r="B568" s="2"/>
      <c r="C568" s="2"/>
      <c r="D568" s="3"/>
      <c r="E568" s="7"/>
      <c r="F568" s="7"/>
      <c r="G568" s="7">
        <f t="shared" si="122"/>
        <v>0</v>
      </c>
      <c r="H568" s="7">
        <f t="shared" si="123"/>
        <v>0</v>
      </c>
    </row>
    <row r="569" spans="1:8" x14ac:dyDescent="0.25">
      <c r="A569" s="1"/>
      <c r="B569" s="2"/>
      <c r="C569" s="2"/>
      <c r="D569" s="3"/>
      <c r="E569" s="7"/>
      <c r="F569" s="7"/>
      <c r="G569" s="7">
        <f t="shared" si="122"/>
        <v>0</v>
      </c>
      <c r="H569" s="7">
        <f t="shared" si="123"/>
        <v>0</v>
      </c>
    </row>
    <row r="570" spans="1:8" x14ac:dyDescent="0.25">
      <c r="A570" s="1"/>
      <c r="B570" s="2"/>
      <c r="C570" s="2"/>
      <c r="D570" s="3"/>
      <c r="E570" s="7"/>
      <c r="F570" s="7"/>
      <c r="G570" s="7">
        <f t="shared" si="122"/>
        <v>0</v>
      </c>
      <c r="H570" s="7">
        <f t="shared" si="123"/>
        <v>0</v>
      </c>
    </row>
    <row r="571" spans="1:8" x14ac:dyDescent="0.25">
      <c r="A571" s="1"/>
      <c r="B571" s="2"/>
      <c r="C571" s="2"/>
      <c r="D571" s="3"/>
      <c r="E571" s="7"/>
      <c r="F571" s="7"/>
      <c r="G571" s="7">
        <f t="shared" si="122"/>
        <v>0</v>
      </c>
      <c r="H571" s="7">
        <f t="shared" si="123"/>
        <v>0</v>
      </c>
    </row>
    <row r="572" spans="1:8" x14ac:dyDescent="0.25">
      <c r="A572" s="1"/>
      <c r="B572" s="2"/>
      <c r="C572" s="2"/>
      <c r="D572" s="3"/>
      <c r="E572" s="7"/>
      <c r="F572" s="7"/>
      <c r="G572" s="7">
        <f t="shared" si="122"/>
        <v>0</v>
      </c>
      <c r="H572" s="7">
        <f t="shared" si="123"/>
        <v>0</v>
      </c>
    </row>
    <row r="573" spans="1:8" x14ac:dyDescent="0.25">
      <c r="A573" s="1"/>
      <c r="B573" s="2"/>
      <c r="C573" s="2"/>
      <c r="D573" s="3"/>
      <c r="E573" s="7"/>
      <c r="F573" s="7"/>
      <c r="G573" s="7">
        <f t="shared" si="122"/>
        <v>0</v>
      </c>
      <c r="H573" s="7">
        <f t="shared" si="123"/>
        <v>0</v>
      </c>
    </row>
    <row r="574" spans="1:8" x14ac:dyDescent="0.25">
      <c r="A574" s="1"/>
      <c r="B574" s="2"/>
      <c r="C574" s="2"/>
      <c r="D574" s="3"/>
      <c r="E574" s="7"/>
      <c r="F574" s="7"/>
      <c r="G574" s="7">
        <f t="shared" si="122"/>
        <v>0</v>
      </c>
      <c r="H574" s="7">
        <f t="shared" si="123"/>
        <v>0</v>
      </c>
    </row>
    <row r="575" spans="1:8" x14ac:dyDescent="0.25">
      <c r="A575" s="1"/>
      <c r="B575" s="2"/>
      <c r="C575" s="2"/>
      <c r="D575" s="3"/>
      <c r="E575" s="7"/>
      <c r="F575" s="7"/>
      <c r="G575" s="7">
        <f t="shared" si="122"/>
        <v>0</v>
      </c>
      <c r="H575" s="7">
        <f t="shared" si="123"/>
        <v>0</v>
      </c>
    </row>
    <row r="576" spans="1:8" x14ac:dyDescent="0.25">
      <c r="A576" s="1"/>
      <c r="B576" s="2"/>
      <c r="C576" s="2"/>
      <c r="D576" s="3"/>
      <c r="E576" s="7"/>
      <c r="F576" s="7"/>
      <c r="G576" s="7">
        <f t="shared" si="122"/>
        <v>0</v>
      </c>
      <c r="H576" s="7">
        <f t="shared" si="123"/>
        <v>0</v>
      </c>
    </row>
    <row r="577" spans="1:8" x14ac:dyDescent="0.25">
      <c r="A577" s="1"/>
      <c r="B577" s="2"/>
      <c r="C577" s="2"/>
      <c r="D577" s="3"/>
      <c r="E577" s="7"/>
      <c r="F577" s="7"/>
      <c r="G577" s="7">
        <f t="shared" si="122"/>
        <v>0</v>
      </c>
      <c r="H577" s="7">
        <f t="shared" si="123"/>
        <v>0</v>
      </c>
    </row>
    <row r="578" spans="1:8" x14ac:dyDescent="0.25">
      <c r="A578" s="1"/>
      <c r="B578" s="2"/>
      <c r="C578" s="2"/>
      <c r="D578" s="3"/>
      <c r="E578" s="7"/>
      <c r="F578" s="7"/>
      <c r="G578" s="7">
        <f t="shared" si="122"/>
        <v>0</v>
      </c>
      <c r="H578" s="7">
        <f t="shared" si="123"/>
        <v>0</v>
      </c>
    </row>
    <row r="579" spans="1:8" x14ac:dyDescent="0.25">
      <c r="A579" s="1"/>
      <c r="B579" s="2"/>
      <c r="C579" s="2"/>
      <c r="D579" s="3"/>
      <c r="E579" s="7"/>
      <c r="F579" s="7"/>
      <c r="G579" s="7">
        <f t="shared" si="122"/>
        <v>0</v>
      </c>
      <c r="H579" s="7">
        <f t="shared" si="123"/>
        <v>0</v>
      </c>
    </row>
  </sheetData>
  <sortState xmlns:xlrd2="http://schemas.microsoft.com/office/spreadsheetml/2017/richdata2" ref="A4:H542">
    <sortCondition ref="A4:A542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Gerencia</cp:lastModifiedBy>
  <dcterms:created xsi:type="dcterms:W3CDTF">2025-01-20T17:12:48Z</dcterms:created>
  <dcterms:modified xsi:type="dcterms:W3CDTF">2026-08-26T21:54:46Z</dcterms:modified>
</cp:coreProperties>
</file>